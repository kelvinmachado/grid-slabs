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3677fe93eaef5c/Documentos/1PERSONAL/4MESTRADO/UFSM/3SUBJECTS/Análise estrutural I/TRABALHO - GRELHA/EXCEL/"/>
    </mc:Choice>
  </mc:AlternateContent>
  <xr:revisionPtr revIDLastSave="25" documentId="13_ncr:1_{DC9E51A6-05EE-450A-B90D-5949F163AB67}" xr6:coauthVersionLast="47" xr6:coauthVersionMax="47" xr10:uidLastSave="{8EE246BF-EC2D-440F-BC96-0BC9161FA3B4}"/>
  <bookViews>
    <workbookView xWindow="-108" yWindow="-108" windowWidth="23256" windowHeight="12456" xr2:uid="{8C6B00BB-A9C5-4737-83F4-287F6026F2BB}"/>
  </bookViews>
  <sheets>
    <sheet name="nodes" sheetId="2" r:id="rId1"/>
    <sheet name="elements" sheetId="1" r:id="rId2"/>
    <sheet name="It_corrD" sheetId="3" r:id="rId3"/>
    <sheet name="It_corrM" sheetId="4" r:id="rId4"/>
  </sheets>
  <definedNames>
    <definedName name="_xlnm._FilterDatabase" localSheetId="0" hidden="1">nodes!$A$1:$AC$232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31" i="2" l="1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H3" i="3"/>
  <c r="I3" i="3"/>
  <c r="J3" i="3"/>
  <c r="K3" i="3"/>
  <c r="H4" i="3"/>
  <c r="I4" i="3"/>
  <c r="J4" i="3"/>
  <c r="K4" i="3"/>
  <c r="H5" i="3"/>
  <c r="I5" i="3"/>
  <c r="J5" i="3"/>
  <c r="K5" i="3"/>
  <c r="H6" i="3"/>
  <c r="I6" i="3"/>
  <c r="J6" i="3"/>
  <c r="K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H34" i="3"/>
  <c r="I34" i="3"/>
  <c r="J34" i="3"/>
  <c r="K34" i="3"/>
  <c r="H35" i="3"/>
  <c r="I35" i="3"/>
  <c r="J35" i="3"/>
  <c r="K35" i="3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H43" i="3"/>
  <c r="I43" i="3"/>
  <c r="J43" i="3"/>
  <c r="K43" i="3"/>
  <c r="H44" i="3"/>
  <c r="I44" i="3"/>
  <c r="J44" i="3"/>
  <c r="K44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H50" i="3"/>
  <c r="I50" i="3"/>
  <c r="J50" i="3"/>
  <c r="K50" i="3"/>
  <c r="H51" i="3"/>
  <c r="I51" i="3"/>
  <c r="J51" i="3"/>
  <c r="K51" i="3"/>
  <c r="H52" i="3"/>
  <c r="I52" i="3"/>
  <c r="J52" i="3"/>
  <c r="K52" i="3"/>
  <c r="H53" i="3"/>
  <c r="I53" i="3"/>
  <c r="J53" i="3"/>
  <c r="K53" i="3"/>
  <c r="H54" i="3"/>
  <c r="I54" i="3"/>
  <c r="J54" i="3"/>
  <c r="K54" i="3"/>
  <c r="H55" i="3"/>
  <c r="I55" i="3"/>
  <c r="J55" i="3"/>
  <c r="K55" i="3"/>
  <c r="H56" i="3"/>
  <c r="I56" i="3"/>
  <c r="J56" i="3"/>
  <c r="K56" i="3"/>
  <c r="H57" i="3"/>
  <c r="I57" i="3"/>
  <c r="J57" i="3"/>
  <c r="K57" i="3"/>
  <c r="H58" i="3"/>
  <c r="I58" i="3"/>
  <c r="J58" i="3"/>
  <c r="K58" i="3"/>
  <c r="H59" i="3"/>
  <c r="I59" i="3"/>
  <c r="J59" i="3"/>
  <c r="K59" i="3"/>
  <c r="H60" i="3"/>
  <c r="I60" i="3"/>
  <c r="J60" i="3"/>
  <c r="K60" i="3"/>
  <c r="H61" i="3"/>
  <c r="I61" i="3"/>
  <c r="J61" i="3"/>
  <c r="K61" i="3"/>
  <c r="H62" i="3"/>
  <c r="I62" i="3"/>
  <c r="J62" i="3"/>
  <c r="K62" i="3"/>
  <c r="H63" i="3"/>
  <c r="I63" i="3"/>
  <c r="J63" i="3"/>
  <c r="K63" i="3"/>
  <c r="H64" i="3"/>
  <c r="I64" i="3"/>
  <c r="J64" i="3"/>
  <c r="K64" i="3"/>
  <c r="H65" i="3"/>
  <c r="I65" i="3"/>
  <c r="J65" i="3"/>
  <c r="K65" i="3"/>
  <c r="H66" i="3"/>
  <c r="I66" i="3"/>
  <c r="J66" i="3"/>
  <c r="K66" i="3"/>
  <c r="H67" i="3"/>
  <c r="I67" i="3"/>
  <c r="J67" i="3"/>
  <c r="K67" i="3"/>
  <c r="H68" i="3"/>
  <c r="I68" i="3"/>
  <c r="J68" i="3"/>
  <c r="K68" i="3"/>
  <c r="H69" i="3"/>
  <c r="I69" i="3"/>
  <c r="J69" i="3"/>
  <c r="K69" i="3"/>
  <c r="H70" i="3"/>
  <c r="I70" i="3"/>
  <c r="J70" i="3"/>
  <c r="K70" i="3"/>
  <c r="H71" i="3"/>
  <c r="I71" i="3"/>
  <c r="J71" i="3"/>
  <c r="K71" i="3"/>
  <c r="H72" i="3"/>
  <c r="I72" i="3"/>
  <c r="J72" i="3"/>
  <c r="K72" i="3"/>
  <c r="H73" i="3"/>
  <c r="I73" i="3"/>
  <c r="J73" i="3"/>
  <c r="K73" i="3"/>
  <c r="H74" i="3"/>
  <c r="I74" i="3"/>
  <c r="J74" i="3"/>
  <c r="K74" i="3"/>
  <c r="H75" i="3"/>
  <c r="I75" i="3"/>
  <c r="J75" i="3"/>
  <c r="K75" i="3"/>
  <c r="H76" i="3"/>
  <c r="I76" i="3"/>
  <c r="J76" i="3"/>
  <c r="K76" i="3"/>
  <c r="H77" i="3"/>
  <c r="I77" i="3"/>
  <c r="J77" i="3"/>
  <c r="K77" i="3"/>
  <c r="H78" i="3"/>
  <c r="I78" i="3"/>
  <c r="J78" i="3"/>
  <c r="K78" i="3"/>
  <c r="H79" i="3"/>
  <c r="I79" i="3"/>
  <c r="J79" i="3"/>
  <c r="K79" i="3"/>
  <c r="H80" i="3"/>
  <c r="I80" i="3"/>
  <c r="J80" i="3"/>
  <c r="K80" i="3"/>
  <c r="H81" i="3"/>
  <c r="I81" i="3"/>
  <c r="J81" i="3"/>
  <c r="K81" i="3"/>
  <c r="H82" i="3"/>
  <c r="I82" i="3"/>
  <c r="J82" i="3"/>
  <c r="K82" i="3"/>
  <c r="H83" i="3"/>
  <c r="I83" i="3"/>
  <c r="J83" i="3"/>
  <c r="K83" i="3"/>
  <c r="H84" i="3"/>
  <c r="I84" i="3"/>
  <c r="J84" i="3"/>
  <c r="K84" i="3"/>
  <c r="H85" i="3"/>
  <c r="I85" i="3"/>
  <c r="J85" i="3"/>
  <c r="K85" i="3"/>
  <c r="H86" i="3"/>
  <c r="I86" i="3"/>
  <c r="J86" i="3"/>
  <c r="K86" i="3"/>
  <c r="H87" i="3"/>
  <c r="I87" i="3"/>
  <c r="J87" i="3"/>
  <c r="K87" i="3"/>
  <c r="H88" i="3"/>
  <c r="I88" i="3"/>
  <c r="J88" i="3"/>
  <c r="K88" i="3"/>
  <c r="H89" i="3"/>
  <c r="I89" i="3"/>
  <c r="J89" i="3"/>
  <c r="K89" i="3"/>
  <c r="H90" i="3"/>
  <c r="I90" i="3"/>
  <c r="J90" i="3"/>
  <c r="K90" i="3"/>
  <c r="H91" i="3"/>
  <c r="I91" i="3"/>
  <c r="J91" i="3"/>
  <c r="K91" i="3"/>
  <c r="H92" i="3"/>
  <c r="I92" i="3"/>
  <c r="J92" i="3"/>
  <c r="K92" i="3"/>
  <c r="H93" i="3"/>
  <c r="I93" i="3"/>
  <c r="J93" i="3"/>
  <c r="K93" i="3"/>
  <c r="H94" i="3"/>
  <c r="I94" i="3"/>
  <c r="J94" i="3"/>
  <c r="K94" i="3"/>
  <c r="H95" i="3"/>
  <c r="I95" i="3"/>
  <c r="J95" i="3"/>
  <c r="K95" i="3"/>
  <c r="H96" i="3"/>
  <c r="I96" i="3"/>
  <c r="J96" i="3"/>
  <c r="K96" i="3"/>
  <c r="H97" i="3"/>
  <c r="I97" i="3"/>
  <c r="J97" i="3"/>
  <c r="K97" i="3"/>
  <c r="H98" i="3"/>
  <c r="I98" i="3"/>
  <c r="J98" i="3"/>
  <c r="K98" i="3"/>
  <c r="H99" i="3"/>
  <c r="I99" i="3"/>
  <c r="J99" i="3"/>
  <c r="L99" i="3" s="1"/>
  <c r="K99" i="3"/>
  <c r="H100" i="3"/>
  <c r="I100" i="3"/>
  <c r="J100" i="3"/>
  <c r="K100" i="3"/>
  <c r="H101" i="3"/>
  <c r="I101" i="3"/>
  <c r="J101" i="3"/>
  <c r="K101" i="3"/>
  <c r="H102" i="3"/>
  <c r="I102" i="3"/>
  <c r="J102" i="3"/>
  <c r="K102" i="3"/>
  <c r="H103" i="3"/>
  <c r="I103" i="3"/>
  <c r="J103" i="3"/>
  <c r="K103" i="3"/>
  <c r="H104" i="3"/>
  <c r="I104" i="3"/>
  <c r="J104" i="3"/>
  <c r="K104" i="3"/>
  <c r="H105" i="3"/>
  <c r="I105" i="3"/>
  <c r="J105" i="3"/>
  <c r="K105" i="3"/>
  <c r="H106" i="3"/>
  <c r="I106" i="3"/>
  <c r="J106" i="3"/>
  <c r="K106" i="3"/>
  <c r="H107" i="3"/>
  <c r="I107" i="3"/>
  <c r="J107" i="3"/>
  <c r="K107" i="3"/>
  <c r="H108" i="3"/>
  <c r="I108" i="3"/>
  <c r="J108" i="3"/>
  <c r="K108" i="3"/>
  <c r="H109" i="3"/>
  <c r="I109" i="3"/>
  <c r="J109" i="3"/>
  <c r="K109" i="3"/>
  <c r="H110" i="3"/>
  <c r="I110" i="3"/>
  <c r="J110" i="3"/>
  <c r="K110" i="3"/>
  <c r="H111" i="3"/>
  <c r="I111" i="3"/>
  <c r="J111" i="3"/>
  <c r="K111" i="3"/>
  <c r="H112" i="3"/>
  <c r="I112" i="3"/>
  <c r="J112" i="3"/>
  <c r="K112" i="3"/>
  <c r="H113" i="3"/>
  <c r="I113" i="3"/>
  <c r="J113" i="3"/>
  <c r="K113" i="3"/>
  <c r="H114" i="3"/>
  <c r="I114" i="3"/>
  <c r="J114" i="3"/>
  <c r="K114" i="3"/>
  <c r="H115" i="3"/>
  <c r="I115" i="3"/>
  <c r="J115" i="3"/>
  <c r="K115" i="3"/>
  <c r="H116" i="3"/>
  <c r="I116" i="3"/>
  <c r="J116" i="3"/>
  <c r="K116" i="3"/>
  <c r="H117" i="3"/>
  <c r="I117" i="3"/>
  <c r="J117" i="3"/>
  <c r="K117" i="3"/>
  <c r="H118" i="3"/>
  <c r="I118" i="3"/>
  <c r="J118" i="3"/>
  <c r="K118" i="3"/>
  <c r="H119" i="3"/>
  <c r="I119" i="3"/>
  <c r="J119" i="3"/>
  <c r="K119" i="3"/>
  <c r="H120" i="3"/>
  <c r="I120" i="3"/>
  <c r="J120" i="3"/>
  <c r="K120" i="3"/>
  <c r="H121" i="3"/>
  <c r="I121" i="3"/>
  <c r="J121" i="3"/>
  <c r="K121" i="3"/>
  <c r="H122" i="3"/>
  <c r="I122" i="3"/>
  <c r="J122" i="3"/>
  <c r="K122" i="3"/>
  <c r="H123" i="3"/>
  <c r="I123" i="3"/>
  <c r="J123" i="3"/>
  <c r="K123" i="3"/>
  <c r="H124" i="3"/>
  <c r="I124" i="3"/>
  <c r="J124" i="3"/>
  <c r="K124" i="3"/>
  <c r="H125" i="3"/>
  <c r="I125" i="3"/>
  <c r="J125" i="3"/>
  <c r="K125" i="3"/>
  <c r="H126" i="3"/>
  <c r="I126" i="3"/>
  <c r="J126" i="3"/>
  <c r="K126" i="3"/>
  <c r="H127" i="3"/>
  <c r="I127" i="3"/>
  <c r="J127" i="3"/>
  <c r="K127" i="3"/>
  <c r="H128" i="3"/>
  <c r="I128" i="3"/>
  <c r="J128" i="3"/>
  <c r="K128" i="3"/>
  <c r="H129" i="3"/>
  <c r="I129" i="3"/>
  <c r="J129" i="3"/>
  <c r="K129" i="3"/>
  <c r="H130" i="3"/>
  <c r="I130" i="3"/>
  <c r="J130" i="3"/>
  <c r="K130" i="3"/>
  <c r="H131" i="3"/>
  <c r="I131" i="3"/>
  <c r="J131" i="3"/>
  <c r="K131" i="3"/>
  <c r="H132" i="3"/>
  <c r="I132" i="3"/>
  <c r="J132" i="3"/>
  <c r="K132" i="3"/>
  <c r="H133" i="3"/>
  <c r="I133" i="3"/>
  <c r="J133" i="3"/>
  <c r="K133" i="3"/>
  <c r="H134" i="3"/>
  <c r="I134" i="3"/>
  <c r="J134" i="3"/>
  <c r="K134" i="3"/>
  <c r="H135" i="3"/>
  <c r="I135" i="3"/>
  <c r="J135" i="3"/>
  <c r="K135" i="3"/>
  <c r="H136" i="3"/>
  <c r="I136" i="3"/>
  <c r="J136" i="3"/>
  <c r="K136" i="3"/>
  <c r="H137" i="3"/>
  <c r="I137" i="3"/>
  <c r="J137" i="3"/>
  <c r="K137" i="3"/>
  <c r="H138" i="3"/>
  <c r="I138" i="3"/>
  <c r="J138" i="3"/>
  <c r="K138" i="3"/>
  <c r="H139" i="3"/>
  <c r="I139" i="3"/>
  <c r="J139" i="3"/>
  <c r="K139" i="3"/>
  <c r="H140" i="3"/>
  <c r="I140" i="3"/>
  <c r="J140" i="3"/>
  <c r="K140" i="3"/>
  <c r="H141" i="3"/>
  <c r="I141" i="3"/>
  <c r="J141" i="3"/>
  <c r="K141" i="3"/>
  <c r="H142" i="3"/>
  <c r="I142" i="3"/>
  <c r="J142" i="3"/>
  <c r="K142" i="3"/>
  <c r="H143" i="3"/>
  <c r="I143" i="3"/>
  <c r="J143" i="3"/>
  <c r="K143" i="3"/>
  <c r="H144" i="3"/>
  <c r="I144" i="3"/>
  <c r="J144" i="3"/>
  <c r="K144" i="3"/>
  <c r="H145" i="3"/>
  <c r="I145" i="3"/>
  <c r="J145" i="3"/>
  <c r="K145" i="3"/>
  <c r="H146" i="3"/>
  <c r="I146" i="3"/>
  <c r="J146" i="3"/>
  <c r="K146" i="3"/>
  <c r="H147" i="3"/>
  <c r="I147" i="3"/>
  <c r="J147" i="3"/>
  <c r="K147" i="3"/>
  <c r="H148" i="3"/>
  <c r="I148" i="3"/>
  <c r="J148" i="3"/>
  <c r="K148" i="3"/>
  <c r="H149" i="3"/>
  <c r="I149" i="3"/>
  <c r="J149" i="3"/>
  <c r="K149" i="3"/>
  <c r="H150" i="3"/>
  <c r="I150" i="3"/>
  <c r="J150" i="3"/>
  <c r="K150" i="3"/>
  <c r="H151" i="3"/>
  <c r="I151" i="3"/>
  <c r="J151" i="3"/>
  <c r="K151" i="3"/>
  <c r="H152" i="3"/>
  <c r="I152" i="3"/>
  <c r="J152" i="3"/>
  <c r="K152" i="3"/>
  <c r="H153" i="3"/>
  <c r="I153" i="3"/>
  <c r="J153" i="3"/>
  <c r="K153" i="3"/>
  <c r="H154" i="3"/>
  <c r="I154" i="3"/>
  <c r="J154" i="3"/>
  <c r="K154" i="3"/>
  <c r="H155" i="3"/>
  <c r="I155" i="3"/>
  <c r="J155" i="3"/>
  <c r="K155" i="3"/>
  <c r="H156" i="3"/>
  <c r="I156" i="3"/>
  <c r="J156" i="3"/>
  <c r="K156" i="3"/>
  <c r="H157" i="3"/>
  <c r="I157" i="3"/>
  <c r="J157" i="3"/>
  <c r="K157" i="3"/>
  <c r="H158" i="3"/>
  <c r="I158" i="3"/>
  <c r="J158" i="3"/>
  <c r="K158" i="3"/>
  <c r="H159" i="3"/>
  <c r="I159" i="3"/>
  <c r="J159" i="3"/>
  <c r="K159" i="3"/>
  <c r="H160" i="3"/>
  <c r="I160" i="3"/>
  <c r="J160" i="3"/>
  <c r="K160" i="3"/>
  <c r="H161" i="3"/>
  <c r="I161" i="3"/>
  <c r="J161" i="3"/>
  <c r="K161" i="3"/>
  <c r="H162" i="3"/>
  <c r="I162" i="3"/>
  <c r="J162" i="3"/>
  <c r="K162" i="3"/>
  <c r="H163" i="3"/>
  <c r="I163" i="3"/>
  <c r="J163" i="3"/>
  <c r="K163" i="3"/>
  <c r="H164" i="3"/>
  <c r="I164" i="3"/>
  <c r="J164" i="3"/>
  <c r="K164" i="3"/>
  <c r="H165" i="3"/>
  <c r="I165" i="3"/>
  <c r="J165" i="3"/>
  <c r="K165" i="3"/>
  <c r="H166" i="3"/>
  <c r="I166" i="3"/>
  <c r="J166" i="3"/>
  <c r="K166" i="3"/>
  <c r="H167" i="3"/>
  <c r="I167" i="3"/>
  <c r="J167" i="3"/>
  <c r="K167" i="3"/>
  <c r="H168" i="3"/>
  <c r="I168" i="3"/>
  <c r="J168" i="3"/>
  <c r="K168" i="3"/>
  <c r="H169" i="3"/>
  <c r="I169" i="3"/>
  <c r="J169" i="3"/>
  <c r="K169" i="3"/>
  <c r="H170" i="3"/>
  <c r="I170" i="3"/>
  <c r="J170" i="3"/>
  <c r="K170" i="3"/>
  <c r="H171" i="3"/>
  <c r="I171" i="3"/>
  <c r="J171" i="3"/>
  <c r="K171" i="3"/>
  <c r="H172" i="3"/>
  <c r="I172" i="3"/>
  <c r="J172" i="3"/>
  <c r="K172" i="3"/>
  <c r="H173" i="3"/>
  <c r="I173" i="3"/>
  <c r="J173" i="3"/>
  <c r="K173" i="3"/>
  <c r="H174" i="3"/>
  <c r="I174" i="3"/>
  <c r="J174" i="3"/>
  <c r="K174" i="3"/>
  <c r="H175" i="3"/>
  <c r="I175" i="3"/>
  <c r="J175" i="3"/>
  <c r="K175" i="3"/>
  <c r="H176" i="3"/>
  <c r="I176" i="3"/>
  <c r="J176" i="3"/>
  <c r="K176" i="3"/>
  <c r="H177" i="3"/>
  <c r="I177" i="3"/>
  <c r="J177" i="3"/>
  <c r="K177" i="3"/>
  <c r="H178" i="3"/>
  <c r="I178" i="3"/>
  <c r="J178" i="3"/>
  <c r="K178" i="3"/>
  <c r="H179" i="3"/>
  <c r="I179" i="3"/>
  <c r="J179" i="3"/>
  <c r="K179" i="3"/>
  <c r="H180" i="3"/>
  <c r="I180" i="3"/>
  <c r="J180" i="3"/>
  <c r="K180" i="3"/>
  <c r="H181" i="3"/>
  <c r="I181" i="3"/>
  <c r="J181" i="3"/>
  <c r="K181" i="3"/>
  <c r="H182" i="3"/>
  <c r="I182" i="3"/>
  <c r="J182" i="3"/>
  <c r="K182" i="3"/>
  <c r="H183" i="3"/>
  <c r="I183" i="3"/>
  <c r="J183" i="3"/>
  <c r="K183" i="3"/>
  <c r="H184" i="3"/>
  <c r="I184" i="3"/>
  <c r="J184" i="3"/>
  <c r="K184" i="3"/>
  <c r="H185" i="3"/>
  <c r="I185" i="3"/>
  <c r="J185" i="3"/>
  <c r="K185" i="3"/>
  <c r="H186" i="3"/>
  <c r="I186" i="3"/>
  <c r="J186" i="3"/>
  <c r="K186" i="3"/>
  <c r="H187" i="3"/>
  <c r="I187" i="3"/>
  <c r="J187" i="3"/>
  <c r="K187" i="3"/>
  <c r="H188" i="3"/>
  <c r="I188" i="3"/>
  <c r="J188" i="3"/>
  <c r="K188" i="3"/>
  <c r="H189" i="3"/>
  <c r="I189" i="3"/>
  <c r="J189" i="3"/>
  <c r="K189" i="3"/>
  <c r="H190" i="3"/>
  <c r="I190" i="3"/>
  <c r="J190" i="3"/>
  <c r="K190" i="3"/>
  <c r="H191" i="3"/>
  <c r="I191" i="3"/>
  <c r="J191" i="3"/>
  <c r="K191" i="3"/>
  <c r="H192" i="3"/>
  <c r="I192" i="3"/>
  <c r="J192" i="3"/>
  <c r="K192" i="3"/>
  <c r="H193" i="3"/>
  <c r="I193" i="3"/>
  <c r="J193" i="3"/>
  <c r="K193" i="3"/>
  <c r="H194" i="3"/>
  <c r="I194" i="3"/>
  <c r="J194" i="3"/>
  <c r="K194" i="3"/>
  <c r="H195" i="3"/>
  <c r="I195" i="3"/>
  <c r="J195" i="3"/>
  <c r="K195" i="3"/>
  <c r="H196" i="3"/>
  <c r="I196" i="3"/>
  <c r="J196" i="3"/>
  <c r="K196" i="3"/>
  <c r="H197" i="3"/>
  <c r="I197" i="3"/>
  <c r="J197" i="3"/>
  <c r="K197" i="3"/>
  <c r="H198" i="3"/>
  <c r="I198" i="3"/>
  <c r="J198" i="3"/>
  <c r="K198" i="3"/>
  <c r="H199" i="3"/>
  <c r="I199" i="3"/>
  <c r="J199" i="3"/>
  <c r="K199" i="3"/>
  <c r="H200" i="3"/>
  <c r="I200" i="3"/>
  <c r="J200" i="3"/>
  <c r="K200" i="3"/>
  <c r="H201" i="3"/>
  <c r="I201" i="3"/>
  <c r="J201" i="3"/>
  <c r="K201" i="3"/>
  <c r="H202" i="3"/>
  <c r="I202" i="3"/>
  <c r="J202" i="3"/>
  <c r="K202" i="3"/>
  <c r="H203" i="3"/>
  <c r="I203" i="3"/>
  <c r="J203" i="3"/>
  <c r="K203" i="3"/>
  <c r="H204" i="3"/>
  <c r="I204" i="3"/>
  <c r="J204" i="3"/>
  <c r="K204" i="3"/>
  <c r="H205" i="3"/>
  <c r="I205" i="3"/>
  <c r="J205" i="3"/>
  <c r="K205" i="3"/>
  <c r="H206" i="3"/>
  <c r="I206" i="3"/>
  <c r="J206" i="3"/>
  <c r="K206" i="3"/>
  <c r="H207" i="3"/>
  <c r="I207" i="3"/>
  <c r="J207" i="3"/>
  <c r="K207" i="3"/>
  <c r="H208" i="3"/>
  <c r="I208" i="3"/>
  <c r="J208" i="3"/>
  <c r="K208" i="3"/>
  <c r="H209" i="3"/>
  <c r="I209" i="3"/>
  <c r="J209" i="3"/>
  <c r="K209" i="3"/>
  <c r="H210" i="3"/>
  <c r="I210" i="3"/>
  <c r="J210" i="3"/>
  <c r="K210" i="3"/>
  <c r="H211" i="3"/>
  <c r="I211" i="3"/>
  <c r="J211" i="3"/>
  <c r="K211" i="3"/>
  <c r="H212" i="3"/>
  <c r="I212" i="3"/>
  <c r="J212" i="3"/>
  <c r="K212" i="3"/>
  <c r="H213" i="3"/>
  <c r="I213" i="3"/>
  <c r="J213" i="3"/>
  <c r="K213" i="3"/>
  <c r="H214" i="3"/>
  <c r="I214" i="3"/>
  <c r="J214" i="3"/>
  <c r="K214" i="3"/>
  <c r="H215" i="3"/>
  <c r="I215" i="3"/>
  <c r="J215" i="3"/>
  <c r="K215" i="3"/>
  <c r="H216" i="3"/>
  <c r="I216" i="3"/>
  <c r="J216" i="3"/>
  <c r="K216" i="3"/>
  <c r="H217" i="3"/>
  <c r="I217" i="3"/>
  <c r="J217" i="3"/>
  <c r="K217" i="3"/>
  <c r="H218" i="3"/>
  <c r="I218" i="3"/>
  <c r="J218" i="3"/>
  <c r="K218" i="3"/>
  <c r="H219" i="3"/>
  <c r="I219" i="3"/>
  <c r="J219" i="3"/>
  <c r="K219" i="3"/>
  <c r="H220" i="3"/>
  <c r="I220" i="3"/>
  <c r="J220" i="3"/>
  <c r="K220" i="3"/>
  <c r="H221" i="3"/>
  <c r="I221" i="3"/>
  <c r="J221" i="3"/>
  <c r="K221" i="3"/>
  <c r="H222" i="3"/>
  <c r="I222" i="3"/>
  <c r="J222" i="3"/>
  <c r="K222" i="3"/>
  <c r="H223" i="3"/>
  <c r="I223" i="3"/>
  <c r="J223" i="3"/>
  <c r="K223" i="3"/>
  <c r="H224" i="3"/>
  <c r="I224" i="3"/>
  <c r="J224" i="3"/>
  <c r="K224" i="3"/>
  <c r="H225" i="3"/>
  <c r="I225" i="3"/>
  <c r="J225" i="3"/>
  <c r="K225" i="3"/>
  <c r="H226" i="3"/>
  <c r="I226" i="3"/>
  <c r="J226" i="3"/>
  <c r="K226" i="3"/>
  <c r="H227" i="3"/>
  <c r="I227" i="3"/>
  <c r="J227" i="3"/>
  <c r="K227" i="3"/>
  <c r="H228" i="3"/>
  <c r="I228" i="3"/>
  <c r="J228" i="3"/>
  <c r="K228" i="3"/>
  <c r="H229" i="3"/>
  <c r="I229" i="3"/>
  <c r="J229" i="3"/>
  <c r="K229" i="3"/>
  <c r="H230" i="3"/>
  <c r="I230" i="3"/>
  <c r="J230" i="3"/>
  <c r="K230" i="3"/>
  <c r="H231" i="3"/>
  <c r="I231" i="3"/>
  <c r="J231" i="3"/>
  <c r="K231" i="3"/>
  <c r="H232" i="3"/>
  <c r="I232" i="3"/>
  <c r="J232" i="3"/>
  <c r="K232" i="3"/>
  <c r="H233" i="3"/>
  <c r="I233" i="3"/>
  <c r="J233" i="3"/>
  <c r="K233" i="3"/>
  <c r="H234" i="3"/>
  <c r="I234" i="3"/>
  <c r="J234" i="3"/>
  <c r="K234" i="3"/>
  <c r="H235" i="3"/>
  <c r="I235" i="3"/>
  <c r="J235" i="3"/>
  <c r="K235" i="3"/>
  <c r="H236" i="3"/>
  <c r="I236" i="3"/>
  <c r="J236" i="3"/>
  <c r="K236" i="3"/>
  <c r="H237" i="3"/>
  <c r="I237" i="3"/>
  <c r="J237" i="3"/>
  <c r="K237" i="3"/>
  <c r="H238" i="3"/>
  <c r="I238" i="3"/>
  <c r="J238" i="3"/>
  <c r="K238" i="3"/>
  <c r="H239" i="3"/>
  <c r="I239" i="3"/>
  <c r="J239" i="3"/>
  <c r="K239" i="3"/>
  <c r="H240" i="3"/>
  <c r="I240" i="3"/>
  <c r="J240" i="3"/>
  <c r="K240" i="3"/>
  <c r="H241" i="3"/>
  <c r="I241" i="3"/>
  <c r="J241" i="3"/>
  <c r="K241" i="3"/>
  <c r="H242" i="3"/>
  <c r="I242" i="3"/>
  <c r="J242" i="3"/>
  <c r="K242" i="3"/>
  <c r="H243" i="3"/>
  <c r="I243" i="3"/>
  <c r="J243" i="3"/>
  <c r="K243" i="3"/>
  <c r="H244" i="3"/>
  <c r="I244" i="3"/>
  <c r="J244" i="3"/>
  <c r="K244" i="3"/>
  <c r="H245" i="3"/>
  <c r="I245" i="3"/>
  <c r="J245" i="3"/>
  <c r="K245" i="3"/>
  <c r="H246" i="3"/>
  <c r="I246" i="3"/>
  <c r="J246" i="3"/>
  <c r="K246" i="3"/>
  <c r="H247" i="3"/>
  <c r="I247" i="3"/>
  <c r="J247" i="3"/>
  <c r="K247" i="3"/>
  <c r="H248" i="3"/>
  <c r="I248" i="3"/>
  <c r="J248" i="3"/>
  <c r="K248" i="3"/>
  <c r="H249" i="3"/>
  <c r="I249" i="3"/>
  <c r="J249" i="3"/>
  <c r="K249" i="3"/>
  <c r="H250" i="3"/>
  <c r="I250" i="3"/>
  <c r="J250" i="3"/>
  <c r="K250" i="3"/>
  <c r="H251" i="3"/>
  <c r="I251" i="3"/>
  <c r="J251" i="3"/>
  <c r="K251" i="3"/>
  <c r="H252" i="3"/>
  <c r="I252" i="3"/>
  <c r="J252" i="3"/>
  <c r="K252" i="3"/>
  <c r="H253" i="3"/>
  <c r="I253" i="3"/>
  <c r="J253" i="3"/>
  <c r="K253" i="3"/>
  <c r="H254" i="3"/>
  <c r="I254" i="3"/>
  <c r="J254" i="3"/>
  <c r="K254" i="3"/>
  <c r="H255" i="3"/>
  <c r="I255" i="3"/>
  <c r="J255" i="3"/>
  <c r="K255" i="3"/>
  <c r="H256" i="3"/>
  <c r="I256" i="3"/>
  <c r="J256" i="3"/>
  <c r="K256" i="3"/>
  <c r="H257" i="3"/>
  <c r="I257" i="3"/>
  <c r="J257" i="3"/>
  <c r="K257" i="3"/>
  <c r="H258" i="3"/>
  <c r="I258" i="3"/>
  <c r="J258" i="3"/>
  <c r="K258" i="3"/>
  <c r="H259" i="3"/>
  <c r="I259" i="3"/>
  <c r="J259" i="3"/>
  <c r="K259" i="3"/>
  <c r="H260" i="3"/>
  <c r="I260" i="3"/>
  <c r="J260" i="3"/>
  <c r="K260" i="3"/>
  <c r="H261" i="3"/>
  <c r="I261" i="3"/>
  <c r="J261" i="3"/>
  <c r="K261" i="3"/>
  <c r="H262" i="3"/>
  <c r="I262" i="3"/>
  <c r="J262" i="3"/>
  <c r="K262" i="3"/>
  <c r="H263" i="3"/>
  <c r="I263" i="3"/>
  <c r="J263" i="3"/>
  <c r="K263" i="3"/>
  <c r="H264" i="3"/>
  <c r="I264" i="3"/>
  <c r="J264" i="3"/>
  <c r="K264" i="3"/>
  <c r="H265" i="3"/>
  <c r="I265" i="3"/>
  <c r="J265" i="3"/>
  <c r="K265" i="3"/>
  <c r="H266" i="3"/>
  <c r="I266" i="3"/>
  <c r="J266" i="3"/>
  <c r="K266" i="3"/>
  <c r="H267" i="3"/>
  <c r="I267" i="3"/>
  <c r="J267" i="3"/>
  <c r="K267" i="3"/>
  <c r="H268" i="3"/>
  <c r="I268" i="3"/>
  <c r="J268" i="3"/>
  <c r="K268" i="3"/>
  <c r="H269" i="3"/>
  <c r="I269" i="3"/>
  <c r="J269" i="3"/>
  <c r="K269" i="3"/>
  <c r="H270" i="3"/>
  <c r="I270" i="3"/>
  <c r="J270" i="3"/>
  <c r="K270" i="3"/>
  <c r="H271" i="3"/>
  <c r="I271" i="3"/>
  <c r="J271" i="3"/>
  <c r="K271" i="3"/>
  <c r="H272" i="3"/>
  <c r="I272" i="3"/>
  <c r="J272" i="3"/>
  <c r="K272" i="3"/>
  <c r="H273" i="3"/>
  <c r="I273" i="3"/>
  <c r="J273" i="3"/>
  <c r="K273" i="3"/>
  <c r="H274" i="3"/>
  <c r="I274" i="3"/>
  <c r="J274" i="3"/>
  <c r="K274" i="3"/>
  <c r="H275" i="3"/>
  <c r="I275" i="3"/>
  <c r="J275" i="3"/>
  <c r="K275" i="3"/>
  <c r="H276" i="3"/>
  <c r="I276" i="3"/>
  <c r="J276" i="3"/>
  <c r="K276" i="3"/>
  <c r="H277" i="3"/>
  <c r="I277" i="3"/>
  <c r="J277" i="3"/>
  <c r="K277" i="3"/>
  <c r="H278" i="3"/>
  <c r="I278" i="3"/>
  <c r="J278" i="3"/>
  <c r="K278" i="3"/>
  <c r="H279" i="3"/>
  <c r="I279" i="3"/>
  <c r="J279" i="3"/>
  <c r="K279" i="3"/>
  <c r="H280" i="3"/>
  <c r="I280" i="3"/>
  <c r="J280" i="3"/>
  <c r="K280" i="3"/>
  <c r="H281" i="3"/>
  <c r="I281" i="3"/>
  <c r="J281" i="3"/>
  <c r="K281" i="3"/>
  <c r="H282" i="3"/>
  <c r="I282" i="3"/>
  <c r="J282" i="3"/>
  <c r="K282" i="3"/>
  <c r="H283" i="3"/>
  <c r="I283" i="3"/>
  <c r="J283" i="3"/>
  <c r="K283" i="3"/>
  <c r="H284" i="3"/>
  <c r="I284" i="3"/>
  <c r="J284" i="3"/>
  <c r="K284" i="3"/>
  <c r="H285" i="3"/>
  <c r="I285" i="3"/>
  <c r="J285" i="3"/>
  <c r="K285" i="3"/>
  <c r="H286" i="3"/>
  <c r="I286" i="3"/>
  <c r="J286" i="3"/>
  <c r="K286" i="3"/>
  <c r="H287" i="3"/>
  <c r="I287" i="3"/>
  <c r="J287" i="3"/>
  <c r="K287" i="3"/>
  <c r="H288" i="3"/>
  <c r="I288" i="3"/>
  <c r="J288" i="3"/>
  <c r="K288" i="3"/>
  <c r="H289" i="3"/>
  <c r="I289" i="3"/>
  <c r="J289" i="3"/>
  <c r="K289" i="3"/>
  <c r="H290" i="3"/>
  <c r="I290" i="3"/>
  <c r="J290" i="3"/>
  <c r="K290" i="3"/>
  <c r="H291" i="3"/>
  <c r="I291" i="3"/>
  <c r="J291" i="3"/>
  <c r="K291" i="3"/>
  <c r="H292" i="3"/>
  <c r="I292" i="3"/>
  <c r="J292" i="3"/>
  <c r="K292" i="3"/>
  <c r="H293" i="3"/>
  <c r="I293" i="3"/>
  <c r="J293" i="3"/>
  <c r="K293" i="3"/>
  <c r="H294" i="3"/>
  <c r="I294" i="3"/>
  <c r="J294" i="3"/>
  <c r="K294" i="3"/>
  <c r="H295" i="3"/>
  <c r="I295" i="3"/>
  <c r="J295" i="3"/>
  <c r="K295" i="3"/>
  <c r="H296" i="3"/>
  <c r="I296" i="3"/>
  <c r="J296" i="3"/>
  <c r="K296" i="3"/>
  <c r="H297" i="3"/>
  <c r="I297" i="3"/>
  <c r="J297" i="3"/>
  <c r="K297" i="3"/>
  <c r="H298" i="3"/>
  <c r="I298" i="3"/>
  <c r="J298" i="3"/>
  <c r="K298" i="3"/>
  <c r="H299" i="3"/>
  <c r="I299" i="3"/>
  <c r="J299" i="3"/>
  <c r="K299" i="3"/>
  <c r="H300" i="3"/>
  <c r="I300" i="3"/>
  <c r="J300" i="3"/>
  <c r="K300" i="3"/>
  <c r="H301" i="3"/>
  <c r="I301" i="3"/>
  <c r="J301" i="3"/>
  <c r="K301" i="3"/>
  <c r="H302" i="3"/>
  <c r="I302" i="3"/>
  <c r="J302" i="3"/>
  <c r="K302" i="3"/>
  <c r="H303" i="3"/>
  <c r="I303" i="3"/>
  <c r="J303" i="3"/>
  <c r="K303" i="3"/>
  <c r="H304" i="3"/>
  <c r="I304" i="3"/>
  <c r="J304" i="3"/>
  <c r="K304" i="3"/>
  <c r="H305" i="3"/>
  <c r="I305" i="3"/>
  <c r="J305" i="3"/>
  <c r="K305" i="3"/>
  <c r="H306" i="3"/>
  <c r="I306" i="3"/>
  <c r="J306" i="3"/>
  <c r="K306" i="3"/>
  <c r="H307" i="3"/>
  <c r="I307" i="3"/>
  <c r="J307" i="3"/>
  <c r="K307" i="3"/>
  <c r="H308" i="3"/>
  <c r="I308" i="3"/>
  <c r="J308" i="3"/>
  <c r="K308" i="3"/>
  <c r="H309" i="3"/>
  <c r="I309" i="3"/>
  <c r="J309" i="3"/>
  <c r="K309" i="3"/>
  <c r="H310" i="3"/>
  <c r="I310" i="3"/>
  <c r="J310" i="3"/>
  <c r="K310" i="3"/>
  <c r="H311" i="3"/>
  <c r="I311" i="3"/>
  <c r="J311" i="3"/>
  <c r="K311" i="3"/>
  <c r="H312" i="3"/>
  <c r="I312" i="3"/>
  <c r="J312" i="3"/>
  <c r="K312" i="3"/>
  <c r="H313" i="3"/>
  <c r="I313" i="3"/>
  <c r="J313" i="3"/>
  <c r="K313" i="3"/>
  <c r="H314" i="3"/>
  <c r="I314" i="3"/>
  <c r="J314" i="3"/>
  <c r="K314" i="3"/>
  <c r="H315" i="3"/>
  <c r="I315" i="3"/>
  <c r="J315" i="3"/>
  <c r="K315" i="3"/>
  <c r="H316" i="3"/>
  <c r="I316" i="3"/>
  <c r="J316" i="3"/>
  <c r="K316" i="3"/>
  <c r="H317" i="3"/>
  <c r="I317" i="3"/>
  <c r="J317" i="3"/>
  <c r="K317" i="3"/>
  <c r="H318" i="3"/>
  <c r="I318" i="3"/>
  <c r="J318" i="3"/>
  <c r="K318" i="3"/>
  <c r="H319" i="3"/>
  <c r="I319" i="3"/>
  <c r="J319" i="3"/>
  <c r="K319" i="3"/>
  <c r="H320" i="3"/>
  <c r="I320" i="3"/>
  <c r="J320" i="3"/>
  <c r="K320" i="3"/>
  <c r="H321" i="3"/>
  <c r="I321" i="3"/>
  <c r="J321" i="3"/>
  <c r="K321" i="3"/>
  <c r="H322" i="3"/>
  <c r="I322" i="3"/>
  <c r="J322" i="3"/>
  <c r="K322" i="3"/>
  <c r="H323" i="3"/>
  <c r="I323" i="3"/>
  <c r="J323" i="3"/>
  <c r="K323" i="3"/>
  <c r="H324" i="3"/>
  <c r="I324" i="3"/>
  <c r="J324" i="3"/>
  <c r="K324" i="3"/>
  <c r="H325" i="3"/>
  <c r="I325" i="3"/>
  <c r="J325" i="3"/>
  <c r="K325" i="3"/>
  <c r="H326" i="3"/>
  <c r="I326" i="3"/>
  <c r="J326" i="3"/>
  <c r="K326" i="3"/>
  <c r="H327" i="3"/>
  <c r="I327" i="3"/>
  <c r="J327" i="3"/>
  <c r="K327" i="3"/>
  <c r="H328" i="3"/>
  <c r="I328" i="3"/>
  <c r="J328" i="3"/>
  <c r="K328" i="3"/>
  <c r="H329" i="3"/>
  <c r="I329" i="3"/>
  <c r="J329" i="3"/>
  <c r="K329" i="3"/>
  <c r="H330" i="3"/>
  <c r="I330" i="3"/>
  <c r="J330" i="3"/>
  <c r="K330" i="3"/>
  <c r="H331" i="3"/>
  <c r="I331" i="3"/>
  <c r="J331" i="3"/>
  <c r="K331" i="3"/>
  <c r="H332" i="3"/>
  <c r="I332" i="3"/>
  <c r="J332" i="3"/>
  <c r="K332" i="3"/>
  <c r="H333" i="3"/>
  <c r="I333" i="3"/>
  <c r="J333" i="3"/>
  <c r="K333" i="3"/>
  <c r="H334" i="3"/>
  <c r="I334" i="3"/>
  <c r="J334" i="3"/>
  <c r="K334" i="3"/>
  <c r="H335" i="3"/>
  <c r="I335" i="3"/>
  <c r="J335" i="3"/>
  <c r="K335" i="3"/>
  <c r="H336" i="3"/>
  <c r="I336" i="3"/>
  <c r="J336" i="3"/>
  <c r="K336" i="3"/>
  <c r="H337" i="3"/>
  <c r="I337" i="3"/>
  <c r="J337" i="3"/>
  <c r="K337" i="3"/>
  <c r="H338" i="3"/>
  <c r="I338" i="3"/>
  <c r="J338" i="3"/>
  <c r="K338" i="3"/>
  <c r="H339" i="3"/>
  <c r="I339" i="3"/>
  <c r="J339" i="3"/>
  <c r="K339" i="3"/>
  <c r="H340" i="3"/>
  <c r="I340" i="3"/>
  <c r="J340" i="3"/>
  <c r="K340" i="3"/>
  <c r="H341" i="3"/>
  <c r="I341" i="3"/>
  <c r="J341" i="3"/>
  <c r="K341" i="3"/>
  <c r="H342" i="3"/>
  <c r="I342" i="3"/>
  <c r="J342" i="3"/>
  <c r="K342" i="3"/>
  <c r="H343" i="3"/>
  <c r="I343" i="3"/>
  <c r="J343" i="3"/>
  <c r="K343" i="3"/>
  <c r="H344" i="3"/>
  <c r="I344" i="3"/>
  <c r="J344" i="3"/>
  <c r="K344" i="3"/>
  <c r="H345" i="3"/>
  <c r="I345" i="3"/>
  <c r="J345" i="3"/>
  <c r="K345" i="3"/>
  <c r="H346" i="3"/>
  <c r="I346" i="3"/>
  <c r="J346" i="3"/>
  <c r="K346" i="3"/>
  <c r="H347" i="3"/>
  <c r="I347" i="3"/>
  <c r="J347" i="3"/>
  <c r="K347" i="3"/>
  <c r="H348" i="3"/>
  <c r="I348" i="3"/>
  <c r="J348" i="3"/>
  <c r="K348" i="3"/>
  <c r="H349" i="3"/>
  <c r="I349" i="3"/>
  <c r="J349" i="3"/>
  <c r="K349" i="3"/>
  <c r="H350" i="3"/>
  <c r="I350" i="3"/>
  <c r="J350" i="3"/>
  <c r="K350" i="3"/>
  <c r="H351" i="3"/>
  <c r="I351" i="3"/>
  <c r="J351" i="3"/>
  <c r="K351" i="3"/>
  <c r="H352" i="3"/>
  <c r="I352" i="3"/>
  <c r="J352" i="3"/>
  <c r="K352" i="3"/>
  <c r="H353" i="3"/>
  <c r="I353" i="3"/>
  <c r="J353" i="3"/>
  <c r="K353" i="3"/>
  <c r="H354" i="3"/>
  <c r="I354" i="3"/>
  <c r="J354" i="3"/>
  <c r="K354" i="3"/>
  <c r="H355" i="3"/>
  <c r="I355" i="3"/>
  <c r="J355" i="3"/>
  <c r="K355" i="3"/>
  <c r="H356" i="3"/>
  <c r="I356" i="3"/>
  <c r="J356" i="3"/>
  <c r="K356" i="3"/>
  <c r="H357" i="3"/>
  <c r="I357" i="3"/>
  <c r="J357" i="3"/>
  <c r="K357" i="3"/>
  <c r="H358" i="3"/>
  <c r="I358" i="3"/>
  <c r="J358" i="3"/>
  <c r="K358" i="3"/>
  <c r="H359" i="3"/>
  <c r="I359" i="3"/>
  <c r="J359" i="3"/>
  <c r="K359" i="3"/>
  <c r="H360" i="3"/>
  <c r="I360" i="3"/>
  <c r="J360" i="3"/>
  <c r="K360" i="3"/>
  <c r="H361" i="3"/>
  <c r="I361" i="3"/>
  <c r="J361" i="3"/>
  <c r="K361" i="3"/>
  <c r="H362" i="3"/>
  <c r="I362" i="3"/>
  <c r="J362" i="3"/>
  <c r="K362" i="3"/>
  <c r="H363" i="3"/>
  <c r="I363" i="3"/>
  <c r="J363" i="3"/>
  <c r="K363" i="3"/>
  <c r="H364" i="3"/>
  <c r="I364" i="3"/>
  <c r="J364" i="3"/>
  <c r="K364" i="3"/>
  <c r="H365" i="3"/>
  <c r="I365" i="3"/>
  <c r="J365" i="3"/>
  <c r="K365" i="3"/>
  <c r="H366" i="3"/>
  <c r="I366" i="3"/>
  <c r="J366" i="3"/>
  <c r="K366" i="3"/>
  <c r="H367" i="3"/>
  <c r="I367" i="3"/>
  <c r="J367" i="3"/>
  <c r="K367" i="3"/>
  <c r="H368" i="3"/>
  <c r="I368" i="3"/>
  <c r="J368" i="3"/>
  <c r="K368" i="3"/>
  <c r="H369" i="3"/>
  <c r="I369" i="3"/>
  <c r="J369" i="3"/>
  <c r="K369" i="3"/>
  <c r="H370" i="3"/>
  <c r="I370" i="3"/>
  <c r="J370" i="3"/>
  <c r="K370" i="3"/>
  <c r="H371" i="3"/>
  <c r="I371" i="3"/>
  <c r="J371" i="3"/>
  <c r="K371" i="3"/>
  <c r="H372" i="3"/>
  <c r="I372" i="3"/>
  <c r="J372" i="3"/>
  <c r="K372" i="3"/>
  <c r="H373" i="3"/>
  <c r="I373" i="3"/>
  <c r="J373" i="3"/>
  <c r="K373" i="3"/>
  <c r="H374" i="3"/>
  <c r="I374" i="3"/>
  <c r="J374" i="3"/>
  <c r="K374" i="3"/>
  <c r="H375" i="3"/>
  <c r="I375" i="3"/>
  <c r="J375" i="3"/>
  <c r="K375" i="3"/>
  <c r="H376" i="3"/>
  <c r="I376" i="3"/>
  <c r="J376" i="3"/>
  <c r="K376" i="3"/>
  <c r="H377" i="3"/>
  <c r="I377" i="3"/>
  <c r="J377" i="3"/>
  <c r="K377" i="3"/>
  <c r="H378" i="3"/>
  <c r="I378" i="3"/>
  <c r="J378" i="3"/>
  <c r="K378" i="3"/>
  <c r="H379" i="3"/>
  <c r="I379" i="3"/>
  <c r="J379" i="3"/>
  <c r="K379" i="3"/>
  <c r="H380" i="3"/>
  <c r="I380" i="3"/>
  <c r="J380" i="3"/>
  <c r="K380" i="3"/>
  <c r="H381" i="3"/>
  <c r="I381" i="3"/>
  <c r="J381" i="3"/>
  <c r="K381" i="3"/>
  <c r="H382" i="3"/>
  <c r="I382" i="3"/>
  <c r="J382" i="3"/>
  <c r="K382" i="3"/>
  <c r="H383" i="3"/>
  <c r="I383" i="3"/>
  <c r="J383" i="3"/>
  <c r="K383" i="3"/>
  <c r="H384" i="3"/>
  <c r="I384" i="3"/>
  <c r="J384" i="3"/>
  <c r="K384" i="3"/>
  <c r="H385" i="3"/>
  <c r="I385" i="3"/>
  <c r="J385" i="3"/>
  <c r="K385" i="3"/>
  <c r="H386" i="3"/>
  <c r="I386" i="3"/>
  <c r="J386" i="3"/>
  <c r="K386" i="3"/>
  <c r="H387" i="3"/>
  <c r="I387" i="3"/>
  <c r="J387" i="3"/>
  <c r="K387" i="3"/>
  <c r="H388" i="3"/>
  <c r="I388" i="3"/>
  <c r="J388" i="3"/>
  <c r="K388" i="3"/>
  <c r="H389" i="3"/>
  <c r="I389" i="3"/>
  <c r="J389" i="3"/>
  <c r="K389" i="3"/>
  <c r="H390" i="3"/>
  <c r="I390" i="3"/>
  <c r="J390" i="3"/>
  <c r="K390" i="3"/>
  <c r="H391" i="3"/>
  <c r="I391" i="3"/>
  <c r="J391" i="3"/>
  <c r="K391" i="3"/>
  <c r="H392" i="3"/>
  <c r="I392" i="3"/>
  <c r="J392" i="3"/>
  <c r="K392" i="3"/>
  <c r="H393" i="3"/>
  <c r="I393" i="3"/>
  <c r="J393" i="3"/>
  <c r="K393" i="3"/>
  <c r="H394" i="3"/>
  <c r="I394" i="3"/>
  <c r="J394" i="3"/>
  <c r="K394" i="3"/>
  <c r="H395" i="3"/>
  <c r="I395" i="3"/>
  <c r="J395" i="3"/>
  <c r="K395" i="3"/>
  <c r="H396" i="3"/>
  <c r="I396" i="3"/>
  <c r="J396" i="3"/>
  <c r="K396" i="3"/>
  <c r="H397" i="3"/>
  <c r="I397" i="3"/>
  <c r="J397" i="3"/>
  <c r="K397" i="3"/>
  <c r="H398" i="3"/>
  <c r="I398" i="3"/>
  <c r="J398" i="3"/>
  <c r="K398" i="3"/>
  <c r="H399" i="3"/>
  <c r="I399" i="3"/>
  <c r="J399" i="3"/>
  <c r="K399" i="3"/>
  <c r="H400" i="3"/>
  <c r="I400" i="3"/>
  <c r="J400" i="3"/>
  <c r="K400" i="3"/>
  <c r="H401" i="3"/>
  <c r="I401" i="3"/>
  <c r="J401" i="3"/>
  <c r="K401" i="3"/>
  <c r="H402" i="3"/>
  <c r="I402" i="3"/>
  <c r="J402" i="3"/>
  <c r="K402" i="3"/>
  <c r="H403" i="3"/>
  <c r="I403" i="3"/>
  <c r="J403" i="3"/>
  <c r="K403" i="3"/>
  <c r="H404" i="3"/>
  <c r="I404" i="3"/>
  <c r="J404" i="3"/>
  <c r="K404" i="3"/>
  <c r="H405" i="3"/>
  <c r="I405" i="3"/>
  <c r="J405" i="3"/>
  <c r="K405" i="3"/>
  <c r="H406" i="3"/>
  <c r="I406" i="3"/>
  <c r="J406" i="3"/>
  <c r="K406" i="3"/>
  <c r="H407" i="3"/>
  <c r="I407" i="3"/>
  <c r="J407" i="3"/>
  <c r="K407" i="3"/>
  <c r="H408" i="3"/>
  <c r="I408" i="3"/>
  <c r="J408" i="3"/>
  <c r="K408" i="3"/>
  <c r="H409" i="3"/>
  <c r="I409" i="3"/>
  <c r="J409" i="3"/>
  <c r="K409" i="3"/>
  <c r="H410" i="3"/>
  <c r="I410" i="3"/>
  <c r="J410" i="3"/>
  <c r="K410" i="3"/>
  <c r="H411" i="3"/>
  <c r="I411" i="3"/>
  <c r="J411" i="3"/>
  <c r="K411" i="3"/>
  <c r="H412" i="3"/>
  <c r="I412" i="3"/>
  <c r="J412" i="3"/>
  <c r="K412" i="3"/>
  <c r="H413" i="3"/>
  <c r="I413" i="3"/>
  <c r="J413" i="3"/>
  <c r="K413" i="3"/>
  <c r="H414" i="3"/>
  <c r="I414" i="3"/>
  <c r="J414" i="3"/>
  <c r="K414" i="3"/>
  <c r="H415" i="3"/>
  <c r="I415" i="3"/>
  <c r="J415" i="3"/>
  <c r="K415" i="3"/>
  <c r="H416" i="3"/>
  <c r="I416" i="3"/>
  <c r="J416" i="3"/>
  <c r="K416" i="3"/>
  <c r="H417" i="3"/>
  <c r="I417" i="3"/>
  <c r="J417" i="3"/>
  <c r="K417" i="3"/>
  <c r="H418" i="3"/>
  <c r="I418" i="3"/>
  <c r="J418" i="3"/>
  <c r="K418" i="3"/>
  <c r="H419" i="3"/>
  <c r="I419" i="3"/>
  <c r="J419" i="3"/>
  <c r="K419" i="3"/>
  <c r="H420" i="3"/>
  <c r="I420" i="3"/>
  <c r="J420" i="3"/>
  <c r="K420" i="3"/>
  <c r="H421" i="3"/>
  <c r="I421" i="3"/>
  <c r="J421" i="3"/>
  <c r="K421" i="3"/>
  <c r="H422" i="3"/>
  <c r="I422" i="3"/>
  <c r="J422" i="3"/>
  <c r="K422" i="3"/>
  <c r="H423" i="3"/>
  <c r="I423" i="3"/>
  <c r="J423" i="3"/>
  <c r="K423" i="3"/>
  <c r="H424" i="3"/>
  <c r="I424" i="3"/>
  <c r="J424" i="3"/>
  <c r="K424" i="3"/>
  <c r="H425" i="3"/>
  <c r="I425" i="3"/>
  <c r="J425" i="3"/>
  <c r="K425" i="3"/>
  <c r="H426" i="3"/>
  <c r="I426" i="3"/>
  <c r="J426" i="3"/>
  <c r="K426" i="3"/>
  <c r="H427" i="3"/>
  <c r="I427" i="3"/>
  <c r="J427" i="3"/>
  <c r="K427" i="3"/>
  <c r="H428" i="3"/>
  <c r="I428" i="3"/>
  <c r="J428" i="3"/>
  <c r="K428" i="3"/>
  <c r="H429" i="3"/>
  <c r="I429" i="3"/>
  <c r="J429" i="3"/>
  <c r="K429" i="3"/>
  <c r="H430" i="3"/>
  <c r="I430" i="3"/>
  <c r="J430" i="3"/>
  <c r="K430" i="3"/>
  <c r="H431" i="3"/>
  <c r="I431" i="3"/>
  <c r="J431" i="3"/>
  <c r="K431" i="3"/>
  <c r="H3" i="4"/>
  <c r="I3" i="4"/>
  <c r="J3" i="4"/>
  <c r="K3" i="4"/>
  <c r="H4" i="4"/>
  <c r="I4" i="4"/>
  <c r="J4" i="4"/>
  <c r="K4" i="4"/>
  <c r="H5" i="4"/>
  <c r="I5" i="4"/>
  <c r="J5" i="4"/>
  <c r="K5" i="4"/>
  <c r="H6" i="4"/>
  <c r="I6" i="4"/>
  <c r="J6" i="4"/>
  <c r="K6" i="4"/>
  <c r="H7" i="4"/>
  <c r="I7" i="4"/>
  <c r="J7" i="4"/>
  <c r="K7" i="4"/>
  <c r="H8" i="4"/>
  <c r="I8" i="4"/>
  <c r="J8" i="4"/>
  <c r="K8" i="4"/>
  <c r="H9" i="4"/>
  <c r="I9" i="4"/>
  <c r="J9" i="4"/>
  <c r="K9" i="4"/>
  <c r="H10" i="4"/>
  <c r="I10" i="4"/>
  <c r="J10" i="4"/>
  <c r="K10" i="4"/>
  <c r="H11" i="4"/>
  <c r="I11" i="4"/>
  <c r="J11" i="4"/>
  <c r="K11" i="4"/>
  <c r="H12" i="4"/>
  <c r="I12" i="4"/>
  <c r="J12" i="4"/>
  <c r="K12" i="4"/>
  <c r="H13" i="4"/>
  <c r="I13" i="4"/>
  <c r="J13" i="4"/>
  <c r="K13" i="4"/>
  <c r="H14" i="4"/>
  <c r="I14" i="4"/>
  <c r="J14" i="4"/>
  <c r="K14" i="4"/>
  <c r="H15" i="4"/>
  <c r="I15" i="4"/>
  <c r="J15" i="4"/>
  <c r="K15" i="4"/>
  <c r="H16" i="4"/>
  <c r="I16" i="4"/>
  <c r="J16" i="4"/>
  <c r="K16" i="4"/>
  <c r="H17" i="4"/>
  <c r="I17" i="4"/>
  <c r="J17" i="4"/>
  <c r="K17" i="4"/>
  <c r="H18" i="4"/>
  <c r="I18" i="4"/>
  <c r="J18" i="4"/>
  <c r="K18" i="4"/>
  <c r="H19" i="4"/>
  <c r="I19" i="4"/>
  <c r="J19" i="4"/>
  <c r="K19" i="4"/>
  <c r="H20" i="4"/>
  <c r="I20" i="4"/>
  <c r="J20" i="4"/>
  <c r="K20" i="4"/>
  <c r="H21" i="4"/>
  <c r="I21" i="4"/>
  <c r="J21" i="4"/>
  <c r="K21" i="4"/>
  <c r="H22" i="4"/>
  <c r="I22" i="4"/>
  <c r="J22" i="4"/>
  <c r="K22" i="4"/>
  <c r="H23" i="4"/>
  <c r="I23" i="4"/>
  <c r="J23" i="4"/>
  <c r="K23" i="4"/>
  <c r="H24" i="4"/>
  <c r="I24" i="4"/>
  <c r="J24" i="4"/>
  <c r="K24" i="4"/>
  <c r="H25" i="4"/>
  <c r="I25" i="4"/>
  <c r="J25" i="4"/>
  <c r="K25" i="4"/>
  <c r="H26" i="4"/>
  <c r="I26" i="4"/>
  <c r="J26" i="4"/>
  <c r="K26" i="4"/>
  <c r="H27" i="4"/>
  <c r="I27" i="4"/>
  <c r="J27" i="4"/>
  <c r="K27" i="4"/>
  <c r="H28" i="4"/>
  <c r="I28" i="4"/>
  <c r="J28" i="4"/>
  <c r="K28" i="4"/>
  <c r="H29" i="4"/>
  <c r="I29" i="4"/>
  <c r="J29" i="4"/>
  <c r="K29" i="4"/>
  <c r="H30" i="4"/>
  <c r="I30" i="4"/>
  <c r="J30" i="4"/>
  <c r="K30" i="4"/>
  <c r="H31" i="4"/>
  <c r="I31" i="4"/>
  <c r="J31" i="4"/>
  <c r="K31" i="4"/>
  <c r="H32" i="4"/>
  <c r="I32" i="4"/>
  <c r="J32" i="4"/>
  <c r="K32" i="4"/>
  <c r="H33" i="4"/>
  <c r="I33" i="4"/>
  <c r="J33" i="4"/>
  <c r="K33" i="4"/>
  <c r="H34" i="4"/>
  <c r="I34" i="4"/>
  <c r="J34" i="4"/>
  <c r="K34" i="4"/>
  <c r="H35" i="4"/>
  <c r="I35" i="4"/>
  <c r="J35" i="4"/>
  <c r="K35" i="4"/>
  <c r="H36" i="4"/>
  <c r="I36" i="4"/>
  <c r="J36" i="4"/>
  <c r="K36" i="4"/>
  <c r="H37" i="4"/>
  <c r="I37" i="4"/>
  <c r="J37" i="4"/>
  <c r="K37" i="4"/>
  <c r="H38" i="4"/>
  <c r="I38" i="4"/>
  <c r="J38" i="4"/>
  <c r="K38" i="4"/>
  <c r="H39" i="4"/>
  <c r="I39" i="4"/>
  <c r="J39" i="4"/>
  <c r="K39" i="4"/>
  <c r="H40" i="4"/>
  <c r="I40" i="4"/>
  <c r="J40" i="4"/>
  <c r="K40" i="4"/>
  <c r="H41" i="4"/>
  <c r="I41" i="4"/>
  <c r="J41" i="4"/>
  <c r="K41" i="4"/>
  <c r="H42" i="4"/>
  <c r="I42" i="4"/>
  <c r="J42" i="4"/>
  <c r="K42" i="4"/>
  <c r="H43" i="4"/>
  <c r="I43" i="4"/>
  <c r="J43" i="4"/>
  <c r="K43" i="4"/>
  <c r="H44" i="4"/>
  <c r="I44" i="4"/>
  <c r="J44" i="4"/>
  <c r="K44" i="4"/>
  <c r="H45" i="4"/>
  <c r="I45" i="4"/>
  <c r="J45" i="4"/>
  <c r="K45" i="4"/>
  <c r="H46" i="4"/>
  <c r="I46" i="4"/>
  <c r="J46" i="4"/>
  <c r="K46" i="4"/>
  <c r="H47" i="4"/>
  <c r="I47" i="4"/>
  <c r="J47" i="4"/>
  <c r="K47" i="4"/>
  <c r="H48" i="4"/>
  <c r="I48" i="4"/>
  <c r="J48" i="4"/>
  <c r="K48" i="4"/>
  <c r="H49" i="4"/>
  <c r="I49" i="4"/>
  <c r="J49" i="4"/>
  <c r="K49" i="4"/>
  <c r="H50" i="4"/>
  <c r="I50" i="4"/>
  <c r="J50" i="4"/>
  <c r="K50" i="4"/>
  <c r="H51" i="4"/>
  <c r="I51" i="4"/>
  <c r="J51" i="4"/>
  <c r="K51" i="4"/>
  <c r="H52" i="4"/>
  <c r="I52" i="4"/>
  <c r="J52" i="4"/>
  <c r="K52" i="4"/>
  <c r="H53" i="4"/>
  <c r="I53" i="4"/>
  <c r="J53" i="4"/>
  <c r="K53" i="4"/>
  <c r="H54" i="4"/>
  <c r="I54" i="4"/>
  <c r="J54" i="4"/>
  <c r="K54" i="4"/>
  <c r="H55" i="4"/>
  <c r="I55" i="4"/>
  <c r="J55" i="4"/>
  <c r="K55" i="4"/>
  <c r="H56" i="4"/>
  <c r="I56" i="4"/>
  <c r="J56" i="4"/>
  <c r="K56" i="4"/>
  <c r="H57" i="4"/>
  <c r="I57" i="4"/>
  <c r="J57" i="4"/>
  <c r="K57" i="4"/>
  <c r="H58" i="4"/>
  <c r="I58" i="4"/>
  <c r="J58" i="4"/>
  <c r="K58" i="4"/>
  <c r="H59" i="4"/>
  <c r="I59" i="4"/>
  <c r="J59" i="4"/>
  <c r="K59" i="4"/>
  <c r="H60" i="4"/>
  <c r="I60" i="4"/>
  <c r="J60" i="4"/>
  <c r="K60" i="4"/>
  <c r="H61" i="4"/>
  <c r="I61" i="4"/>
  <c r="J61" i="4"/>
  <c r="K61" i="4"/>
  <c r="H62" i="4"/>
  <c r="I62" i="4"/>
  <c r="J62" i="4"/>
  <c r="K62" i="4"/>
  <c r="H63" i="4"/>
  <c r="I63" i="4"/>
  <c r="J63" i="4"/>
  <c r="K63" i="4"/>
  <c r="H64" i="4"/>
  <c r="I64" i="4"/>
  <c r="J64" i="4"/>
  <c r="K64" i="4"/>
  <c r="H65" i="4"/>
  <c r="I65" i="4"/>
  <c r="J65" i="4"/>
  <c r="K65" i="4"/>
  <c r="H66" i="4"/>
  <c r="I66" i="4"/>
  <c r="J66" i="4"/>
  <c r="K66" i="4"/>
  <c r="H67" i="4"/>
  <c r="I67" i="4"/>
  <c r="J67" i="4"/>
  <c r="K67" i="4"/>
  <c r="H68" i="4"/>
  <c r="I68" i="4"/>
  <c r="J68" i="4"/>
  <c r="K68" i="4"/>
  <c r="H69" i="4"/>
  <c r="I69" i="4"/>
  <c r="J69" i="4"/>
  <c r="K69" i="4"/>
  <c r="H70" i="4"/>
  <c r="I70" i="4"/>
  <c r="J70" i="4"/>
  <c r="K70" i="4"/>
  <c r="H71" i="4"/>
  <c r="I71" i="4"/>
  <c r="J71" i="4"/>
  <c r="K71" i="4"/>
  <c r="H72" i="4"/>
  <c r="I72" i="4"/>
  <c r="J72" i="4"/>
  <c r="K72" i="4"/>
  <c r="H73" i="4"/>
  <c r="I73" i="4"/>
  <c r="J73" i="4"/>
  <c r="K73" i="4"/>
  <c r="H74" i="4"/>
  <c r="I74" i="4"/>
  <c r="J74" i="4"/>
  <c r="K74" i="4"/>
  <c r="H75" i="4"/>
  <c r="I75" i="4"/>
  <c r="J75" i="4"/>
  <c r="K75" i="4"/>
  <c r="H76" i="4"/>
  <c r="I76" i="4"/>
  <c r="J76" i="4"/>
  <c r="K76" i="4"/>
  <c r="H77" i="4"/>
  <c r="I77" i="4"/>
  <c r="J77" i="4"/>
  <c r="K77" i="4"/>
  <c r="H78" i="4"/>
  <c r="I78" i="4"/>
  <c r="J78" i="4"/>
  <c r="K78" i="4"/>
  <c r="H79" i="4"/>
  <c r="I79" i="4"/>
  <c r="J79" i="4"/>
  <c r="K79" i="4"/>
  <c r="H80" i="4"/>
  <c r="I80" i="4"/>
  <c r="J80" i="4"/>
  <c r="K80" i="4"/>
  <c r="H81" i="4"/>
  <c r="I81" i="4"/>
  <c r="J81" i="4"/>
  <c r="K81" i="4"/>
  <c r="H82" i="4"/>
  <c r="I82" i="4"/>
  <c r="J82" i="4"/>
  <c r="K82" i="4"/>
  <c r="H83" i="4"/>
  <c r="I83" i="4"/>
  <c r="J83" i="4"/>
  <c r="K83" i="4"/>
  <c r="H84" i="4"/>
  <c r="I84" i="4"/>
  <c r="J84" i="4"/>
  <c r="K84" i="4"/>
  <c r="H85" i="4"/>
  <c r="I85" i="4"/>
  <c r="J85" i="4"/>
  <c r="K85" i="4"/>
  <c r="H86" i="4"/>
  <c r="I86" i="4"/>
  <c r="J86" i="4"/>
  <c r="K86" i="4"/>
  <c r="H87" i="4"/>
  <c r="I87" i="4"/>
  <c r="J87" i="4"/>
  <c r="K87" i="4"/>
  <c r="H88" i="4"/>
  <c r="I88" i="4"/>
  <c r="J88" i="4"/>
  <c r="K88" i="4"/>
  <c r="H89" i="4"/>
  <c r="I89" i="4"/>
  <c r="J89" i="4"/>
  <c r="K89" i="4"/>
  <c r="H90" i="4"/>
  <c r="I90" i="4"/>
  <c r="J90" i="4"/>
  <c r="K90" i="4"/>
  <c r="H91" i="4"/>
  <c r="I91" i="4"/>
  <c r="J91" i="4"/>
  <c r="K91" i="4"/>
  <c r="H92" i="4"/>
  <c r="I92" i="4"/>
  <c r="J92" i="4"/>
  <c r="K92" i="4"/>
  <c r="H93" i="4"/>
  <c r="I93" i="4"/>
  <c r="J93" i="4"/>
  <c r="K93" i="4"/>
  <c r="H94" i="4"/>
  <c r="I94" i="4"/>
  <c r="J94" i="4"/>
  <c r="K94" i="4"/>
  <c r="H95" i="4"/>
  <c r="I95" i="4"/>
  <c r="J95" i="4"/>
  <c r="K95" i="4"/>
  <c r="H96" i="4"/>
  <c r="I96" i="4"/>
  <c r="J96" i="4"/>
  <c r="K96" i="4"/>
  <c r="H97" i="4"/>
  <c r="I97" i="4"/>
  <c r="J97" i="4"/>
  <c r="K97" i="4"/>
  <c r="H98" i="4"/>
  <c r="I98" i="4"/>
  <c r="J98" i="4"/>
  <c r="K98" i="4"/>
  <c r="H99" i="4"/>
  <c r="I99" i="4"/>
  <c r="J99" i="4"/>
  <c r="K99" i="4"/>
  <c r="H100" i="4"/>
  <c r="I100" i="4"/>
  <c r="J100" i="4"/>
  <c r="K100" i="4"/>
  <c r="H101" i="4"/>
  <c r="I101" i="4"/>
  <c r="J101" i="4"/>
  <c r="K101" i="4"/>
  <c r="H102" i="4"/>
  <c r="I102" i="4"/>
  <c r="J102" i="4"/>
  <c r="K102" i="4"/>
  <c r="H103" i="4"/>
  <c r="I103" i="4"/>
  <c r="J103" i="4"/>
  <c r="K103" i="4"/>
  <c r="H104" i="4"/>
  <c r="I104" i="4"/>
  <c r="J104" i="4"/>
  <c r="K104" i="4"/>
  <c r="H105" i="4"/>
  <c r="I105" i="4"/>
  <c r="J105" i="4"/>
  <c r="K105" i="4"/>
  <c r="H106" i="4"/>
  <c r="I106" i="4"/>
  <c r="J106" i="4"/>
  <c r="K106" i="4"/>
  <c r="H107" i="4"/>
  <c r="I107" i="4"/>
  <c r="J107" i="4"/>
  <c r="K107" i="4"/>
  <c r="H108" i="4"/>
  <c r="I108" i="4"/>
  <c r="J108" i="4"/>
  <c r="K108" i="4"/>
  <c r="H109" i="4"/>
  <c r="I109" i="4"/>
  <c r="J109" i="4"/>
  <c r="K109" i="4"/>
  <c r="H110" i="4"/>
  <c r="I110" i="4"/>
  <c r="J110" i="4"/>
  <c r="K110" i="4"/>
  <c r="H111" i="4"/>
  <c r="I111" i="4"/>
  <c r="J111" i="4"/>
  <c r="K111" i="4"/>
  <c r="H112" i="4"/>
  <c r="I112" i="4"/>
  <c r="J112" i="4"/>
  <c r="K112" i="4"/>
  <c r="H113" i="4"/>
  <c r="I113" i="4"/>
  <c r="J113" i="4"/>
  <c r="K113" i="4"/>
  <c r="H114" i="4"/>
  <c r="I114" i="4"/>
  <c r="J114" i="4"/>
  <c r="K114" i="4"/>
  <c r="H115" i="4"/>
  <c r="I115" i="4"/>
  <c r="J115" i="4"/>
  <c r="K115" i="4"/>
  <c r="H116" i="4"/>
  <c r="I116" i="4"/>
  <c r="J116" i="4"/>
  <c r="K116" i="4"/>
  <c r="H117" i="4"/>
  <c r="I117" i="4"/>
  <c r="J117" i="4"/>
  <c r="K117" i="4"/>
  <c r="H118" i="4"/>
  <c r="I118" i="4"/>
  <c r="J118" i="4"/>
  <c r="K118" i="4"/>
  <c r="H119" i="4"/>
  <c r="I119" i="4"/>
  <c r="J119" i="4"/>
  <c r="K119" i="4"/>
  <c r="H120" i="4"/>
  <c r="I120" i="4"/>
  <c r="J120" i="4"/>
  <c r="K120" i="4"/>
  <c r="H121" i="4"/>
  <c r="I121" i="4"/>
  <c r="J121" i="4"/>
  <c r="K121" i="4"/>
  <c r="H122" i="4"/>
  <c r="I122" i="4"/>
  <c r="J122" i="4"/>
  <c r="K122" i="4"/>
  <c r="H123" i="4"/>
  <c r="I123" i="4"/>
  <c r="J123" i="4"/>
  <c r="K123" i="4"/>
  <c r="H124" i="4"/>
  <c r="I124" i="4"/>
  <c r="J124" i="4"/>
  <c r="K124" i="4"/>
  <c r="H125" i="4"/>
  <c r="I125" i="4"/>
  <c r="J125" i="4"/>
  <c r="K125" i="4"/>
  <c r="H126" i="4"/>
  <c r="I126" i="4"/>
  <c r="J126" i="4"/>
  <c r="K126" i="4"/>
  <c r="H127" i="4"/>
  <c r="I127" i="4"/>
  <c r="J127" i="4"/>
  <c r="K127" i="4"/>
  <c r="H128" i="4"/>
  <c r="I128" i="4"/>
  <c r="J128" i="4"/>
  <c r="K128" i="4"/>
  <c r="H129" i="4"/>
  <c r="I129" i="4"/>
  <c r="J129" i="4"/>
  <c r="K129" i="4"/>
  <c r="H130" i="4"/>
  <c r="I130" i="4"/>
  <c r="J130" i="4"/>
  <c r="K130" i="4"/>
  <c r="H131" i="4"/>
  <c r="I131" i="4"/>
  <c r="J131" i="4"/>
  <c r="K131" i="4"/>
  <c r="H132" i="4"/>
  <c r="I132" i="4"/>
  <c r="J132" i="4"/>
  <c r="K132" i="4"/>
  <c r="H133" i="4"/>
  <c r="I133" i="4"/>
  <c r="J133" i="4"/>
  <c r="K133" i="4"/>
  <c r="H134" i="4"/>
  <c r="I134" i="4"/>
  <c r="J134" i="4"/>
  <c r="K134" i="4"/>
  <c r="H135" i="4"/>
  <c r="I135" i="4"/>
  <c r="J135" i="4"/>
  <c r="K135" i="4"/>
  <c r="H136" i="4"/>
  <c r="I136" i="4"/>
  <c r="J136" i="4"/>
  <c r="K136" i="4"/>
  <c r="H137" i="4"/>
  <c r="I137" i="4"/>
  <c r="J137" i="4"/>
  <c r="K137" i="4"/>
  <c r="H138" i="4"/>
  <c r="I138" i="4"/>
  <c r="J138" i="4"/>
  <c r="K138" i="4"/>
  <c r="H139" i="4"/>
  <c r="I139" i="4"/>
  <c r="J139" i="4"/>
  <c r="K139" i="4"/>
  <c r="H140" i="4"/>
  <c r="I140" i="4"/>
  <c r="J140" i="4"/>
  <c r="K140" i="4"/>
  <c r="H141" i="4"/>
  <c r="I141" i="4"/>
  <c r="J141" i="4"/>
  <c r="K141" i="4"/>
  <c r="H142" i="4"/>
  <c r="I142" i="4"/>
  <c r="J142" i="4"/>
  <c r="K142" i="4"/>
  <c r="H143" i="4"/>
  <c r="I143" i="4"/>
  <c r="J143" i="4"/>
  <c r="K143" i="4"/>
  <c r="H144" i="4"/>
  <c r="I144" i="4"/>
  <c r="J144" i="4"/>
  <c r="K144" i="4"/>
  <c r="H145" i="4"/>
  <c r="I145" i="4"/>
  <c r="J145" i="4"/>
  <c r="K145" i="4"/>
  <c r="H146" i="4"/>
  <c r="I146" i="4"/>
  <c r="J146" i="4"/>
  <c r="K146" i="4"/>
  <c r="H147" i="4"/>
  <c r="I147" i="4"/>
  <c r="J147" i="4"/>
  <c r="K147" i="4"/>
  <c r="H148" i="4"/>
  <c r="I148" i="4"/>
  <c r="J148" i="4"/>
  <c r="K148" i="4"/>
  <c r="H149" i="4"/>
  <c r="I149" i="4"/>
  <c r="J149" i="4"/>
  <c r="K149" i="4"/>
  <c r="H150" i="4"/>
  <c r="I150" i="4"/>
  <c r="J150" i="4"/>
  <c r="K150" i="4"/>
  <c r="H151" i="4"/>
  <c r="I151" i="4"/>
  <c r="J151" i="4"/>
  <c r="K151" i="4"/>
  <c r="H152" i="4"/>
  <c r="I152" i="4"/>
  <c r="J152" i="4"/>
  <c r="K152" i="4"/>
  <c r="H153" i="4"/>
  <c r="I153" i="4"/>
  <c r="J153" i="4"/>
  <c r="K153" i="4"/>
  <c r="H154" i="4"/>
  <c r="I154" i="4"/>
  <c r="J154" i="4"/>
  <c r="K154" i="4"/>
  <c r="H155" i="4"/>
  <c r="I155" i="4"/>
  <c r="J155" i="4"/>
  <c r="K155" i="4"/>
  <c r="H156" i="4"/>
  <c r="I156" i="4"/>
  <c r="J156" i="4"/>
  <c r="K156" i="4"/>
  <c r="H157" i="4"/>
  <c r="I157" i="4"/>
  <c r="J157" i="4"/>
  <c r="K157" i="4"/>
  <c r="H158" i="4"/>
  <c r="I158" i="4"/>
  <c r="J158" i="4"/>
  <c r="K158" i="4"/>
  <c r="H159" i="4"/>
  <c r="I159" i="4"/>
  <c r="J159" i="4"/>
  <c r="K159" i="4"/>
  <c r="H160" i="4"/>
  <c r="I160" i="4"/>
  <c r="J160" i="4"/>
  <c r="K160" i="4"/>
  <c r="H161" i="4"/>
  <c r="I161" i="4"/>
  <c r="J161" i="4"/>
  <c r="K161" i="4"/>
  <c r="H162" i="4"/>
  <c r="I162" i="4"/>
  <c r="J162" i="4"/>
  <c r="K162" i="4"/>
  <c r="H163" i="4"/>
  <c r="I163" i="4"/>
  <c r="J163" i="4"/>
  <c r="K163" i="4"/>
  <c r="H164" i="4"/>
  <c r="I164" i="4"/>
  <c r="J164" i="4"/>
  <c r="K164" i="4"/>
  <c r="H165" i="4"/>
  <c r="I165" i="4"/>
  <c r="J165" i="4"/>
  <c r="K165" i="4"/>
  <c r="H166" i="4"/>
  <c r="I166" i="4"/>
  <c r="J166" i="4"/>
  <c r="K166" i="4"/>
  <c r="H167" i="4"/>
  <c r="I167" i="4"/>
  <c r="J167" i="4"/>
  <c r="K167" i="4"/>
  <c r="H168" i="4"/>
  <c r="I168" i="4"/>
  <c r="J168" i="4"/>
  <c r="K168" i="4"/>
  <c r="H169" i="4"/>
  <c r="I169" i="4"/>
  <c r="J169" i="4"/>
  <c r="K169" i="4"/>
  <c r="H170" i="4"/>
  <c r="I170" i="4"/>
  <c r="J170" i="4"/>
  <c r="K170" i="4"/>
  <c r="H171" i="4"/>
  <c r="I171" i="4"/>
  <c r="J171" i="4"/>
  <c r="K171" i="4"/>
  <c r="H172" i="4"/>
  <c r="I172" i="4"/>
  <c r="J172" i="4"/>
  <c r="K172" i="4"/>
  <c r="H173" i="4"/>
  <c r="I173" i="4"/>
  <c r="J173" i="4"/>
  <c r="K173" i="4"/>
  <c r="H174" i="4"/>
  <c r="I174" i="4"/>
  <c r="J174" i="4"/>
  <c r="K174" i="4"/>
  <c r="H175" i="4"/>
  <c r="I175" i="4"/>
  <c r="J175" i="4"/>
  <c r="K175" i="4"/>
  <c r="H176" i="4"/>
  <c r="I176" i="4"/>
  <c r="J176" i="4"/>
  <c r="K176" i="4"/>
  <c r="H177" i="4"/>
  <c r="I177" i="4"/>
  <c r="J177" i="4"/>
  <c r="K177" i="4"/>
  <c r="H178" i="4"/>
  <c r="I178" i="4"/>
  <c r="J178" i="4"/>
  <c r="K178" i="4"/>
  <c r="H179" i="4"/>
  <c r="I179" i="4"/>
  <c r="J179" i="4"/>
  <c r="K179" i="4"/>
  <c r="H180" i="4"/>
  <c r="I180" i="4"/>
  <c r="J180" i="4"/>
  <c r="K180" i="4"/>
  <c r="H181" i="4"/>
  <c r="I181" i="4"/>
  <c r="J181" i="4"/>
  <c r="K181" i="4"/>
  <c r="H182" i="4"/>
  <c r="I182" i="4"/>
  <c r="J182" i="4"/>
  <c r="K182" i="4"/>
  <c r="H183" i="4"/>
  <c r="I183" i="4"/>
  <c r="J183" i="4"/>
  <c r="K183" i="4"/>
  <c r="H184" i="4"/>
  <c r="I184" i="4"/>
  <c r="J184" i="4"/>
  <c r="K184" i="4"/>
  <c r="H185" i="4"/>
  <c r="I185" i="4"/>
  <c r="J185" i="4"/>
  <c r="K185" i="4"/>
  <c r="H186" i="4"/>
  <c r="I186" i="4"/>
  <c r="J186" i="4"/>
  <c r="K186" i="4"/>
  <c r="H187" i="4"/>
  <c r="I187" i="4"/>
  <c r="J187" i="4"/>
  <c r="K187" i="4"/>
  <c r="H188" i="4"/>
  <c r="I188" i="4"/>
  <c r="J188" i="4"/>
  <c r="K188" i="4"/>
  <c r="H189" i="4"/>
  <c r="I189" i="4"/>
  <c r="J189" i="4"/>
  <c r="K189" i="4"/>
  <c r="H190" i="4"/>
  <c r="I190" i="4"/>
  <c r="J190" i="4"/>
  <c r="K190" i="4"/>
  <c r="H191" i="4"/>
  <c r="I191" i="4"/>
  <c r="J191" i="4"/>
  <c r="K191" i="4"/>
  <c r="H192" i="4"/>
  <c r="I192" i="4"/>
  <c r="J192" i="4"/>
  <c r="K192" i="4"/>
  <c r="H193" i="4"/>
  <c r="I193" i="4"/>
  <c r="J193" i="4"/>
  <c r="K193" i="4"/>
  <c r="H194" i="4"/>
  <c r="I194" i="4"/>
  <c r="J194" i="4"/>
  <c r="K194" i="4"/>
  <c r="H195" i="4"/>
  <c r="I195" i="4"/>
  <c r="J195" i="4"/>
  <c r="K195" i="4"/>
  <c r="H196" i="4"/>
  <c r="I196" i="4"/>
  <c r="J196" i="4"/>
  <c r="K196" i="4"/>
  <c r="H197" i="4"/>
  <c r="I197" i="4"/>
  <c r="J197" i="4"/>
  <c r="K197" i="4"/>
  <c r="H198" i="4"/>
  <c r="I198" i="4"/>
  <c r="J198" i="4"/>
  <c r="K198" i="4"/>
  <c r="H199" i="4"/>
  <c r="I199" i="4"/>
  <c r="J199" i="4"/>
  <c r="K199" i="4"/>
  <c r="H200" i="4"/>
  <c r="I200" i="4"/>
  <c r="J200" i="4"/>
  <c r="K200" i="4"/>
  <c r="H201" i="4"/>
  <c r="I201" i="4"/>
  <c r="J201" i="4"/>
  <c r="K201" i="4"/>
  <c r="H202" i="4"/>
  <c r="I202" i="4"/>
  <c r="J202" i="4"/>
  <c r="K202" i="4"/>
  <c r="H203" i="4"/>
  <c r="I203" i="4"/>
  <c r="J203" i="4"/>
  <c r="K203" i="4"/>
  <c r="H204" i="4"/>
  <c r="I204" i="4"/>
  <c r="J204" i="4"/>
  <c r="K204" i="4"/>
  <c r="H205" i="4"/>
  <c r="I205" i="4"/>
  <c r="J205" i="4"/>
  <c r="K205" i="4"/>
  <c r="H206" i="4"/>
  <c r="I206" i="4"/>
  <c r="J206" i="4"/>
  <c r="K206" i="4"/>
  <c r="H207" i="4"/>
  <c r="I207" i="4"/>
  <c r="J207" i="4"/>
  <c r="K207" i="4"/>
  <c r="H208" i="4"/>
  <c r="I208" i="4"/>
  <c r="J208" i="4"/>
  <c r="K208" i="4"/>
  <c r="H209" i="4"/>
  <c r="I209" i="4"/>
  <c r="J209" i="4"/>
  <c r="K209" i="4"/>
  <c r="H210" i="4"/>
  <c r="I210" i="4"/>
  <c r="J210" i="4"/>
  <c r="K210" i="4"/>
  <c r="H211" i="4"/>
  <c r="I211" i="4"/>
  <c r="J211" i="4"/>
  <c r="K211" i="4"/>
  <c r="H212" i="4"/>
  <c r="I212" i="4"/>
  <c r="J212" i="4"/>
  <c r="K212" i="4"/>
  <c r="H213" i="4"/>
  <c r="I213" i="4"/>
  <c r="J213" i="4"/>
  <c r="K213" i="4"/>
  <c r="H214" i="4"/>
  <c r="I214" i="4"/>
  <c r="J214" i="4"/>
  <c r="K214" i="4"/>
  <c r="H215" i="4"/>
  <c r="I215" i="4"/>
  <c r="J215" i="4"/>
  <c r="K215" i="4"/>
  <c r="H216" i="4"/>
  <c r="I216" i="4"/>
  <c r="J216" i="4"/>
  <c r="K216" i="4"/>
  <c r="H217" i="4"/>
  <c r="I217" i="4"/>
  <c r="J217" i="4"/>
  <c r="K217" i="4"/>
  <c r="H218" i="4"/>
  <c r="I218" i="4"/>
  <c r="J218" i="4"/>
  <c r="K218" i="4"/>
  <c r="H219" i="4"/>
  <c r="I219" i="4"/>
  <c r="J219" i="4"/>
  <c r="K219" i="4"/>
  <c r="H220" i="4"/>
  <c r="I220" i="4"/>
  <c r="J220" i="4"/>
  <c r="K220" i="4"/>
  <c r="H221" i="4"/>
  <c r="I221" i="4"/>
  <c r="J221" i="4"/>
  <c r="K221" i="4"/>
  <c r="H222" i="4"/>
  <c r="I222" i="4"/>
  <c r="J222" i="4"/>
  <c r="K222" i="4"/>
  <c r="H223" i="4"/>
  <c r="I223" i="4"/>
  <c r="J223" i="4"/>
  <c r="K223" i="4"/>
  <c r="H224" i="4"/>
  <c r="I224" i="4"/>
  <c r="J224" i="4"/>
  <c r="K224" i="4"/>
  <c r="H225" i="4"/>
  <c r="I225" i="4"/>
  <c r="J225" i="4"/>
  <c r="K225" i="4"/>
  <c r="H226" i="4"/>
  <c r="I226" i="4"/>
  <c r="J226" i="4"/>
  <c r="K226" i="4"/>
  <c r="H227" i="4"/>
  <c r="I227" i="4"/>
  <c r="J227" i="4"/>
  <c r="K227" i="4"/>
  <c r="H228" i="4"/>
  <c r="I228" i="4"/>
  <c r="J228" i="4"/>
  <c r="K228" i="4"/>
  <c r="H229" i="4"/>
  <c r="I229" i="4"/>
  <c r="J229" i="4"/>
  <c r="K229" i="4"/>
  <c r="H230" i="4"/>
  <c r="I230" i="4"/>
  <c r="J230" i="4"/>
  <c r="K230" i="4"/>
  <c r="H231" i="4"/>
  <c r="I231" i="4"/>
  <c r="J231" i="4"/>
  <c r="K231" i="4"/>
  <c r="H232" i="4"/>
  <c r="I232" i="4"/>
  <c r="J232" i="4"/>
  <c r="K232" i="4"/>
  <c r="H233" i="4"/>
  <c r="I233" i="4"/>
  <c r="J233" i="4"/>
  <c r="K233" i="4"/>
  <c r="H234" i="4"/>
  <c r="I234" i="4"/>
  <c r="J234" i="4"/>
  <c r="K234" i="4"/>
  <c r="H235" i="4"/>
  <c r="I235" i="4"/>
  <c r="J235" i="4"/>
  <c r="K235" i="4"/>
  <c r="H236" i="4"/>
  <c r="I236" i="4"/>
  <c r="J236" i="4"/>
  <c r="K236" i="4"/>
  <c r="H237" i="4"/>
  <c r="I237" i="4"/>
  <c r="J237" i="4"/>
  <c r="K237" i="4"/>
  <c r="H238" i="4"/>
  <c r="I238" i="4"/>
  <c r="J238" i="4"/>
  <c r="K238" i="4"/>
  <c r="H239" i="4"/>
  <c r="I239" i="4"/>
  <c r="J239" i="4"/>
  <c r="K239" i="4"/>
  <c r="H240" i="4"/>
  <c r="I240" i="4"/>
  <c r="J240" i="4"/>
  <c r="K240" i="4"/>
  <c r="H241" i="4"/>
  <c r="I241" i="4"/>
  <c r="J241" i="4"/>
  <c r="K241" i="4"/>
  <c r="H242" i="4"/>
  <c r="I242" i="4"/>
  <c r="J242" i="4"/>
  <c r="K242" i="4"/>
  <c r="H243" i="4"/>
  <c r="I243" i="4"/>
  <c r="J243" i="4"/>
  <c r="K243" i="4"/>
  <c r="H244" i="4"/>
  <c r="I244" i="4"/>
  <c r="J244" i="4"/>
  <c r="K244" i="4"/>
  <c r="H245" i="4"/>
  <c r="I245" i="4"/>
  <c r="J245" i="4"/>
  <c r="K245" i="4"/>
  <c r="H246" i="4"/>
  <c r="I246" i="4"/>
  <c r="J246" i="4"/>
  <c r="K246" i="4"/>
  <c r="H247" i="4"/>
  <c r="I247" i="4"/>
  <c r="J247" i="4"/>
  <c r="K247" i="4"/>
  <c r="H248" i="4"/>
  <c r="I248" i="4"/>
  <c r="J248" i="4"/>
  <c r="K248" i="4"/>
  <c r="H249" i="4"/>
  <c r="I249" i="4"/>
  <c r="J249" i="4"/>
  <c r="K249" i="4"/>
  <c r="H250" i="4"/>
  <c r="I250" i="4"/>
  <c r="J250" i="4"/>
  <c r="K250" i="4"/>
  <c r="H251" i="4"/>
  <c r="I251" i="4"/>
  <c r="J251" i="4"/>
  <c r="K251" i="4"/>
  <c r="H252" i="4"/>
  <c r="I252" i="4"/>
  <c r="J252" i="4"/>
  <c r="K252" i="4"/>
  <c r="H253" i="4"/>
  <c r="I253" i="4"/>
  <c r="J253" i="4"/>
  <c r="K253" i="4"/>
  <c r="H254" i="4"/>
  <c r="I254" i="4"/>
  <c r="J254" i="4"/>
  <c r="K254" i="4"/>
  <c r="H255" i="4"/>
  <c r="I255" i="4"/>
  <c r="J255" i="4"/>
  <c r="K255" i="4"/>
  <c r="H256" i="4"/>
  <c r="I256" i="4"/>
  <c r="J256" i="4"/>
  <c r="K256" i="4"/>
  <c r="H257" i="4"/>
  <c r="I257" i="4"/>
  <c r="J257" i="4"/>
  <c r="K257" i="4"/>
  <c r="H258" i="4"/>
  <c r="I258" i="4"/>
  <c r="J258" i="4"/>
  <c r="K258" i="4"/>
  <c r="H259" i="4"/>
  <c r="I259" i="4"/>
  <c r="J259" i="4"/>
  <c r="K259" i="4"/>
  <c r="H260" i="4"/>
  <c r="I260" i="4"/>
  <c r="J260" i="4"/>
  <c r="K260" i="4"/>
  <c r="H261" i="4"/>
  <c r="I261" i="4"/>
  <c r="J261" i="4"/>
  <c r="K261" i="4"/>
  <c r="H262" i="4"/>
  <c r="I262" i="4"/>
  <c r="J262" i="4"/>
  <c r="K262" i="4"/>
  <c r="H263" i="4"/>
  <c r="I263" i="4"/>
  <c r="J263" i="4"/>
  <c r="K263" i="4"/>
  <c r="H264" i="4"/>
  <c r="I264" i="4"/>
  <c r="J264" i="4"/>
  <c r="K264" i="4"/>
  <c r="H265" i="4"/>
  <c r="I265" i="4"/>
  <c r="J265" i="4"/>
  <c r="K265" i="4"/>
  <c r="H266" i="4"/>
  <c r="I266" i="4"/>
  <c r="J266" i="4"/>
  <c r="K266" i="4"/>
  <c r="H267" i="4"/>
  <c r="I267" i="4"/>
  <c r="J267" i="4"/>
  <c r="K267" i="4"/>
  <c r="H268" i="4"/>
  <c r="I268" i="4"/>
  <c r="J268" i="4"/>
  <c r="K268" i="4"/>
  <c r="H269" i="4"/>
  <c r="I269" i="4"/>
  <c r="J269" i="4"/>
  <c r="K269" i="4"/>
  <c r="H270" i="4"/>
  <c r="I270" i="4"/>
  <c r="J270" i="4"/>
  <c r="K270" i="4"/>
  <c r="H271" i="4"/>
  <c r="I271" i="4"/>
  <c r="J271" i="4"/>
  <c r="K271" i="4"/>
  <c r="H272" i="4"/>
  <c r="I272" i="4"/>
  <c r="J272" i="4"/>
  <c r="K272" i="4"/>
  <c r="H273" i="4"/>
  <c r="I273" i="4"/>
  <c r="J273" i="4"/>
  <c r="K273" i="4"/>
  <c r="H274" i="4"/>
  <c r="I274" i="4"/>
  <c r="J274" i="4"/>
  <c r="K274" i="4"/>
  <c r="H275" i="4"/>
  <c r="I275" i="4"/>
  <c r="J275" i="4"/>
  <c r="K275" i="4"/>
  <c r="H276" i="4"/>
  <c r="I276" i="4"/>
  <c r="J276" i="4"/>
  <c r="K276" i="4"/>
  <c r="H277" i="4"/>
  <c r="I277" i="4"/>
  <c r="J277" i="4"/>
  <c r="K277" i="4"/>
  <c r="H278" i="4"/>
  <c r="I278" i="4"/>
  <c r="J278" i="4"/>
  <c r="K278" i="4"/>
  <c r="H279" i="4"/>
  <c r="I279" i="4"/>
  <c r="J279" i="4"/>
  <c r="K279" i="4"/>
  <c r="H280" i="4"/>
  <c r="I280" i="4"/>
  <c r="J280" i="4"/>
  <c r="K280" i="4"/>
  <c r="H281" i="4"/>
  <c r="I281" i="4"/>
  <c r="J281" i="4"/>
  <c r="K281" i="4"/>
  <c r="H282" i="4"/>
  <c r="I282" i="4"/>
  <c r="J282" i="4"/>
  <c r="K282" i="4"/>
  <c r="H283" i="4"/>
  <c r="I283" i="4"/>
  <c r="J283" i="4"/>
  <c r="K283" i="4"/>
  <c r="H284" i="4"/>
  <c r="I284" i="4"/>
  <c r="J284" i="4"/>
  <c r="K284" i="4"/>
  <c r="H285" i="4"/>
  <c r="I285" i="4"/>
  <c r="J285" i="4"/>
  <c r="K285" i="4"/>
  <c r="H286" i="4"/>
  <c r="I286" i="4"/>
  <c r="J286" i="4"/>
  <c r="K286" i="4"/>
  <c r="H287" i="4"/>
  <c r="I287" i="4"/>
  <c r="J287" i="4"/>
  <c r="K287" i="4"/>
  <c r="H288" i="4"/>
  <c r="I288" i="4"/>
  <c r="J288" i="4"/>
  <c r="K288" i="4"/>
  <c r="H289" i="4"/>
  <c r="I289" i="4"/>
  <c r="J289" i="4"/>
  <c r="K289" i="4"/>
  <c r="H290" i="4"/>
  <c r="I290" i="4"/>
  <c r="J290" i="4"/>
  <c r="K290" i="4"/>
  <c r="H291" i="4"/>
  <c r="I291" i="4"/>
  <c r="J291" i="4"/>
  <c r="K291" i="4"/>
  <c r="H292" i="4"/>
  <c r="I292" i="4"/>
  <c r="J292" i="4"/>
  <c r="K292" i="4"/>
  <c r="H293" i="4"/>
  <c r="I293" i="4"/>
  <c r="J293" i="4"/>
  <c r="K293" i="4"/>
  <c r="H294" i="4"/>
  <c r="I294" i="4"/>
  <c r="J294" i="4"/>
  <c r="K294" i="4"/>
  <c r="H295" i="4"/>
  <c r="I295" i="4"/>
  <c r="J295" i="4"/>
  <c r="K295" i="4"/>
  <c r="H296" i="4"/>
  <c r="I296" i="4"/>
  <c r="J296" i="4"/>
  <c r="K296" i="4"/>
  <c r="H297" i="4"/>
  <c r="I297" i="4"/>
  <c r="J297" i="4"/>
  <c r="K297" i="4"/>
  <c r="H298" i="4"/>
  <c r="I298" i="4"/>
  <c r="J298" i="4"/>
  <c r="K298" i="4"/>
  <c r="H299" i="4"/>
  <c r="I299" i="4"/>
  <c r="J299" i="4"/>
  <c r="K299" i="4"/>
  <c r="H300" i="4"/>
  <c r="I300" i="4"/>
  <c r="J300" i="4"/>
  <c r="K300" i="4"/>
  <c r="H301" i="4"/>
  <c r="I301" i="4"/>
  <c r="J301" i="4"/>
  <c r="K301" i="4"/>
  <c r="H302" i="4"/>
  <c r="I302" i="4"/>
  <c r="J302" i="4"/>
  <c r="K302" i="4"/>
  <c r="H303" i="4"/>
  <c r="I303" i="4"/>
  <c r="J303" i="4"/>
  <c r="K303" i="4"/>
  <c r="H304" i="4"/>
  <c r="I304" i="4"/>
  <c r="J304" i="4"/>
  <c r="K304" i="4"/>
  <c r="H305" i="4"/>
  <c r="I305" i="4"/>
  <c r="J305" i="4"/>
  <c r="K305" i="4"/>
  <c r="H306" i="4"/>
  <c r="I306" i="4"/>
  <c r="J306" i="4"/>
  <c r="K306" i="4"/>
  <c r="H307" i="4"/>
  <c r="I307" i="4"/>
  <c r="J307" i="4"/>
  <c r="K307" i="4"/>
  <c r="H308" i="4"/>
  <c r="I308" i="4"/>
  <c r="J308" i="4"/>
  <c r="K308" i="4"/>
  <c r="H309" i="4"/>
  <c r="I309" i="4"/>
  <c r="J309" i="4"/>
  <c r="K309" i="4"/>
  <c r="H310" i="4"/>
  <c r="I310" i="4"/>
  <c r="J310" i="4"/>
  <c r="K310" i="4"/>
  <c r="H311" i="4"/>
  <c r="I311" i="4"/>
  <c r="J311" i="4"/>
  <c r="K311" i="4"/>
  <c r="H312" i="4"/>
  <c r="I312" i="4"/>
  <c r="J312" i="4"/>
  <c r="K312" i="4"/>
  <c r="H313" i="4"/>
  <c r="I313" i="4"/>
  <c r="J313" i="4"/>
  <c r="K313" i="4"/>
  <c r="H314" i="4"/>
  <c r="I314" i="4"/>
  <c r="J314" i="4"/>
  <c r="K314" i="4"/>
  <c r="H315" i="4"/>
  <c r="I315" i="4"/>
  <c r="J315" i="4"/>
  <c r="K315" i="4"/>
  <c r="H316" i="4"/>
  <c r="I316" i="4"/>
  <c r="J316" i="4"/>
  <c r="K316" i="4"/>
  <c r="H317" i="4"/>
  <c r="I317" i="4"/>
  <c r="J317" i="4"/>
  <c r="K317" i="4"/>
  <c r="H318" i="4"/>
  <c r="I318" i="4"/>
  <c r="J318" i="4"/>
  <c r="K318" i="4"/>
  <c r="H319" i="4"/>
  <c r="I319" i="4"/>
  <c r="J319" i="4"/>
  <c r="K319" i="4"/>
  <c r="H320" i="4"/>
  <c r="I320" i="4"/>
  <c r="J320" i="4"/>
  <c r="K320" i="4"/>
  <c r="H321" i="4"/>
  <c r="I321" i="4"/>
  <c r="J321" i="4"/>
  <c r="K321" i="4"/>
  <c r="H322" i="4"/>
  <c r="I322" i="4"/>
  <c r="J322" i="4"/>
  <c r="K322" i="4"/>
  <c r="H323" i="4"/>
  <c r="I323" i="4"/>
  <c r="J323" i="4"/>
  <c r="K323" i="4"/>
  <c r="H324" i="4"/>
  <c r="I324" i="4"/>
  <c r="J324" i="4"/>
  <c r="K324" i="4"/>
  <c r="H325" i="4"/>
  <c r="I325" i="4"/>
  <c r="J325" i="4"/>
  <c r="K325" i="4"/>
  <c r="H326" i="4"/>
  <c r="I326" i="4"/>
  <c r="J326" i="4"/>
  <c r="K326" i="4"/>
  <c r="H327" i="4"/>
  <c r="I327" i="4"/>
  <c r="J327" i="4"/>
  <c r="K327" i="4"/>
  <c r="H328" i="4"/>
  <c r="I328" i="4"/>
  <c r="J328" i="4"/>
  <c r="K328" i="4"/>
  <c r="H329" i="4"/>
  <c r="I329" i="4"/>
  <c r="J329" i="4"/>
  <c r="K329" i="4"/>
  <c r="H330" i="4"/>
  <c r="I330" i="4"/>
  <c r="J330" i="4"/>
  <c r="K330" i="4"/>
  <c r="H331" i="4"/>
  <c r="I331" i="4"/>
  <c r="J331" i="4"/>
  <c r="K331" i="4"/>
  <c r="H332" i="4"/>
  <c r="I332" i="4"/>
  <c r="J332" i="4"/>
  <c r="K332" i="4"/>
  <c r="H333" i="4"/>
  <c r="I333" i="4"/>
  <c r="J333" i="4"/>
  <c r="K333" i="4"/>
  <c r="H334" i="4"/>
  <c r="I334" i="4"/>
  <c r="J334" i="4"/>
  <c r="K334" i="4"/>
  <c r="H335" i="4"/>
  <c r="I335" i="4"/>
  <c r="J335" i="4"/>
  <c r="K335" i="4"/>
  <c r="H336" i="4"/>
  <c r="I336" i="4"/>
  <c r="J336" i="4"/>
  <c r="K336" i="4"/>
  <c r="H337" i="4"/>
  <c r="I337" i="4"/>
  <c r="J337" i="4"/>
  <c r="K337" i="4"/>
  <c r="H338" i="4"/>
  <c r="I338" i="4"/>
  <c r="J338" i="4"/>
  <c r="K338" i="4"/>
  <c r="H339" i="4"/>
  <c r="I339" i="4"/>
  <c r="J339" i="4"/>
  <c r="K339" i="4"/>
  <c r="H340" i="4"/>
  <c r="I340" i="4"/>
  <c r="J340" i="4"/>
  <c r="K340" i="4"/>
  <c r="H341" i="4"/>
  <c r="I341" i="4"/>
  <c r="J341" i="4"/>
  <c r="K341" i="4"/>
  <c r="H342" i="4"/>
  <c r="I342" i="4"/>
  <c r="J342" i="4"/>
  <c r="K342" i="4"/>
  <c r="H343" i="4"/>
  <c r="I343" i="4"/>
  <c r="J343" i="4"/>
  <c r="K343" i="4"/>
  <c r="H344" i="4"/>
  <c r="I344" i="4"/>
  <c r="J344" i="4"/>
  <c r="K344" i="4"/>
  <c r="H345" i="4"/>
  <c r="I345" i="4"/>
  <c r="J345" i="4"/>
  <c r="K345" i="4"/>
  <c r="H346" i="4"/>
  <c r="I346" i="4"/>
  <c r="J346" i="4"/>
  <c r="K346" i="4"/>
  <c r="H347" i="4"/>
  <c r="I347" i="4"/>
  <c r="J347" i="4"/>
  <c r="K347" i="4"/>
  <c r="H348" i="4"/>
  <c r="I348" i="4"/>
  <c r="J348" i="4"/>
  <c r="K348" i="4"/>
  <c r="H349" i="4"/>
  <c r="I349" i="4"/>
  <c r="J349" i="4"/>
  <c r="K349" i="4"/>
  <c r="H350" i="4"/>
  <c r="I350" i="4"/>
  <c r="J350" i="4"/>
  <c r="K350" i="4"/>
  <c r="H351" i="4"/>
  <c r="I351" i="4"/>
  <c r="J351" i="4"/>
  <c r="K351" i="4"/>
  <c r="H352" i="4"/>
  <c r="I352" i="4"/>
  <c r="J352" i="4"/>
  <c r="K352" i="4"/>
  <c r="H353" i="4"/>
  <c r="I353" i="4"/>
  <c r="J353" i="4"/>
  <c r="K353" i="4"/>
  <c r="H354" i="4"/>
  <c r="I354" i="4"/>
  <c r="J354" i="4"/>
  <c r="K354" i="4"/>
  <c r="H355" i="4"/>
  <c r="I355" i="4"/>
  <c r="J355" i="4"/>
  <c r="K355" i="4"/>
  <c r="H356" i="4"/>
  <c r="I356" i="4"/>
  <c r="J356" i="4"/>
  <c r="K356" i="4"/>
  <c r="H357" i="4"/>
  <c r="I357" i="4"/>
  <c r="J357" i="4"/>
  <c r="K357" i="4"/>
  <c r="H358" i="4"/>
  <c r="I358" i="4"/>
  <c r="J358" i="4"/>
  <c r="K358" i="4"/>
  <c r="H359" i="4"/>
  <c r="I359" i="4"/>
  <c r="J359" i="4"/>
  <c r="K359" i="4"/>
  <c r="H360" i="4"/>
  <c r="I360" i="4"/>
  <c r="J360" i="4"/>
  <c r="K360" i="4"/>
  <c r="H361" i="4"/>
  <c r="I361" i="4"/>
  <c r="J361" i="4"/>
  <c r="K361" i="4"/>
  <c r="H362" i="4"/>
  <c r="I362" i="4"/>
  <c r="J362" i="4"/>
  <c r="K362" i="4"/>
  <c r="H363" i="4"/>
  <c r="I363" i="4"/>
  <c r="J363" i="4"/>
  <c r="K363" i="4"/>
  <c r="H364" i="4"/>
  <c r="I364" i="4"/>
  <c r="J364" i="4"/>
  <c r="K364" i="4"/>
  <c r="H365" i="4"/>
  <c r="I365" i="4"/>
  <c r="J365" i="4"/>
  <c r="K365" i="4"/>
  <c r="H366" i="4"/>
  <c r="I366" i="4"/>
  <c r="J366" i="4"/>
  <c r="K366" i="4"/>
  <c r="H367" i="4"/>
  <c r="I367" i="4"/>
  <c r="J367" i="4"/>
  <c r="K367" i="4"/>
  <c r="H368" i="4"/>
  <c r="I368" i="4"/>
  <c r="J368" i="4"/>
  <c r="K368" i="4"/>
  <c r="H369" i="4"/>
  <c r="I369" i="4"/>
  <c r="J369" i="4"/>
  <c r="K369" i="4"/>
  <c r="H370" i="4"/>
  <c r="I370" i="4"/>
  <c r="J370" i="4"/>
  <c r="K370" i="4"/>
  <c r="H371" i="4"/>
  <c r="I371" i="4"/>
  <c r="J371" i="4"/>
  <c r="K371" i="4"/>
  <c r="H372" i="4"/>
  <c r="I372" i="4"/>
  <c r="J372" i="4"/>
  <c r="K372" i="4"/>
  <c r="H373" i="4"/>
  <c r="I373" i="4"/>
  <c r="J373" i="4"/>
  <c r="K373" i="4"/>
  <c r="H374" i="4"/>
  <c r="I374" i="4"/>
  <c r="J374" i="4"/>
  <c r="K374" i="4"/>
  <c r="H375" i="4"/>
  <c r="I375" i="4"/>
  <c r="J375" i="4"/>
  <c r="K375" i="4"/>
  <c r="H376" i="4"/>
  <c r="I376" i="4"/>
  <c r="J376" i="4"/>
  <c r="K376" i="4"/>
  <c r="H377" i="4"/>
  <c r="I377" i="4"/>
  <c r="J377" i="4"/>
  <c r="K377" i="4"/>
  <c r="H378" i="4"/>
  <c r="I378" i="4"/>
  <c r="J378" i="4"/>
  <c r="K378" i="4"/>
  <c r="H379" i="4"/>
  <c r="I379" i="4"/>
  <c r="J379" i="4"/>
  <c r="K379" i="4"/>
  <c r="H380" i="4"/>
  <c r="I380" i="4"/>
  <c r="J380" i="4"/>
  <c r="K380" i="4"/>
  <c r="H381" i="4"/>
  <c r="I381" i="4"/>
  <c r="J381" i="4"/>
  <c r="K381" i="4"/>
  <c r="H382" i="4"/>
  <c r="I382" i="4"/>
  <c r="J382" i="4"/>
  <c r="K382" i="4"/>
  <c r="H383" i="4"/>
  <c r="I383" i="4"/>
  <c r="J383" i="4"/>
  <c r="K383" i="4"/>
  <c r="H384" i="4"/>
  <c r="I384" i="4"/>
  <c r="J384" i="4"/>
  <c r="K384" i="4"/>
  <c r="H385" i="4"/>
  <c r="I385" i="4"/>
  <c r="J385" i="4"/>
  <c r="K385" i="4"/>
  <c r="H386" i="4"/>
  <c r="I386" i="4"/>
  <c r="J386" i="4"/>
  <c r="K386" i="4"/>
  <c r="H387" i="4"/>
  <c r="I387" i="4"/>
  <c r="J387" i="4"/>
  <c r="K387" i="4"/>
  <c r="H388" i="4"/>
  <c r="I388" i="4"/>
  <c r="J388" i="4"/>
  <c r="K388" i="4"/>
  <c r="H389" i="4"/>
  <c r="I389" i="4"/>
  <c r="J389" i="4"/>
  <c r="K389" i="4"/>
  <c r="H390" i="4"/>
  <c r="I390" i="4"/>
  <c r="J390" i="4"/>
  <c r="K390" i="4"/>
  <c r="H391" i="4"/>
  <c r="I391" i="4"/>
  <c r="J391" i="4"/>
  <c r="K391" i="4"/>
  <c r="H392" i="4"/>
  <c r="I392" i="4"/>
  <c r="J392" i="4"/>
  <c r="K392" i="4"/>
  <c r="H393" i="4"/>
  <c r="I393" i="4"/>
  <c r="J393" i="4"/>
  <c r="K393" i="4"/>
  <c r="H394" i="4"/>
  <c r="I394" i="4"/>
  <c r="J394" i="4"/>
  <c r="K394" i="4"/>
  <c r="H395" i="4"/>
  <c r="I395" i="4"/>
  <c r="J395" i="4"/>
  <c r="K395" i="4"/>
  <c r="H396" i="4"/>
  <c r="I396" i="4"/>
  <c r="J396" i="4"/>
  <c r="K396" i="4"/>
  <c r="H397" i="4"/>
  <c r="I397" i="4"/>
  <c r="J397" i="4"/>
  <c r="K397" i="4"/>
  <c r="H398" i="4"/>
  <c r="I398" i="4"/>
  <c r="J398" i="4"/>
  <c r="K398" i="4"/>
  <c r="H399" i="4"/>
  <c r="I399" i="4"/>
  <c r="J399" i="4"/>
  <c r="K399" i="4"/>
  <c r="H400" i="4"/>
  <c r="I400" i="4"/>
  <c r="J400" i="4"/>
  <c r="K400" i="4"/>
  <c r="H401" i="4"/>
  <c r="I401" i="4"/>
  <c r="J401" i="4"/>
  <c r="K401" i="4"/>
  <c r="H402" i="4"/>
  <c r="I402" i="4"/>
  <c r="J402" i="4"/>
  <c r="K402" i="4"/>
  <c r="H403" i="4"/>
  <c r="I403" i="4"/>
  <c r="J403" i="4"/>
  <c r="K403" i="4"/>
  <c r="H404" i="4"/>
  <c r="I404" i="4"/>
  <c r="J404" i="4"/>
  <c r="K404" i="4"/>
  <c r="H405" i="4"/>
  <c r="I405" i="4"/>
  <c r="J405" i="4"/>
  <c r="K405" i="4"/>
  <c r="H406" i="4"/>
  <c r="I406" i="4"/>
  <c r="J406" i="4"/>
  <c r="K406" i="4"/>
  <c r="H407" i="4"/>
  <c r="I407" i="4"/>
  <c r="J407" i="4"/>
  <c r="K407" i="4"/>
  <c r="H408" i="4"/>
  <c r="I408" i="4"/>
  <c r="J408" i="4"/>
  <c r="K408" i="4"/>
  <c r="H409" i="4"/>
  <c r="I409" i="4"/>
  <c r="J409" i="4"/>
  <c r="K409" i="4"/>
  <c r="H410" i="4"/>
  <c r="I410" i="4"/>
  <c r="J410" i="4"/>
  <c r="K410" i="4"/>
  <c r="H411" i="4"/>
  <c r="I411" i="4"/>
  <c r="J411" i="4"/>
  <c r="K411" i="4"/>
  <c r="H412" i="4"/>
  <c r="I412" i="4"/>
  <c r="J412" i="4"/>
  <c r="K412" i="4"/>
  <c r="H413" i="4"/>
  <c r="I413" i="4"/>
  <c r="J413" i="4"/>
  <c r="K413" i="4"/>
  <c r="H414" i="4"/>
  <c r="I414" i="4"/>
  <c r="J414" i="4"/>
  <c r="K414" i="4"/>
  <c r="H415" i="4"/>
  <c r="I415" i="4"/>
  <c r="J415" i="4"/>
  <c r="K415" i="4"/>
  <c r="H416" i="4"/>
  <c r="I416" i="4"/>
  <c r="J416" i="4"/>
  <c r="K416" i="4"/>
  <c r="H417" i="4"/>
  <c r="I417" i="4"/>
  <c r="J417" i="4"/>
  <c r="K417" i="4"/>
  <c r="H418" i="4"/>
  <c r="I418" i="4"/>
  <c r="J418" i="4"/>
  <c r="K418" i="4"/>
  <c r="H419" i="4"/>
  <c r="I419" i="4"/>
  <c r="J419" i="4"/>
  <c r="K419" i="4"/>
  <c r="H420" i="4"/>
  <c r="I420" i="4"/>
  <c r="J420" i="4"/>
  <c r="K420" i="4"/>
  <c r="H421" i="4"/>
  <c r="I421" i="4"/>
  <c r="J421" i="4"/>
  <c r="K421" i="4"/>
  <c r="H422" i="4"/>
  <c r="I422" i="4"/>
  <c r="J422" i="4"/>
  <c r="K422" i="4"/>
  <c r="H423" i="4"/>
  <c r="I423" i="4"/>
  <c r="J423" i="4"/>
  <c r="K423" i="4"/>
  <c r="H424" i="4"/>
  <c r="I424" i="4"/>
  <c r="J424" i="4"/>
  <c r="K424" i="4"/>
  <c r="H425" i="4"/>
  <c r="I425" i="4"/>
  <c r="J425" i="4"/>
  <c r="K425" i="4"/>
  <c r="H426" i="4"/>
  <c r="I426" i="4"/>
  <c r="J426" i="4"/>
  <c r="K426" i="4"/>
  <c r="H427" i="4"/>
  <c r="I427" i="4"/>
  <c r="J427" i="4"/>
  <c r="K427" i="4"/>
  <c r="H428" i="4"/>
  <c r="I428" i="4"/>
  <c r="J428" i="4"/>
  <c r="K428" i="4"/>
  <c r="H429" i="4"/>
  <c r="I429" i="4"/>
  <c r="J429" i="4"/>
  <c r="K429" i="4"/>
  <c r="H430" i="4"/>
  <c r="I430" i="4"/>
  <c r="J430" i="4"/>
  <c r="K430" i="4"/>
  <c r="H431" i="4"/>
  <c r="I431" i="4"/>
  <c r="J431" i="4"/>
  <c r="K431" i="4"/>
  <c r="K2" i="4"/>
  <c r="J2" i="4"/>
  <c r="I2" i="4"/>
  <c r="H2" i="4"/>
  <c r="K2" i="3"/>
  <c r="J2" i="3"/>
  <c r="I2" i="3"/>
  <c r="H2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2" i="1"/>
  <c r="Y232" i="2"/>
  <c r="Y2" i="2"/>
  <c r="Y22" i="2"/>
  <c r="Y212" i="2"/>
  <c r="U431" i="1"/>
  <c r="T431" i="1"/>
  <c r="S431" i="1"/>
  <c r="U430" i="1"/>
  <c r="T430" i="1"/>
  <c r="S430" i="1"/>
  <c r="U429" i="1"/>
  <c r="T429" i="1"/>
  <c r="S429" i="1"/>
  <c r="U428" i="1"/>
  <c r="T428" i="1"/>
  <c r="S428" i="1"/>
  <c r="U427" i="1"/>
  <c r="T427" i="1"/>
  <c r="S427" i="1"/>
  <c r="U426" i="1"/>
  <c r="T426" i="1"/>
  <c r="S426" i="1"/>
  <c r="U425" i="1"/>
  <c r="T425" i="1"/>
  <c r="S425" i="1"/>
  <c r="U424" i="1"/>
  <c r="T424" i="1"/>
  <c r="S424" i="1"/>
  <c r="U423" i="1"/>
  <c r="T423" i="1"/>
  <c r="S423" i="1"/>
  <c r="U422" i="1"/>
  <c r="T422" i="1"/>
  <c r="S422" i="1"/>
  <c r="U421" i="1"/>
  <c r="T421" i="1"/>
  <c r="S421" i="1"/>
  <c r="U420" i="1"/>
  <c r="T420" i="1"/>
  <c r="S420" i="1"/>
  <c r="U419" i="1"/>
  <c r="T419" i="1"/>
  <c r="S419" i="1"/>
  <c r="U418" i="1"/>
  <c r="T418" i="1"/>
  <c r="S418" i="1"/>
  <c r="U417" i="1"/>
  <c r="T417" i="1"/>
  <c r="S417" i="1"/>
  <c r="U416" i="1"/>
  <c r="T416" i="1"/>
  <c r="S416" i="1"/>
  <c r="U415" i="1"/>
  <c r="T415" i="1"/>
  <c r="S415" i="1"/>
  <c r="U414" i="1"/>
  <c r="T414" i="1"/>
  <c r="S414" i="1"/>
  <c r="U413" i="1"/>
  <c r="T413" i="1"/>
  <c r="S413" i="1"/>
  <c r="U412" i="1"/>
  <c r="T412" i="1"/>
  <c r="S412" i="1"/>
  <c r="U411" i="1"/>
  <c r="T411" i="1"/>
  <c r="S411" i="1"/>
  <c r="U410" i="1"/>
  <c r="T410" i="1"/>
  <c r="S410" i="1"/>
  <c r="U409" i="1"/>
  <c r="T409" i="1"/>
  <c r="S409" i="1"/>
  <c r="U408" i="1"/>
  <c r="T408" i="1"/>
  <c r="S408" i="1"/>
  <c r="U407" i="1"/>
  <c r="T407" i="1"/>
  <c r="S407" i="1"/>
  <c r="U406" i="1"/>
  <c r="T406" i="1"/>
  <c r="S406" i="1"/>
  <c r="U405" i="1"/>
  <c r="T405" i="1"/>
  <c r="S405" i="1"/>
  <c r="U404" i="1"/>
  <c r="T404" i="1"/>
  <c r="S404" i="1"/>
  <c r="U403" i="1"/>
  <c r="T403" i="1"/>
  <c r="S403" i="1"/>
  <c r="U402" i="1"/>
  <c r="T402" i="1"/>
  <c r="S402" i="1"/>
  <c r="U401" i="1"/>
  <c r="T401" i="1"/>
  <c r="S401" i="1"/>
  <c r="U400" i="1"/>
  <c r="T400" i="1"/>
  <c r="S400" i="1"/>
  <c r="U399" i="1"/>
  <c r="T399" i="1"/>
  <c r="S399" i="1"/>
  <c r="U398" i="1"/>
  <c r="T398" i="1"/>
  <c r="S398" i="1"/>
  <c r="U397" i="1"/>
  <c r="T397" i="1"/>
  <c r="S397" i="1"/>
  <c r="U396" i="1"/>
  <c r="T396" i="1"/>
  <c r="S396" i="1"/>
  <c r="U395" i="1"/>
  <c r="T395" i="1"/>
  <c r="S395" i="1"/>
  <c r="U394" i="1"/>
  <c r="T394" i="1"/>
  <c r="S394" i="1"/>
  <c r="U393" i="1"/>
  <c r="T393" i="1"/>
  <c r="S393" i="1"/>
  <c r="U392" i="1"/>
  <c r="T392" i="1"/>
  <c r="S392" i="1"/>
  <c r="U391" i="1"/>
  <c r="T391" i="1"/>
  <c r="S391" i="1"/>
  <c r="U390" i="1"/>
  <c r="T390" i="1"/>
  <c r="S390" i="1"/>
  <c r="U389" i="1"/>
  <c r="T389" i="1"/>
  <c r="S389" i="1"/>
  <c r="U388" i="1"/>
  <c r="T388" i="1"/>
  <c r="S388" i="1"/>
  <c r="U387" i="1"/>
  <c r="T387" i="1"/>
  <c r="S387" i="1"/>
  <c r="U386" i="1"/>
  <c r="T386" i="1"/>
  <c r="S386" i="1"/>
  <c r="U385" i="1"/>
  <c r="T385" i="1"/>
  <c r="S385" i="1"/>
  <c r="U384" i="1"/>
  <c r="T384" i="1"/>
  <c r="S384" i="1"/>
  <c r="U383" i="1"/>
  <c r="T383" i="1"/>
  <c r="S383" i="1"/>
  <c r="U382" i="1"/>
  <c r="T382" i="1"/>
  <c r="S382" i="1"/>
  <c r="U381" i="1"/>
  <c r="T381" i="1"/>
  <c r="S381" i="1"/>
  <c r="U380" i="1"/>
  <c r="T380" i="1"/>
  <c r="S380" i="1"/>
  <c r="U379" i="1"/>
  <c r="T379" i="1"/>
  <c r="S379" i="1"/>
  <c r="U378" i="1"/>
  <c r="T378" i="1"/>
  <c r="S378" i="1"/>
  <c r="U377" i="1"/>
  <c r="T377" i="1"/>
  <c r="S377" i="1"/>
  <c r="U376" i="1"/>
  <c r="T376" i="1"/>
  <c r="S376" i="1"/>
  <c r="U375" i="1"/>
  <c r="T375" i="1"/>
  <c r="S375" i="1"/>
  <c r="U374" i="1"/>
  <c r="T374" i="1"/>
  <c r="S374" i="1"/>
  <c r="U373" i="1"/>
  <c r="T373" i="1"/>
  <c r="S373" i="1"/>
  <c r="U372" i="1"/>
  <c r="T372" i="1"/>
  <c r="S372" i="1"/>
  <c r="U371" i="1"/>
  <c r="T371" i="1"/>
  <c r="S371" i="1"/>
  <c r="U370" i="1"/>
  <c r="T370" i="1"/>
  <c r="S370" i="1"/>
  <c r="U369" i="1"/>
  <c r="T369" i="1"/>
  <c r="S369" i="1"/>
  <c r="U368" i="1"/>
  <c r="T368" i="1"/>
  <c r="S368" i="1"/>
  <c r="U367" i="1"/>
  <c r="T367" i="1"/>
  <c r="S367" i="1"/>
  <c r="U366" i="1"/>
  <c r="T366" i="1"/>
  <c r="S366" i="1"/>
  <c r="U365" i="1"/>
  <c r="T365" i="1"/>
  <c r="S365" i="1"/>
  <c r="U364" i="1"/>
  <c r="T364" i="1"/>
  <c r="S364" i="1"/>
  <c r="U363" i="1"/>
  <c r="T363" i="1"/>
  <c r="S363" i="1"/>
  <c r="U362" i="1"/>
  <c r="T362" i="1"/>
  <c r="S362" i="1"/>
  <c r="U361" i="1"/>
  <c r="T361" i="1"/>
  <c r="S361" i="1"/>
  <c r="U360" i="1"/>
  <c r="T360" i="1"/>
  <c r="S360" i="1"/>
  <c r="U359" i="1"/>
  <c r="T359" i="1"/>
  <c r="S359" i="1"/>
  <c r="U358" i="1"/>
  <c r="T358" i="1"/>
  <c r="S358" i="1"/>
  <c r="U357" i="1"/>
  <c r="T357" i="1"/>
  <c r="S357" i="1"/>
  <c r="U356" i="1"/>
  <c r="T356" i="1"/>
  <c r="S356" i="1"/>
  <c r="U355" i="1"/>
  <c r="T355" i="1"/>
  <c r="S355" i="1"/>
  <c r="U354" i="1"/>
  <c r="T354" i="1"/>
  <c r="S354" i="1"/>
  <c r="U353" i="1"/>
  <c r="T353" i="1"/>
  <c r="S353" i="1"/>
  <c r="U352" i="1"/>
  <c r="T352" i="1"/>
  <c r="S352" i="1"/>
  <c r="U351" i="1"/>
  <c r="T351" i="1"/>
  <c r="S351" i="1"/>
  <c r="U350" i="1"/>
  <c r="T350" i="1"/>
  <c r="S350" i="1"/>
  <c r="U349" i="1"/>
  <c r="T349" i="1"/>
  <c r="S349" i="1"/>
  <c r="U348" i="1"/>
  <c r="T348" i="1"/>
  <c r="S348" i="1"/>
  <c r="U347" i="1"/>
  <c r="T347" i="1"/>
  <c r="S347" i="1"/>
  <c r="U346" i="1"/>
  <c r="T346" i="1"/>
  <c r="S346" i="1"/>
  <c r="U345" i="1"/>
  <c r="T345" i="1"/>
  <c r="S345" i="1"/>
  <c r="U344" i="1"/>
  <c r="T344" i="1"/>
  <c r="S344" i="1"/>
  <c r="U343" i="1"/>
  <c r="T343" i="1"/>
  <c r="S343" i="1"/>
  <c r="U342" i="1"/>
  <c r="T342" i="1"/>
  <c r="S342" i="1"/>
  <c r="U341" i="1"/>
  <c r="T341" i="1"/>
  <c r="S341" i="1"/>
  <c r="U340" i="1"/>
  <c r="T340" i="1"/>
  <c r="S340" i="1"/>
  <c r="U339" i="1"/>
  <c r="T339" i="1"/>
  <c r="S339" i="1"/>
  <c r="U338" i="1"/>
  <c r="T338" i="1"/>
  <c r="S338" i="1"/>
  <c r="U337" i="1"/>
  <c r="T337" i="1"/>
  <c r="S337" i="1"/>
  <c r="U336" i="1"/>
  <c r="T336" i="1"/>
  <c r="S336" i="1"/>
  <c r="U335" i="1"/>
  <c r="T335" i="1"/>
  <c r="S335" i="1"/>
  <c r="U334" i="1"/>
  <c r="T334" i="1"/>
  <c r="S334" i="1"/>
  <c r="U333" i="1"/>
  <c r="T333" i="1"/>
  <c r="S333" i="1"/>
  <c r="U332" i="1"/>
  <c r="T332" i="1"/>
  <c r="S332" i="1"/>
  <c r="U331" i="1"/>
  <c r="T331" i="1"/>
  <c r="S331" i="1"/>
  <c r="U330" i="1"/>
  <c r="T330" i="1"/>
  <c r="S330" i="1"/>
  <c r="U329" i="1"/>
  <c r="T329" i="1"/>
  <c r="S329" i="1"/>
  <c r="U328" i="1"/>
  <c r="T328" i="1"/>
  <c r="S328" i="1"/>
  <c r="U327" i="1"/>
  <c r="T327" i="1"/>
  <c r="S327" i="1"/>
  <c r="U326" i="1"/>
  <c r="T326" i="1"/>
  <c r="S326" i="1"/>
  <c r="U325" i="1"/>
  <c r="T325" i="1"/>
  <c r="S325" i="1"/>
  <c r="U324" i="1"/>
  <c r="T324" i="1"/>
  <c r="S324" i="1"/>
  <c r="U323" i="1"/>
  <c r="T323" i="1"/>
  <c r="S323" i="1"/>
  <c r="U322" i="1"/>
  <c r="T322" i="1"/>
  <c r="S322" i="1"/>
  <c r="U321" i="1"/>
  <c r="T321" i="1"/>
  <c r="S321" i="1"/>
  <c r="U320" i="1"/>
  <c r="T320" i="1"/>
  <c r="S320" i="1"/>
  <c r="U319" i="1"/>
  <c r="T319" i="1"/>
  <c r="S319" i="1"/>
  <c r="U318" i="1"/>
  <c r="T318" i="1"/>
  <c r="S318" i="1"/>
  <c r="U317" i="1"/>
  <c r="T317" i="1"/>
  <c r="S317" i="1"/>
  <c r="U316" i="1"/>
  <c r="T316" i="1"/>
  <c r="S316" i="1"/>
  <c r="U315" i="1"/>
  <c r="T315" i="1"/>
  <c r="S315" i="1"/>
  <c r="U314" i="1"/>
  <c r="T314" i="1"/>
  <c r="S314" i="1"/>
  <c r="U313" i="1"/>
  <c r="T313" i="1"/>
  <c r="S313" i="1"/>
  <c r="U312" i="1"/>
  <c r="T312" i="1"/>
  <c r="S312" i="1"/>
  <c r="U311" i="1"/>
  <c r="T311" i="1"/>
  <c r="S311" i="1"/>
  <c r="U310" i="1"/>
  <c r="T310" i="1"/>
  <c r="S310" i="1"/>
  <c r="U309" i="1"/>
  <c r="T309" i="1"/>
  <c r="S309" i="1"/>
  <c r="U308" i="1"/>
  <c r="T308" i="1"/>
  <c r="S308" i="1"/>
  <c r="U307" i="1"/>
  <c r="T307" i="1"/>
  <c r="S307" i="1"/>
  <c r="U306" i="1"/>
  <c r="T306" i="1"/>
  <c r="S306" i="1"/>
  <c r="U305" i="1"/>
  <c r="T305" i="1"/>
  <c r="S305" i="1"/>
  <c r="U304" i="1"/>
  <c r="T304" i="1"/>
  <c r="S304" i="1"/>
  <c r="U303" i="1"/>
  <c r="T303" i="1"/>
  <c r="S303" i="1"/>
  <c r="U302" i="1"/>
  <c r="T302" i="1"/>
  <c r="S302" i="1"/>
  <c r="U301" i="1"/>
  <c r="T301" i="1"/>
  <c r="S301" i="1"/>
  <c r="U300" i="1"/>
  <c r="T300" i="1"/>
  <c r="S300" i="1"/>
  <c r="U299" i="1"/>
  <c r="T299" i="1"/>
  <c r="S299" i="1"/>
  <c r="U298" i="1"/>
  <c r="T298" i="1"/>
  <c r="S298" i="1"/>
  <c r="U297" i="1"/>
  <c r="T297" i="1"/>
  <c r="S297" i="1"/>
  <c r="U296" i="1"/>
  <c r="T296" i="1"/>
  <c r="S296" i="1"/>
  <c r="U295" i="1"/>
  <c r="T295" i="1"/>
  <c r="S295" i="1"/>
  <c r="U294" i="1"/>
  <c r="T294" i="1"/>
  <c r="S294" i="1"/>
  <c r="U293" i="1"/>
  <c r="T293" i="1"/>
  <c r="S293" i="1"/>
  <c r="U292" i="1"/>
  <c r="T292" i="1"/>
  <c r="S292" i="1"/>
  <c r="U291" i="1"/>
  <c r="T291" i="1"/>
  <c r="S291" i="1"/>
  <c r="U290" i="1"/>
  <c r="T290" i="1"/>
  <c r="S290" i="1"/>
  <c r="U289" i="1"/>
  <c r="T289" i="1"/>
  <c r="S289" i="1"/>
  <c r="U288" i="1"/>
  <c r="T288" i="1"/>
  <c r="S288" i="1"/>
  <c r="U287" i="1"/>
  <c r="T287" i="1"/>
  <c r="S287" i="1"/>
  <c r="U286" i="1"/>
  <c r="T286" i="1"/>
  <c r="S286" i="1"/>
  <c r="U285" i="1"/>
  <c r="T285" i="1"/>
  <c r="S285" i="1"/>
  <c r="U284" i="1"/>
  <c r="T284" i="1"/>
  <c r="S284" i="1"/>
  <c r="U283" i="1"/>
  <c r="T283" i="1"/>
  <c r="S283" i="1"/>
  <c r="U282" i="1"/>
  <c r="T282" i="1"/>
  <c r="S282" i="1"/>
  <c r="U281" i="1"/>
  <c r="T281" i="1"/>
  <c r="S281" i="1"/>
  <c r="U280" i="1"/>
  <c r="T280" i="1"/>
  <c r="S280" i="1"/>
  <c r="U279" i="1"/>
  <c r="T279" i="1"/>
  <c r="S279" i="1"/>
  <c r="U278" i="1"/>
  <c r="T278" i="1"/>
  <c r="S278" i="1"/>
  <c r="U277" i="1"/>
  <c r="T277" i="1"/>
  <c r="S277" i="1"/>
  <c r="U276" i="1"/>
  <c r="T276" i="1"/>
  <c r="S276" i="1"/>
  <c r="U275" i="1"/>
  <c r="T275" i="1"/>
  <c r="S275" i="1"/>
  <c r="U274" i="1"/>
  <c r="T274" i="1"/>
  <c r="S274" i="1"/>
  <c r="U273" i="1"/>
  <c r="T273" i="1"/>
  <c r="S273" i="1"/>
  <c r="U272" i="1"/>
  <c r="T272" i="1"/>
  <c r="S272" i="1"/>
  <c r="U271" i="1"/>
  <c r="T271" i="1"/>
  <c r="S271" i="1"/>
  <c r="U270" i="1"/>
  <c r="T270" i="1"/>
  <c r="S270" i="1"/>
  <c r="U269" i="1"/>
  <c r="T269" i="1"/>
  <c r="S269" i="1"/>
  <c r="U268" i="1"/>
  <c r="T268" i="1"/>
  <c r="S268" i="1"/>
  <c r="U267" i="1"/>
  <c r="T267" i="1"/>
  <c r="S267" i="1"/>
  <c r="U266" i="1"/>
  <c r="T266" i="1"/>
  <c r="S266" i="1"/>
  <c r="U265" i="1"/>
  <c r="T265" i="1"/>
  <c r="S265" i="1"/>
  <c r="U264" i="1"/>
  <c r="T264" i="1"/>
  <c r="S264" i="1"/>
  <c r="U263" i="1"/>
  <c r="T263" i="1"/>
  <c r="S263" i="1"/>
  <c r="U262" i="1"/>
  <c r="T262" i="1"/>
  <c r="S262" i="1"/>
  <c r="U261" i="1"/>
  <c r="T261" i="1"/>
  <c r="S261" i="1"/>
  <c r="U260" i="1"/>
  <c r="T260" i="1"/>
  <c r="S260" i="1"/>
  <c r="U259" i="1"/>
  <c r="T259" i="1"/>
  <c r="S259" i="1"/>
  <c r="U258" i="1"/>
  <c r="T258" i="1"/>
  <c r="S258" i="1"/>
  <c r="U257" i="1"/>
  <c r="T257" i="1"/>
  <c r="S257" i="1"/>
  <c r="U256" i="1"/>
  <c r="T256" i="1"/>
  <c r="S256" i="1"/>
  <c r="U255" i="1"/>
  <c r="T255" i="1"/>
  <c r="S255" i="1"/>
  <c r="U254" i="1"/>
  <c r="T254" i="1"/>
  <c r="S254" i="1"/>
  <c r="U253" i="1"/>
  <c r="T253" i="1"/>
  <c r="S253" i="1"/>
  <c r="U252" i="1"/>
  <c r="T252" i="1"/>
  <c r="S252" i="1"/>
  <c r="U251" i="1"/>
  <c r="T251" i="1"/>
  <c r="S251" i="1"/>
  <c r="U250" i="1"/>
  <c r="T250" i="1"/>
  <c r="S250" i="1"/>
  <c r="U249" i="1"/>
  <c r="T249" i="1"/>
  <c r="S249" i="1"/>
  <c r="U248" i="1"/>
  <c r="T248" i="1"/>
  <c r="S248" i="1"/>
  <c r="U247" i="1"/>
  <c r="T247" i="1"/>
  <c r="S247" i="1"/>
  <c r="U246" i="1"/>
  <c r="T246" i="1"/>
  <c r="S246" i="1"/>
  <c r="U245" i="1"/>
  <c r="T245" i="1"/>
  <c r="S245" i="1"/>
  <c r="U244" i="1"/>
  <c r="T244" i="1"/>
  <c r="S244" i="1"/>
  <c r="U243" i="1"/>
  <c r="T243" i="1"/>
  <c r="S243" i="1"/>
  <c r="U242" i="1"/>
  <c r="T242" i="1"/>
  <c r="S242" i="1"/>
  <c r="U241" i="1"/>
  <c r="T241" i="1"/>
  <c r="S241" i="1"/>
  <c r="U240" i="1"/>
  <c r="T240" i="1"/>
  <c r="S240" i="1"/>
  <c r="U239" i="1"/>
  <c r="T239" i="1"/>
  <c r="S239" i="1"/>
  <c r="U238" i="1"/>
  <c r="T238" i="1"/>
  <c r="S238" i="1"/>
  <c r="U237" i="1"/>
  <c r="T237" i="1"/>
  <c r="S237" i="1"/>
  <c r="U236" i="1"/>
  <c r="T236" i="1"/>
  <c r="S236" i="1"/>
  <c r="U235" i="1"/>
  <c r="T235" i="1"/>
  <c r="S235" i="1"/>
  <c r="U234" i="1"/>
  <c r="T234" i="1"/>
  <c r="S234" i="1"/>
  <c r="U233" i="1"/>
  <c r="T233" i="1"/>
  <c r="S233" i="1"/>
  <c r="U232" i="1"/>
  <c r="T232" i="1"/>
  <c r="S232" i="1"/>
  <c r="U231" i="1"/>
  <c r="T231" i="1"/>
  <c r="S231" i="1"/>
  <c r="U230" i="1"/>
  <c r="T230" i="1"/>
  <c r="S230" i="1"/>
  <c r="U229" i="1"/>
  <c r="T229" i="1"/>
  <c r="S229" i="1"/>
  <c r="U228" i="1"/>
  <c r="T228" i="1"/>
  <c r="S228" i="1"/>
  <c r="U227" i="1"/>
  <c r="T227" i="1"/>
  <c r="S227" i="1"/>
  <c r="U226" i="1"/>
  <c r="T226" i="1"/>
  <c r="S226" i="1"/>
  <c r="U225" i="1"/>
  <c r="T225" i="1"/>
  <c r="S225" i="1"/>
  <c r="U224" i="1"/>
  <c r="T224" i="1"/>
  <c r="S224" i="1"/>
  <c r="U223" i="1"/>
  <c r="T223" i="1"/>
  <c r="S223" i="1"/>
  <c r="U222" i="1"/>
  <c r="T222" i="1"/>
  <c r="S222" i="1"/>
  <c r="U221" i="1"/>
  <c r="T221" i="1"/>
  <c r="S221" i="1"/>
  <c r="U220" i="1"/>
  <c r="T220" i="1"/>
  <c r="S220" i="1"/>
  <c r="U219" i="1"/>
  <c r="T219" i="1"/>
  <c r="S219" i="1"/>
  <c r="U218" i="1"/>
  <c r="T218" i="1"/>
  <c r="S218" i="1"/>
  <c r="U217" i="1"/>
  <c r="T217" i="1"/>
  <c r="S217" i="1"/>
  <c r="U216" i="1"/>
  <c r="T216" i="1"/>
  <c r="S216" i="1"/>
  <c r="U215" i="1"/>
  <c r="T215" i="1"/>
  <c r="S215" i="1"/>
  <c r="U214" i="1"/>
  <c r="T214" i="1"/>
  <c r="S214" i="1"/>
  <c r="U213" i="1"/>
  <c r="T213" i="1"/>
  <c r="S213" i="1"/>
  <c r="U212" i="1"/>
  <c r="T212" i="1"/>
  <c r="S212" i="1"/>
  <c r="U211" i="1"/>
  <c r="T211" i="1"/>
  <c r="S211" i="1"/>
  <c r="U210" i="1"/>
  <c r="T210" i="1"/>
  <c r="S210" i="1"/>
  <c r="U209" i="1"/>
  <c r="T209" i="1"/>
  <c r="S209" i="1"/>
  <c r="U208" i="1"/>
  <c r="T208" i="1"/>
  <c r="S208" i="1"/>
  <c r="U207" i="1"/>
  <c r="T207" i="1"/>
  <c r="S207" i="1"/>
  <c r="U206" i="1"/>
  <c r="T206" i="1"/>
  <c r="S206" i="1"/>
  <c r="U205" i="1"/>
  <c r="T205" i="1"/>
  <c r="S205" i="1"/>
  <c r="U204" i="1"/>
  <c r="T204" i="1"/>
  <c r="S204" i="1"/>
  <c r="U203" i="1"/>
  <c r="T203" i="1"/>
  <c r="S203" i="1"/>
  <c r="U202" i="1"/>
  <c r="T202" i="1"/>
  <c r="S202" i="1"/>
  <c r="U201" i="1"/>
  <c r="T201" i="1"/>
  <c r="S201" i="1"/>
  <c r="U200" i="1"/>
  <c r="T200" i="1"/>
  <c r="S200" i="1"/>
  <c r="U199" i="1"/>
  <c r="T199" i="1"/>
  <c r="S199" i="1"/>
  <c r="U198" i="1"/>
  <c r="T198" i="1"/>
  <c r="S198" i="1"/>
  <c r="U197" i="1"/>
  <c r="T197" i="1"/>
  <c r="S197" i="1"/>
  <c r="U196" i="1"/>
  <c r="T196" i="1"/>
  <c r="S196" i="1"/>
  <c r="U195" i="1"/>
  <c r="T195" i="1"/>
  <c r="S195" i="1"/>
  <c r="U194" i="1"/>
  <c r="T194" i="1"/>
  <c r="S194" i="1"/>
  <c r="U193" i="1"/>
  <c r="T193" i="1"/>
  <c r="S193" i="1"/>
  <c r="U192" i="1"/>
  <c r="T192" i="1"/>
  <c r="S192" i="1"/>
  <c r="U191" i="1"/>
  <c r="T191" i="1"/>
  <c r="S191" i="1"/>
  <c r="U190" i="1"/>
  <c r="T190" i="1"/>
  <c r="S190" i="1"/>
  <c r="U189" i="1"/>
  <c r="T189" i="1"/>
  <c r="S189" i="1"/>
  <c r="U188" i="1"/>
  <c r="T188" i="1"/>
  <c r="S188" i="1"/>
  <c r="U187" i="1"/>
  <c r="T187" i="1"/>
  <c r="S187" i="1"/>
  <c r="U186" i="1"/>
  <c r="T186" i="1"/>
  <c r="S186" i="1"/>
  <c r="U185" i="1"/>
  <c r="T185" i="1"/>
  <c r="S185" i="1"/>
  <c r="U184" i="1"/>
  <c r="T184" i="1"/>
  <c r="S184" i="1"/>
  <c r="U183" i="1"/>
  <c r="T183" i="1"/>
  <c r="S183" i="1"/>
  <c r="U182" i="1"/>
  <c r="T182" i="1"/>
  <c r="S182" i="1"/>
  <c r="U181" i="1"/>
  <c r="T181" i="1"/>
  <c r="S181" i="1"/>
  <c r="U180" i="1"/>
  <c r="T180" i="1"/>
  <c r="S180" i="1"/>
  <c r="U179" i="1"/>
  <c r="T179" i="1"/>
  <c r="S179" i="1"/>
  <c r="U178" i="1"/>
  <c r="T178" i="1"/>
  <c r="S178" i="1"/>
  <c r="U177" i="1"/>
  <c r="T177" i="1"/>
  <c r="S177" i="1"/>
  <c r="U176" i="1"/>
  <c r="T176" i="1"/>
  <c r="S176" i="1"/>
  <c r="U175" i="1"/>
  <c r="T175" i="1"/>
  <c r="S175" i="1"/>
  <c r="U174" i="1"/>
  <c r="T174" i="1"/>
  <c r="S174" i="1"/>
  <c r="U173" i="1"/>
  <c r="T173" i="1"/>
  <c r="S173" i="1"/>
  <c r="U172" i="1"/>
  <c r="T172" i="1"/>
  <c r="S172" i="1"/>
  <c r="U171" i="1"/>
  <c r="T171" i="1"/>
  <c r="S171" i="1"/>
  <c r="U170" i="1"/>
  <c r="T170" i="1"/>
  <c r="S170" i="1"/>
  <c r="U169" i="1"/>
  <c r="T169" i="1"/>
  <c r="S169" i="1"/>
  <c r="U168" i="1"/>
  <c r="T168" i="1"/>
  <c r="S168" i="1"/>
  <c r="U167" i="1"/>
  <c r="T167" i="1"/>
  <c r="S167" i="1"/>
  <c r="U166" i="1"/>
  <c r="T166" i="1"/>
  <c r="S166" i="1"/>
  <c r="U165" i="1"/>
  <c r="T165" i="1"/>
  <c r="S165" i="1"/>
  <c r="U164" i="1"/>
  <c r="T164" i="1"/>
  <c r="S164" i="1"/>
  <c r="U163" i="1"/>
  <c r="T163" i="1"/>
  <c r="S163" i="1"/>
  <c r="U162" i="1"/>
  <c r="T162" i="1"/>
  <c r="S162" i="1"/>
  <c r="U161" i="1"/>
  <c r="T161" i="1"/>
  <c r="S161" i="1"/>
  <c r="U160" i="1"/>
  <c r="T160" i="1"/>
  <c r="S160" i="1"/>
  <c r="U159" i="1"/>
  <c r="T159" i="1"/>
  <c r="S159" i="1"/>
  <c r="U158" i="1"/>
  <c r="T158" i="1"/>
  <c r="S158" i="1"/>
  <c r="U157" i="1"/>
  <c r="T157" i="1"/>
  <c r="S157" i="1"/>
  <c r="U156" i="1"/>
  <c r="T156" i="1"/>
  <c r="S156" i="1"/>
  <c r="U155" i="1"/>
  <c r="T155" i="1"/>
  <c r="S155" i="1"/>
  <c r="U154" i="1"/>
  <c r="T154" i="1"/>
  <c r="S154" i="1"/>
  <c r="U153" i="1"/>
  <c r="T153" i="1"/>
  <c r="S153" i="1"/>
  <c r="U152" i="1"/>
  <c r="T152" i="1"/>
  <c r="S152" i="1"/>
  <c r="U151" i="1"/>
  <c r="T151" i="1"/>
  <c r="S151" i="1"/>
  <c r="U150" i="1"/>
  <c r="T150" i="1"/>
  <c r="S150" i="1"/>
  <c r="U149" i="1"/>
  <c r="T149" i="1"/>
  <c r="S149" i="1"/>
  <c r="U148" i="1"/>
  <c r="T148" i="1"/>
  <c r="S148" i="1"/>
  <c r="U147" i="1"/>
  <c r="T147" i="1"/>
  <c r="S147" i="1"/>
  <c r="U146" i="1"/>
  <c r="T146" i="1"/>
  <c r="S146" i="1"/>
  <c r="U145" i="1"/>
  <c r="T145" i="1"/>
  <c r="S145" i="1"/>
  <c r="U144" i="1"/>
  <c r="T144" i="1"/>
  <c r="S144" i="1"/>
  <c r="U143" i="1"/>
  <c r="T143" i="1"/>
  <c r="S143" i="1"/>
  <c r="U142" i="1"/>
  <c r="T142" i="1"/>
  <c r="S142" i="1"/>
  <c r="U141" i="1"/>
  <c r="T141" i="1"/>
  <c r="S141" i="1"/>
  <c r="U140" i="1"/>
  <c r="T140" i="1"/>
  <c r="S140" i="1"/>
  <c r="U139" i="1"/>
  <c r="T139" i="1"/>
  <c r="S139" i="1"/>
  <c r="U138" i="1"/>
  <c r="T138" i="1"/>
  <c r="S138" i="1"/>
  <c r="U137" i="1"/>
  <c r="T137" i="1"/>
  <c r="S137" i="1"/>
  <c r="U136" i="1"/>
  <c r="T136" i="1"/>
  <c r="S136" i="1"/>
  <c r="U135" i="1"/>
  <c r="T135" i="1"/>
  <c r="S135" i="1"/>
  <c r="U134" i="1"/>
  <c r="T134" i="1"/>
  <c r="S134" i="1"/>
  <c r="U133" i="1"/>
  <c r="T133" i="1"/>
  <c r="S133" i="1"/>
  <c r="U132" i="1"/>
  <c r="T132" i="1"/>
  <c r="S132" i="1"/>
  <c r="U131" i="1"/>
  <c r="T131" i="1"/>
  <c r="S131" i="1"/>
  <c r="U130" i="1"/>
  <c r="T130" i="1"/>
  <c r="S130" i="1"/>
  <c r="U129" i="1"/>
  <c r="T129" i="1"/>
  <c r="S129" i="1"/>
  <c r="U128" i="1"/>
  <c r="T128" i="1"/>
  <c r="S128" i="1"/>
  <c r="U127" i="1"/>
  <c r="T127" i="1"/>
  <c r="S127" i="1"/>
  <c r="U126" i="1"/>
  <c r="T126" i="1"/>
  <c r="S126" i="1"/>
  <c r="U125" i="1"/>
  <c r="T125" i="1"/>
  <c r="S125" i="1"/>
  <c r="U124" i="1"/>
  <c r="T124" i="1"/>
  <c r="S124" i="1"/>
  <c r="U123" i="1"/>
  <c r="T123" i="1"/>
  <c r="S123" i="1"/>
  <c r="U122" i="1"/>
  <c r="T122" i="1"/>
  <c r="S122" i="1"/>
  <c r="U121" i="1"/>
  <c r="T121" i="1"/>
  <c r="S121" i="1"/>
  <c r="U120" i="1"/>
  <c r="T120" i="1"/>
  <c r="S120" i="1"/>
  <c r="U119" i="1"/>
  <c r="T119" i="1"/>
  <c r="S119" i="1"/>
  <c r="U118" i="1"/>
  <c r="T118" i="1"/>
  <c r="S118" i="1"/>
  <c r="U117" i="1"/>
  <c r="T117" i="1"/>
  <c r="S117" i="1"/>
  <c r="U116" i="1"/>
  <c r="T116" i="1"/>
  <c r="S116" i="1"/>
  <c r="U115" i="1"/>
  <c r="T115" i="1"/>
  <c r="S115" i="1"/>
  <c r="U114" i="1"/>
  <c r="T114" i="1"/>
  <c r="S114" i="1"/>
  <c r="U113" i="1"/>
  <c r="T113" i="1"/>
  <c r="S113" i="1"/>
  <c r="U112" i="1"/>
  <c r="T112" i="1"/>
  <c r="S112" i="1"/>
  <c r="U111" i="1"/>
  <c r="T111" i="1"/>
  <c r="S111" i="1"/>
  <c r="U110" i="1"/>
  <c r="T110" i="1"/>
  <c r="S110" i="1"/>
  <c r="U109" i="1"/>
  <c r="T109" i="1"/>
  <c r="S109" i="1"/>
  <c r="U108" i="1"/>
  <c r="T108" i="1"/>
  <c r="S108" i="1"/>
  <c r="U107" i="1"/>
  <c r="T107" i="1"/>
  <c r="S107" i="1"/>
  <c r="U106" i="1"/>
  <c r="T106" i="1"/>
  <c r="S106" i="1"/>
  <c r="U105" i="1"/>
  <c r="T105" i="1"/>
  <c r="S105" i="1"/>
  <c r="U104" i="1"/>
  <c r="T104" i="1"/>
  <c r="S104" i="1"/>
  <c r="U103" i="1"/>
  <c r="T103" i="1"/>
  <c r="S103" i="1"/>
  <c r="U102" i="1"/>
  <c r="T102" i="1"/>
  <c r="S102" i="1"/>
  <c r="U101" i="1"/>
  <c r="T101" i="1"/>
  <c r="S101" i="1"/>
  <c r="U100" i="1"/>
  <c r="T100" i="1"/>
  <c r="S100" i="1"/>
  <c r="U99" i="1"/>
  <c r="T99" i="1"/>
  <c r="S99" i="1"/>
  <c r="U98" i="1"/>
  <c r="T98" i="1"/>
  <c r="S98" i="1"/>
  <c r="U97" i="1"/>
  <c r="T97" i="1"/>
  <c r="S97" i="1"/>
  <c r="U96" i="1"/>
  <c r="T96" i="1"/>
  <c r="S96" i="1"/>
  <c r="U95" i="1"/>
  <c r="T95" i="1"/>
  <c r="S95" i="1"/>
  <c r="U94" i="1"/>
  <c r="T94" i="1"/>
  <c r="S94" i="1"/>
  <c r="U93" i="1"/>
  <c r="T93" i="1"/>
  <c r="S93" i="1"/>
  <c r="U92" i="1"/>
  <c r="T92" i="1"/>
  <c r="S92" i="1"/>
  <c r="U91" i="1"/>
  <c r="T91" i="1"/>
  <c r="S91" i="1"/>
  <c r="U90" i="1"/>
  <c r="T90" i="1"/>
  <c r="S90" i="1"/>
  <c r="U89" i="1"/>
  <c r="T89" i="1"/>
  <c r="S89" i="1"/>
  <c r="U88" i="1"/>
  <c r="T88" i="1"/>
  <c r="S88" i="1"/>
  <c r="U87" i="1"/>
  <c r="T87" i="1"/>
  <c r="S87" i="1"/>
  <c r="U86" i="1"/>
  <c r="T86" i="1"/>
  <c r="S86" i="1"/>
  <c r="U85" i="1"/>
  <c r="T85" i="1"/>
  <c r="S85" i="1"/>
  <c r="U84" i="1"/>
  <c r="T84" i="1"/>
  <c r="S84" i="1"/>
  <c r="U83" i="1"/>
  <c r="T83" i="1"/>
  <c r="S83" i="1"/>
  <c r="U82" i="1"/>
  <c r="T82" i="1"/>
  <c r="S82" i="1"/>
  <c r="U81" i="1"/>
  <c r="T81" i="1"/>
  <c r="S81" i="1"/>
  <c r="U80" i="1"/>
  <c r="T80" i="1"/>
  <c r="S80" i="1"/>
  <c r="U79" i="1"/>
  <c r="T79" i="1"/>
  <c r="S79" i="1"/>
  <c r="U78" i="1"/>
  <c r="T78" i="1"/>
  <c r="S78" i="1"/>
  <c r="U77" i="1"/>
  <c r="T77" i="1"/>
  <c r="S77" i="1"/>
  <c r="U76" i="1"/>
  <c r="T76" i="1"/>
  <c r="S76" i="1"/>
  <c r="U75" i="1"/>
  <c r="T75" i="1"/>
  <c r="S75" i="1"/>
  <c r="U74" i="1"/>
  <c r="T74" i="1"/>
  <c r="S74" i="1"/>
  <c r="U73" i="1"/>
  <c r="T73" i="1"/>
  <c r="S73" i="1"/>
  <c r="U72" i="1"/>
  <c r="T72" i="1"/>
  <c r="S72" i="1"/>
  <c r="U71" i="1"/>
  <c r="T71" i="1"/>
  <c r="S71" i="1"/>
  <c r="U70" i="1"/>
  <c r="T70" i="1"/>
  <c r="S70" i="1"/>
  <c r="U69" i="1"/>
  <c r="T69" i="1"/>
  <c r="S69" i="1"/>
  <c r="U68" i="1"/>
  <c r="T68" i="1"/>
  <c r="S68" i="1"/>
  <c r="U67" i="1"/>
  <c r="T67" i="1"/>
  <c r="S67" i="1"/>
  <c r="U66" i="1"/>
  <c r="T66" i="1"/>
  <c r="S66" i="1"/>
  <c r="U65" i="1"/>
  <c r="T65" i="1"/>
  <c r="S65" i="1"/>
  <c r="U64" i="1"/>
  <c r="T64" i="1"/>
  <c r="S64" i="1"/>
  <c r="U63" i="1"/>
  <c r="T63" i="1"/>
  <c r="S63" i="1"/>
  <c r="U62" i="1"/>
  <c r="T62" i="1"/>
  <c r="S62" i="1"/>
  <c r="U61" i="1"/>
  <c r="T61" i="1"/>
  <c r="S61" i="1"/>
  <c r="U60" i="1"/>
  <c r="T60" i="1"/>
  <c r="S60" i="1"/>
  <c r="U59" i="1"/>
  <c r="T59" i="1"/>
  <c r="S59" i="1"/>
  <c r="U58" i="1"/>
  <c r="T58" i="1"/>
  <c r="S58" i="1"/>
  <c r="U57" i="1"/>
  <c r="T57" i="1"/>
  <c r="S57" i="1"/>
  <c r="U56" i="1"/>
  <c r="T56" i="1"/>
  <c r="S56" i="1"/>
  <c r="U55" i="1"/>
  <c r="T55" i="1"/>
  <c r="S55" i="1"/>
  <c r="U54" i="1"/>
  <c r="T54" i="1"/>
  <c r="S54" i="1"/>
  <c r="U53" i="1"/>
  <c r="T53" i="1"/>
  <c r="S53" i="1"/>
  <c r="U52" i="1"/>
  <c r="T52" i="1"/>
  <c r="S52" i="1"/>
  <c r="U51" i="1"/>
  <c r="T51" i="1"/>
  <c r="S51" i="1"/>
  <c r="U50" i="1"/>
  <c r="T50" i="1"/>
  <c r="S50" i="1"/>
  <c r="U49" i="1"/>
  <c r="T49" i="1"/>
  <c r="S49" i="1"/>
  <c r="U48" i="1"/>
  <c r="T48" i="1"/>
  <c r="S48" i="1"/>
  <c r="U47" i="1"/>
  <c r="T47" i="1"/>
  <c r="S47" i="1"/>
  <c r="U46" i="1"/>
  <c r="T46" i="1"/>
  <c r="S46" i="1"/>
  <c r="U45" i="1"/>
  <c r="T45" i="1"/>
  <c r="S45" i="1"/>
  <c r="U44" i="1"/>
  <c r="T44" i="1"/>
  <c r="S44" i="1"/>
  <c r="U43" i="1"/>
  <c r="T43" i="1"/>
  <c r="S43" i="1"/>
  <c r="U42" i="1"/>
  <c r="T42" i="1"/>
  <c r="S42" i="1"/>
  <c r="U41" i="1"/>
  <c r="T41" i="1"/>
  <c r="S41" i="1"/>
  <c r="U40" i="1"/>
  <c r="T40" i="1"/>
  <c r="S40" i="1"/>
  <c r="U39" i="1"/>
  <c r="T39" i="1"/>
  <c r="S39" i="1"/>
  <c r="U38" i="1"/>
  <c r="T38" i="1"/>
  <c r="S38" i="1"/>
  <c r="U37" i="1"/>
  <c r="T37" i="1"/>
  <c r="S37" i="1"/>
  <c r="U36" i="1"/>
  <c r="T36" i="1"/>
  <c r="S36" i="1"/>
  <c r="U35" i="1"/>
  <c r="T35" i="1"/>
  <c r="S35" i="1"/>
  <c r="U34" i="1"/>
  <c r="T34" i="1"/>
  <c r="S34" i="1"/>
  <c r="U33" i="1"/>
  <c r="T33" i="1"/>
  <c r="S33" i="1"/>
  <c r="U32" i="1"/>
  <c r="T32" i="1"/>
  <c r="S32" i="1"/>
  <c r="U31" i="1"/>
  <c r="T31" i="1"/>
  <c r="S31" i="1"/>
  <c r="U30" i="1"/>
  <c r="T30" i="1"/>
  <c r="S30" i="1"/>
  <c r="U29" i="1"/>
  <c r="T29" i="1"/>
  <c r="S29" i="1"/>
  <c r="U28" i="1"/>
  <c r="T28" i="1"/>
  <c r="S28" i="1"/>
  <c r="U27" i="1"/>
  <c r="T27" i="1"/>
  <c r="S27" i="1"/>
  <c r="U26" i="1"/>
  <c r="T26" i="1"/>
  <c r="S26" i="1"/>
  <c r="U25" i="1"/>
  <c r="T25" i="1"/>
  <c r="S25" i="1"/>
  <c r="U24" i="1"/>
  <c r="T24" i="1"/>
  <c r="S24" i="1"/>
  <c r="U23" i="1"/>
  <c r="T23" i="1"/>
  <c r="S23" i="1"/>
  <c r="U22" i="1"/>
  <c r="T22" i="1"/>
  <c r="S22" i="1"/>
  <c r="U21" i="1"/>
  <c r="T21" i="1"/>
  <c r="S21" i="1"/>
  <c r="U20" i="1"/>
  <c r="T20" i="1"/>
  <c r="S20" i="1"/>
  <c r="U19" i="1"/>
  <c r="T19" i="1"/>
  <c r="S19" i="1"/>
  <c r="U18" i="1"/>
  <c r="T18" i="1"/>
  <c r="S18" i="1"/>
  <c r="U17" i="1"/>
  <c r="T17" i="1"/>
  <c r="S17" i="1"/>
  <c r="U16" i="1"/>
  <c r="T16" i="1"/>
  <c r="S16" i="1"/>
  <c r="U15" i="1"/>
  <c r="T15" i="1"/>
  <c r="S15" i="1"/>
  <c r="U14" i="1"/>
  <c r="T14" i="1"/>
  <c r="S14" i="1"/>
  <c r="U13" i="1"/>
  <c r="T13" i="1"/>
  <c r="S13" i="1"/>
  <c r="U12" i="1"/>
  <c r="T12" i="1"/>
  <c r="S12" i="1"/>
  <c r="U11" i="1"/>
  <c r="T11" i="1"/>
  <c r="S11" i="1"/>
  <c r="U10" i="1"/>
  <c r="T10" i="1"/>
  <c r="S10" i="1"/>
  <c r="U9" i="1"/>
  <c r="T9" i="1"/>
  <c r="S9" i="1"/>
  <c r="U8" i="1"/>
  <c r="T8" i="1"/>
  <c r="S8" i="1"/>
  <c r="U7" i="1"/>
  <c r="T7" i="1"/>
  <c r="S7" i="1"/>
  <c r="U6" i="1"/>
  <c r="T6" i="1"/>
  <c r="S6" i="1"/>
  <c r="U5" i="1"/>
  <c r="T5" i="1"/>
  <c r="S5" i="1"/>
  <c r="U4" i="1"/>
  <c r="T4" i="1"/>
  <c r="S4" i="1"/>
  <c r="U3" i="1"/>
  <c r="T3" i="1"/>
  <c r="S3" i="1"/>
  <c r="U2" i="1"/>
  <c r="T2" i="1"/>
  <c r="S2" i="1"/>
  <c r="X22" i="2"/>
  <c r="W22" i="2"/>
  <c r="V22" i="2"/>
  <c r="T22" i="2"/>
  <c r="S22" i="2"/>
  <c r="R22" i="2"/>
  <c r="Q22" i="2"/>
  <c r="AA22" i="2" s="1"/>
  <c r="X21" i="2"/>
  <c r="W21" i="2"/>
  <c r="V21" i="2"/>
  <c r="T21" i="2"/>
  <c r="S21" i="2"/>
  <c r="R21" i="2"/>
  <c r="Q21" i="2"/>
  <c r="AA21" i="2" s="1"/>
  <c r="X20" i="2"/>
  <c r="W20" i="2"/>
  <c r="V20" i="2"/>
  <c r="T20" i="2"/>
  <c r="S20" i="2"/>
  <c r="R20" i="2"/>
  <c r="Q20" i="2"/>
  <c r="AA20" i="2" s="1"/>
  <c r="X19" i="2"/>
  <c r="W19" i="2"/>
  <c r="V19" i="2"/>
  <c r="T19" i="2"/>
  <c r="S19" i="2"/>
  <c r="R19" i="2"/>
  <c r="Q19" i="2"/>
  <c r="AA19" i="2" s="1"/>
  <c r="X18" i="2"/>
  <c r="W18" i="2"/>
  <c r="V18" i="2"/>
  <c r="T18" i="2"/>
  <c r="S18" i="2"/>
  <c r="R18" i="2"/>
  <c r="Q18" i="2"/>
  <c r="AA18" i="2" s="1"/>
  <c r="X17" i="2"/>
  <c r="W17" i="2"/>
  <c r="V17" i="2"/>
  <c r="T17" i="2"/>
  <c r="S17" i="2"/>
  <c r="R17" i="2"/>
  <c r="Q17" i="2"/>
  <c r="AA17" i="2" s="1"/>
  <c r="X16" i="2"/>
  <c r="W16" i="2"/>
  <c r="V16" i="2"/>
  <c r="T16" i="2"/>
  <c r="S16" i="2"/>
  <c r="R16" i="2"/>
  <c r="Q16" i="2"/>
  <c r="AA16" i="2" s="1"/>
  <c r="X15" i="2"/>
  <c r="W15" i="2"/>
  <c r="V15" i="2"/>
  <c r="T15" i="2"/>
  <c r="S15" i="2"/>
  <c r="R15" i="2"/>
  <c r="Q15" i="2"/>
  <c r="AA15" i="2" s="1"/>
  <c r="X14" i="2"/>
  <c r="W14" i="2"/>
  <c r="V14" i="2"/>
  <c r="T14" i="2"/>
  <c r="S14" i="2"/>
  <c r="R14" i="2"/>
  <c r="Q14" i="2"/>
  <c r="AA14" i="2" s="1"/>
  <c r="X13" i="2"/>
  <c r="W13" i="2"/>
  <c r="V13" i="2"/>
  <c r="T13" i="2"/>
  <c r="S13" i="2"/>
  <c r="R13" i="2"/>
  <c r="Q13" i="2"/>
  <c r="AA13" i="2" s="1"/>
  <c r="X12" i="2"/>
  <c r="W12" i="2"/>
  <c r="V12" i="2"/>
  <c r="T12" i="2"/>
  <c r="S12" i="2"/>
  <c r="R12" i="2"/>
  <c r="Q12" i="2"/>
  <c r="AA12" i="2" s="1"/>
  <c r="X11" i="2"/>
  <c r="W11" i="2"/>
  <c r="V11" i="2"/>
  <c r="T11" i="2"/>
  <c r="S11" i="2"/>
  <c r="R11" i="2"/>
  <c r="Q11" i="2"/>
  <c r="AA11" i="2" s="1"/>
  <c r="X10" i="2"/>
  <c r="W10" i="2"/>
  <c r="V10" i="2"/>
  <c r="T10" i="2"/>
  <c r="S10" i="2"/>
  <c r="R10" i="2"/>
  <c r="Q10" i="2"/>
  <c r="AA10" i="2" s="1"/>
  <c r="X9" i="2"/>
  <c r="W9" i="2"/>
  <c r="V9" i="2"/>
  <c r="T9" i="2"/>
  <c r="S9" i="2"/>
  <c r="R9" i="2"/>
  <c r="Q9" i="2"/>
  <c r="AA9" i="2" s="1"/>
  <c r="X8" i="2"/>
  <c r="W8" i="2"/>
  <c r="V8" i="2"/>
  <c r="T8" i="2"/>
  <c r="S8" i="2"/>
  <c r="R8" i="2"/>
  <c r="Q8" i="2"/>
  <c r="AA8" i="2" s="1"/>
  <c r="X7" i="2"/>
  <c r="W7" i="2"/>
  <c r="V7" i="2"/>
  <c r="T7" i="2"/>
  <c r="S7" i="2"/>
  <c r="R7" i="2"/>
  <c r="Q7" i="2"/>
  <c r="AA7" i="2" s="1"/>
  <c r="X6" i="2"/>
  <c r="W6" i="2"/>
  <c r="V6" i="2"/>
  <c r="T6" i="2"/>
  <c r="S6" i="2"/>
  <c r="R6" i="2"/>
  <c r="Q6" i="2"/>
  <c r="AA6" i="2" s="1"/>
  <c r="X5" i="2"/>
  <c r="W5" i="2"/>
  <c r="V5" i="2"/>
  <c r="T5" i="2"/>
  <c r="S5" i="2"/>
  <c r="R5" i="2"/>
  <c r="Q5" i="2"/>
  <c r="AA5" i="2" s="1"/>
  <c r="X4" i="2"/>
  <c r="W4" i="2"/>
  <c r="V4" i="2"/>
  <c r="T4" i="2"/>
  <c r="S4" i="2"/>
  <c r="R4" i="2"/>
  <c r="Q4" i="2"/>
  <c r="AA4" i="2" s="1"/>
  <c r="X3" i="2"/>
  <c r="W3" i="2"/>
  <c r="V3" i="2"/>
  <c r="T3" i="2"/>
  <c r="S3" i="2"/>
  <c r="R3" i="2"/>
  <c r="Q3" i="2"/>
  <c r="AA3" i="2" s="1"/>
  <c r="X2" i="2"/>
  <c r="W2" i="2"/>
  <c r="V2" i="2"/>
  <c r="T2" i="2"/>
  <c r="S2" i="2"/>
  <c r="R2" i="2"/>
  <c r="Q2" i="2"/>
  <c r="AA2" i="2" s="1"/>
  <c r="X43" i="2"/>
  <c r="W43" i="2"/>
  <c r="V43" i="2"/>
  <c r="T43" i="2"/>
  <c r="S43" i="2"/>
  <c r="R43" i="2"/>
  <c r="Q43" i="2"/>
  <c r="AA43" i="2" s="1"/>
  <c r="X42" i="2"/>
  <c r="W42" i="2"/>
  <c r="V42" i="2"/>
  <c r="T42" i="2"/>
  <c r="S42" i="2"/>
  <c r="R42" i="2"/>
  <c r="Q42" i="2"/>
  <c r="AA42" i="2" s="1"/>
  <c r="X41" i="2"/>
  <c r="W41" i="2"/>
  <c r="V41" i="2"/>
  <c r="T41" i="2"/>
  <c r="S41" i="2"/>
  <c r="R41" i="2"/>
  <c r="Q41" i="2"/>
  <c r="AA41" i="2" s="1"/>
  <c r="X40" i="2"/>
  <c r="W40" i="2"/>
  <c r="V40" i="2"/>
  <c r="T40" i="2"/>
  <c r="S40" i="2"/>
  <c r="R40" i="2"/>
  <c r="Q40" i="2"/>
  <c r="AA40" i="2" s="1"/>
  <c r="X39" i="2"/>
  <c r="W39" i="2"/>
  <c r="V39" i="2"/>
  <c r="T39" i="2"/>
  <c r="S39" i="2"/>
  <c r="R39" i="2"/>
  <c r="Q39" i="2"/>
  <c r="AA39" i="2" s="1"/>
  <c r="X38" i="2"/>
  <c r="W38" i="2"/>
  <c r="V38" i="2"/>
  <c r="T38" i="2"/>
  <c r="S38" i="2"/>
  <c r="R38" i="2"/>
  <c r="Q38" i="2"/>
  <c r="AA38" i="2" s="1"/>
  <c r="X37" i="2"/>
  <c r="W37" i="2"/>
  <c r="V37" i="2"/>
  <c r="T37" i="2"/>
  <c r="S37" i="2"/>
  <c r="R37" i="2"/>
  <c r="Q37" i="2"/>
  <c r="AA37" i="2" s="1"/>
  <c r="X36" i="2"/>
  <c r="W36" i="2"/>
  <c r="V36" i="2"/>
  <c r="T36" i="2"/>
  <c r="S36" i="2"/>
  <c r="R36" i="2"/>
  <c r="Q36" i="2"/>
  <c r="AA36" i="2" s="1"/>
  <c r="X35" i="2"/>
  <c r="W35" i="2"/>
  <c r="V35" i="2"/>
  <c r="T35" i="2"/>
  <c r="S35" i="2"/>
  <c r="R35" i="2"/>
  <c r="Q35" i="2"/>
  <c r="AA35" i="2" s="1"/>
  <c r="X34" i="2"/>
  <c r="W34" i="2"/>
  <c r="V34" i="2"/>
  <c r="T34" i="2"/>
  <c r="S34" i="2"/>
  <c r="R34" i="2"/>
  <c r="Q34" i="2"/>
  <c r="AA34" i="2" s="1"/>
  <c r="X33" i="2"/>
  <c r="W33" i="2"/>
  <c r="V33" i="2"/>
  <c r="T33" i="2"/>
  <c r="S33" i="2"/>
  <c r="R33" i="2"/>
  <c r="Q33" i="2"/>
  <c r="AA33" i="2" s="1"/>
  <c r="X32" i="2"/>
  <c r="W32" i="2"/>
  <c r="V32" i="2"/>
  <c r="T32" i="2"/>
  <c r="S32" i="2"/>
  <c r="R32" i="2"/>
  <c r="Q32" i="2"/>
  <c r="AA32" i="2" s="1"/>
  <c r="X31" i="2"/>
  <c r="W31" i="2"/>
  <c r="V31" i="2"/>
  <c r="T31" i="2"/>
  <c r="S31" i="2"/>
  <c r="R31" i="2"/>
  <c r="Q31" i="2"/>
  <c r="AA31" i="2" s="1"/>
  <c r="X30" i="2"/>
  <c r="W30" i="2"/>
  <c r="V30" i="2"/>
  <c r="T30" i="2"/>
  <c r="S30" i="2"/>
  <c r="R30" i="2"/>
  <c r="Q30" i="2"/>
  <c r="AA30" i="2" s="1"/>
  <c r="X29" i="2"/>
  <c r="W29" i="2"/>
  <c r="V29" i="2"/>
  <c r="T29" i="2"/>
  <c r="S29" i="2"/>
  <c r="R29" i="2"/>
  <c r="Q29" i="2"/>
  <c r="AA29" i="2" s="1"/>
  <c r="X28" i="2"/>
  <c r="W28" i="2"/>
  <c r="V28" i="2"/>
  <c r="T28" i="2"/>
  <c r="S28" i="2"/>
  <c r="R28" i="2"/>
  <c r="Q28" i="2"/>
  <c r="AA28" i="2" s="1"/>
  <c r="X27" i="2"/>
  <c r="W27" i="2"/>
  <c r="V27" i="2"/>
  <c r="T27" i="2"/>
  <c r="S27" i="2"/>
  <c r="R27" i="2"/>
  <c r="Q27" i="2"/>
  <c r="AA27" i="2" s="1"/>
  <c r="X26" i="2"/>
  <c r="W26" i="2"/>
  <c r="V26" i="2"/>
  <c r="T26" i="2"/>
  <c r="S26" i="2"/>
  <c r="R26" i="2"/>
  <c r="Q26" i="2"/>
  <c r="AA26" i="2" s="1"/>
  <c r="X25" i="2"/>
  <c r="W25" i="2"/>
  <c r="V25" i="2"/>
  <c r="T25" i="2"/>
  <c r="S25" i="2"/>
  <c r="R25" i="2"/>
  <c r="Q25" i="2"/>
  <c r="AA25" i="2" s="1"/>
  <c r="X24" i="2"/>
  <c r="W24" i="2"/>
  <c r="V24" i="2"/>
  <c r="T24" i="2"/>
  <c r="S24" i="2"/>
  <c r="R24" i="2"/>
  <c r="Q24" i="2"/>
  <c r="AA24" i="2" s="1"/>
  <c r="X23" i="2"/>
  <c r="W23" i="2"/>
  <c r="V23" i="2"/>
  <c r="T23" i="2"/>
  <c r="S23" i="2"/>
  <c r="R23" i="2"/>
  <c r="Q23" i="2"/>
  <c r="AA23" i="2" s="1"/>
  <c r="X64" i="2"/>
  <c r="W64" i="2"/>
  <c r="V64" i="2"/>
  <c r="T64" i="2"/>
  <c r="S64" i="2"/>
  <c r="R64" i="2"/>
  <c r="Q64" i="2"/>
  <c r="AA64" i="2" s="1"/>
  <c r="X63" i="2"/>
  <c r="W63" i="2"/>
  <c r="V63" i="2"/>
  <c r="T63" i="2"/>
  <c r="S63" i="2"/>
  <c r="R63" i="2"/>
  <c r="Q63" i="2"/>
  <c r="AA63" i="2" s="1"/>
  <c r="X62" i="2"/>
  <c r="W62" i="2"/>
  <c r="V62" i="2"/>
  <c r="T62" i="2"/>
  <c r="S62" i="2"/>
  <c r="R62" i="2"/>
  <c r="Q62" i="2"/>
  <c r="AA62" i="2" s="1"/>
  <c r="X61" i="2"/>
  <c r="W61" i="2"/>
  <c r="V61" i="2"/>
  <c r="T61" i="2"/>
  <c r="S61" i="2"/>
  <c r="R61" i="2"/>
  <c r="Q61" i="2"/>
  <c r="AA61" i="2" s="1"/>
  <c r="X60" i="2"/>
  <c r="W60" i="2"/>
  <c r="V60" i="2"/>
  <c r="T60" i="2"/>
  <c r="S60" i="2"/>
  <c r="R60" i="2"/>
  <c r="Q60" i="2"/>
  <c r="AA60" i="2" s="1"/>
  <c r="X59" i="2"/>
  <c r="W59" i="2"/>
  <c r="V59" i="2"/>
  <c r="T59" i="2"/>
  <c r="S59" i="2"/>
  <c r="R59" i="2"/>
  <c r="Q59" i="2"/>
  <c r="AA59" i="2" s="1"/>
  <c r="X58" i="2"/>
  <c r="W58" i="2"/>
  <c r="V58" i="2"/>
  <c r="T58" i="2"/>
  <c r="S58" i="2"/>
  <c r="R58" i="2"/>
  <c r="Q58" i="2"/>
  <c r="AA58" i="2" s="1"/>
  <c r="X57" i="2"/>
  <c r="W57" i="2"/>
  <c r="V57" i="2"/>
  <c r="T57" i="2"/>
  <c r="S57" i="2"/>
  <c r="R57" i="2"/>
  <c r="Q57" i="2"/>
  <c r="AA57" i="2" s="1"/>
  <c r="X56" i="2"/>
  <c r="W56" i="2"/>
  <c r="V56" i="2"/>
  <c r="T56" i="2"/>
  <c r="S56" i="2"/>
  <c r="R56" i="2"/>
  <c r="Q56" i="2"/>
  <c r="AA56" i="2" s="1"/>
  <c r="X55" i="2"/>
  <c r="W55" i="2"/>
  <c r="V55" i="2"/>
  <c r="T55" i="2"/>
  <c r="S55" i="2"/>
  <c r="R55" i="2"/>
  <c r="Q55" i="2"/>
  <c r="AA55" i="2" s="1"/>
  <c r="X54" i="2"/>
  <c r="W54" i="2"/>
  <c r="V54" i="2"/>
  <c r="T54" i="2"/>
  <c r="S54" i="2"/>
  <c r="R54" i="2"/>
  <c r="Q54" i="2"/>
  <c r="AA54" i="2" s="1"/>
  <c r="X53" i="2"/>
  <c r="W53" i="2"/>
  <c r="V53" i="2"/>
  <c r="T53" i="2"/>
  <c r="S53" i="2"/>
  <c r="R53" i="2"/>
  <c r="Q53" i="2"/>
  <c r="AA53" i="2" s="1"/>
  <c r="X52" i="2"/>
  <c r="W52" i="2"/>
  <c r="V52" i="2"/>
  <c r="T52" i="2"/>
  <c r="S52" i="2"/>
  <c r="R52" i="2"/>
  <c r="Q52" i="2"/>
  <c r="AA52" i="2" s="1"/>
  <c r="X51" i="2"/>
  <c r="W51" i="2"/>
  <c r="V51" i="2"/>
  <c r="T51" i="2"/>
  <c r="S51" i="2"/>
  <c r="R51" i="2"/>
  <c r="Q51" i="2"/>
  <c r="AA51" i="2" s="1"/>
  <c r="X50" i="2"/>
  <c r="W50" i="2"/>
  <c r="V50" i="2"/>
  <c r="T50" i="2"/>
  <c r="S50" i="2"/>
  <c r="R50" i="2"/>
  <c r="Q50" i="2"/>
  <c r="AA50" i="2" s="1"/>
  <c r="X49" i="2"/>
  <c r="W49" i="2"/>
  <c r="V49" i="2"/>
  <c r="T49" i="2"/>
  <c r="S49" i="2"/>
  <c r="R49" i="2"/>
  <c r="Q49" i="2"/>
  <c r="AA49" i="2" s="1"/>
  <c r="X48" i="2"/>
  <c r="W48" i="2"/>
  <c r="V48" i="2"/>
  <c r="T48" i="2"/>
  <c r="S48" i="2"/>
  <c r="R48" i="2"/>
  <c r="Q48" i="2"/>
  <c r="AA48" i="2" s="1"/>
  <c r="X47" i="2"/>
  <c r="W47" i="2"/>
  <c r="V47" i="2"/>
  <c r="T47" i="2"/>
  <c r="S47" i="2"/>
  <c r="R47" i="2"/>
  <c r="Q47" i="2"/>
  <c r="AA47" i="2" s="1"/>
  <c r="X46" i="2"/>
  <c r="W46" i="2"/>
  <c r="V46" i="2"/>
  <c r="T46" i="2"/>
  <c r="S46" i="2"/>
  <c r="R46" i="2"/>
  <c r="Q46" i="2"/>
  <c r="AA46" i="2" s="1"/>
  <c r="X45" i="2"/>
  <c r="W45" i="2"/>
  <c r="V45" i="2"/>
  <c r="T45" i="2"/>
  <c r="S45" i="2"/>
  <c r="R45" i="2"/>
  <c r="Q45" i="2"/>
  <c r="AA45" i="2" s="1"/>
  <c r="X44" i="2"/>
  <c r="W44" i="2"/>
  <c r="V44" i="2"/>
  <c r="T44" i="2"/>
  <c r="S44" i="2"/>
  <c r="R44" i="2"/>
  <c r="Q44" i="2"/>
  <c r="AA44" i="2" s="1"/>
  <c r="X85" i="2"/>
  <c r="W85" i="2"/>
  <c r="V85" i="2"/>
  <c r="T85" i="2"/>
  <c r="S85" i="2"/>
  <c r="R85" i="2"/>
  <c r="Q85" i="2"/>
  <c r="AA85" i="2" s="1"/>
  <c r="X84" i="2"/>
  <c r="W84" i="2"/>
  <c r="V84" i="2"/>
  <c r="T84" i="2"/>
  <c r="S84" i="2"/>
  <c r="R84" i="2"/>
  <c r="Q84" i="2"/>
  <c r="AA84" i="2" s="1"/>
  <c r="X83" i="2"/>
  <c r="W83" i="2"/>
  <c r="V83" i="2"/>
  <c r="T83" i="2"/>
  <c r="S83" i="2"/>
  <c r="R83" i="2"/>
  <c r="Q83" i="2"/>
  <c r="AA83" i="2" s="1"/>
  <c r="X82" i="2"/>
  <c r="W82" i="2"/>
  <c r="V82" i="2"/>
  <c r="T82" i="2"/>
  <c r="S82" i="2"/>
  <c r="R82" i="2"/>
  <c r="Q82" i="2"/>
  <c r="AA82" i="2" s="1"/>
  <c r="X81" i="2"/>
  <c r="W81" i="2"/>
  <c r="V81" i="2"/>
  <c r="T81" i="2"/>
  <c r="S81" i="2"/>
  <c r="R81" i="2"/>
  <c r="Q81" i="2"/>
  <c r="AA81" i="2" s="1"/>
  <c r="X80" i="2"/>
  <c r="W80" i="2"/>
  <c r="V80" i="2"/>
  <c r="T80" i="2"/>
  <c r="S80" i="2"/>
  <c r="R80" i="2"/>
  <c r="Q80" i="2"/>
  <c r="AA80" i="2" s="1"/>
  <c r="X79" i="2"/>
  <c r="W79" i="2"/>
  <c r="V79" i="2"/>
  <c r="T79" i="2"/>
  <c r="S79" i="2"/>
  <c r="R79" i="2"/>
  <c r="Q79" i="2"/>
  <c r="AA79" i="2" s="1"/>
  <c r="X78" i="2"/>
  <c r="W78" i="2"/>
  <c r="V78" i="2"/>
  <c r="T78" i="2"/>
  <c r="S78" i="2"/>
  <c r="R78" i="2"/>
  <c r="Q78" i="2"/>
  <c r="AA78" i="2" s="1"/>
  <c r="X77" i="2"/>
  <c r="W77" i="2"/>
  <c r="V77" i="2"/>
  <c r="T77" i="2"/>
  <c r="S77" i="2"/>
  <c r="R77" i="2"/>
  <c r="Q77" i="2"/>
  <c r="AA77" i="2" s="1"/>
  <c r="X76" i="2"/>
  <c r="W76" i="2"/>
  <c r="V76" i="2"/>
  <c r="T76" i="2"/>
  <c r="S76" i="2"/>
  <c r="R76" i="2"/>
  <c r="Q76" i="2"/>
  <c r="AA76" i="2" s="1"/>
  <c r="X75" i="2"/>
  <c r="W75" i="2"/>
  <c r="V75" i="2"/>
  <c r="T75" i="2"/>
  <c r="S75" i="2"/>
  <c r="R75" i="2"/>
  <c r="Q75" i="2"/>
  <c r="AA75" i="2" s="1"/>
  <c r="X74" i="2"/>
  <c r="W74" i="2"/>
  <c r="V74" i="2"/>
  <c r="T74" i="2"/>
  <c r="S74" i="2"/>
  <c r="R74" i="2"/>
  <c r="Q74" i="2"/>
  <c r="AA74" i="2" s="1"/>
  <c r="X73" i="2"/>
  <c r="W73" i="2"/>
  <c r="V73" i="2"/>
  <c r="T73" i="2"/>
  <c r="S73" i="2"/>
  <c r="R73" i="2"/>
  <c r="Q73" i="2"/>
  <c r="AA73" i="2" s="1"/>
  <c r="X72" i="2"/>
  <c r="W72" i="2"/>
  <c r="V72" i="2"/>
  <c r="T72" i="2"/>
  <c r="S72" i="2"/>
  <c r="R72" i="2"/>
  <c r="Q72" i="2"/>
  <c r="AA72" i="2" s="1"/>
  <c r="X71" i="2"/>
  <c r="W71" i="2"/>
  <c r="V71" i="2"/>
  <c r="T71" i="2"/>
  <c r="S71" i="2"/>
  <c r="R71" i="2"/>
  <c r="Q71" i="2"/>
  <c r="AA71" i="2" s="1"/>
  <c r="X70" i="2"/>
  <c r="W70" i="2"/>
  <c r="V70" i="2"/>
  <c r="T70" i="2"/>
  <c r="S70" i="2"/>
  <c r="R70" i="2"/>
  <c r="Q70" i="2"/>
  <c r="AA70" i="2" s="1"/>
  <c r="X69" i="2"/>
  <c r="W69" i="2"/>
  <c r="V69" i="2"/>
  <c r="T69" i="2"/>
  <c r="S69" i="2"/>
  <c r="R69" i="2"/>
  <c r="Q69" i="2"/>
  <c r="AA69" i="2" s="1"/>
  <c r="X68" i="2"/>
  <c r="W68" i="2"/>
  <c r="V68" i="2"/>
  <c r="T68" i="2"/>
  <c r="S68" i="2"/>
  <c r="R68" i="2"/>
  <c r="Q68" i="2"/>
  <c r="AA68" i="2" s="1"/>
  <c r="X67" i="2"/>
  <c r="W67" i="2"/>
  <c r="V67" i="2"/>
  <c r="T67" i="2"/>
  <c r="S67" i="2"/>
  <c r="R67" i="2"/>
  <c r="Q67" i="2"/>
  <c r="AA67" i="2" s="1"/>
  <c r="X66" i="2"/>
  <c r="W66" i="2"/>
  <c r="V66" i="2"/>
  <c r="T66" i="2"/>
  <c r="S66" i="2"/>
  <c r="R66" i="2"/>
  <c r="Q66" i="2"/>
  <c r="AA66" i="2" s="1"/>
  <c r="X65" i="2"/>
  <c r="W65" i="2"/>
  <c r="V65" i="2"/>
  <c r="T65" i="2"/>
  <c r="S65" i="2"/>
  <c r="R65" i="2"/>
  <c r="Q65" i="2"/>
  <c r="AA65" i="2" s="1"/>
  <c r="X106" i="2"/>
  <c r="W106" i="2"/>
  <c r="V106" i="2"/>
  <c r="T106" i="2"/>
  <c r="S106" i="2"/>
  <c r="R106" i="2"/>
  <c r="Q106" i="2"/>
  <c r="AA106" i="2" s="1"/>
  <c r="X105" i="2"/>
  <c r="W105" i="2"/>
  <c r="V105" i="2"/>
  <c r="T105" i="2"/>
  <c r="S105" i="2"/>
  <c r="R105" i="2"/>
  <c r="Q105" i="2"/>
  <c r="AA105" i="2" s="1"/>
  <c r="X104" i="2"/>
  <c r="W104" i="2"/>
  <c r="V104" i="2"/>
  <c r="T104" i="2"/>
  <c r="S104" i="2"/>
  <c r="R104" i="2"/>
  <c r="Q104" i="2"/>
  <c r="AA104" i="2" s="1"/>
  <c r="X103" i="2"/>
  <c r="W103" i="2"/>
  <c r="V103" i="2"/>
  <c r="T103" i="2"/>
  <c r="S103" i="2"/>
  <c r="R103" i="2"/>
  <c r="Q103" i="2"/>
  <c r="AA103" i="2" s="1"/>
  <c r="X102" i="2"/>
  <c r="W102" i="2"/>
  <c r="V102" i="2"/>
  <c r="T102" i="2"/>
  <c r="S102" i="2"/>
  <c r="R102" i="2"/>
  <c r="Q102" i="2"/>
  <c r="AA102" i="2" s="1"/>
  <c r="X101" i="2"/>
  <c r="W101" i="2"/>
  <c r="V101" i="2"/>
  <c r="T101" i="2"/>
  <c r="S101" i="2"/>
  <c r="R101" i="2"/>
  <c r="Q101" i="2"/>
  <c r="AA101" i="2" s="1"/>
  <c r="X100" i="2"/>
  <c r="W100" i="2"/>
  <c r="V100" i="2"/>
  <c r="T100" i="2"/>
  <c r="S100" i="2"/>
  <c r="R100" i="2"/>
  <c r="Q100" i="2"/>
  <c r="AA100" i="2" s="1"/>
  <c r="X99" i="2"/>
  <c r="W99" i="2"/>
  <c r="V99" i="2"/>
  <c r="T99" i="2"/>
  <c r="S99" i="2"/>
  <c r="R99" i="2"/>
  <c r="Q99" i="2"/>
  <c r="AA99" i="2" s="1"/>
  <c r="X98" i="2"/>
  <c r="W98" i="2"/>
  <c r="V98" i="2"/>
  <c r="T98" i="2"/>
  <c r="S98" i="2"/>
  <c r="R98" i="2"/>
  <c r="Q98" i="2"/>
  <c r="AA98" i="2" s="1"/>
  <c r="X97" i="2"/>
  <c r="W97" i="2"/>
  <c r="V97" i="2"/>
  <c r="T97" i="2"/>
  <c r="S97" i="2"/>
  <c r="R97" i="2"/>
  <c r="Q97" i="2"/>
  <c r="AA97" i="2" s="1"/>
  <c r="X96" i="2"/>
  <c r="W96" i="2"/>
  <c r="V96" i="2"/>
  <c r="T96" i="2"/>
  <c r="S96" i="2"/>
  <c r="R96" i="2"/>
  <c r="Q96" i="2"/>
  <c r="AA96" i="2" s="1"/>
  <c r="X95" i="2"/>
  <c r="W95" i="2"/>
  <c r="V95" i="2"/>
  <c r="T95" i="2"/>
  <c r="S95" i="2"/>
  <c r="R95" i="2"/>
  <c r="Q95" i="2"/>
  <c r="AA95" i="2" s="1"/>
  <c r="X94" i="2"/>
  <c r="W94" i="2"/>
  <c r="V94" i="2"/>
  <c r="T94" i="2"/>
  <c r="S94" i="2"/>
  <c r="R94" i="2"/>
  <c r="Q94" i="2"/>
  <c r="AA94" i="2" s="1"/>
  <c r="X93" i="2"/>
  <c r="W93" i="2"/>
  <c r="V93" i="2"/>
  <c r="T93" i="2"/>
  <c r="S93" i="2"/>
  <c r="R93" i="2"/>
  <c r="Q93" i="2"/>
  <c r="AA93" i="2" s="1"/>
  <c r="X92" i="2"/>
  <c r="W92" i="2"/>
  <c r="V92" i="2"/>
  <c r="T92" i="2"/>
  <c r="S92" i="2"/>
  <c r="R92" i="2"/>
  <c r="Q92" i="2"/>
  <c r="AA92" i="2" s="1"/>
  <c r="X91" i="2"/>
  <c r="W91" i="2"/>
  <c r="V91" i="2"/>
  <c r="T91" i="2"/>
  <c r="S91" i="2"/>
  <c r="R91" i="2"/>
  <c r="Q91" i="2"/>
  <c r="AA91" i="2" s="1"/>
  <c r="X90" i="2"/>
  <c r="W90" i="2"/>
  <c r="V90" i="2"/>
  <c r="T90" i="2"/>
  <c r="S90" i="2"/>
  <c r="R90" i="2"/>
  <c r="Q90" i="2"/>
  <c r="AA90" i="2" s="1"/>
  <c r="X89" i="2"/>
  <c r="W89" i="2"/>
  <c r="V89" i="2"/>
  <c r="T89" i="2"/>
  <c r="S89" i="2"/>
  <c r="R89" i="2"/>
  <c r="Q89" i="2"/>
  <c r="AA89" i="2" s="1"/>
  <c r="X88" i="2"/>
  <c r="W88" i="2"/>
  <c r="V88" i="2"/>
  <c r="T88" i="2"/>
  <c r="S88" i="2"/>
  <c r="R88" i="2"/>
  <c r="Q88" i="2"/>
  <c r="AA88" i="2" s="1"/>
  <c r="X87" i="2"/>
  <c r="W87" i="2"/>
  <c r="V87" i="2"/>
  <c r="T87" i="2"/>
  <c r="S87" i="2"/>
  <c r="R87" i="2"/>
  <c r="Q87" i="2"/>
  <c r="AA87" i="2" s="1"/>
  <c r="X86" i="2"/>
  <c r="W86" i="2"/>
  <c r="V86" i="2"/>
  <c r="T86" i="2"/>
  <c r="S86" i="2"/>
  <c r="R86" i="2"/>
  <c r="Q86" i="2"/>
  <c r="AA86" i="2" s="1"/>
  <c r="X127" i="2"/>
  <c r="W127" i="2"/>
  <c r="V127" i="2"/>
  <c r="T127" i="2"/>
  <c r="S127" i="2"/>
  <c r="R127" i="2"/>
  <c r="Q127" i="2"/>
  <c r="AA127" i="2" s="1"/>
  <c r="X126" i="2"/>
  <c r="W126" i="2"/>
  <c r="V126" i="2"/>
  <c r="T126" i="2"/>
  <c r="S126" i="2"/>
  <c r="R126" i="2"/>
  <c r="Q126" i="2"/>
  <c r="AA126" i="2" s="1"/>
  <c r="X125" i="2"/>
  <c r="W125" i="2"/>
  <c r="V125" i="2"/>
  <c r="T125" i="2"/>
  <c r="S125" i="2"/>
  <c r="R125" i="2"/>
  <c r="Q125" i="2"/>
  <c r="AA125" i="2" s="1"/>
  <c r="X124" i="2"/>
  <c r="W124" i="2"/>
  <c r="V124" i="2"/>
  <c r="T124" i="2"/>
  <c r="S124" i="2"/>
  <c r="R124" i="2"/>
  <c r="Q124" i="2"/>
  <c r="AA124" i="2" s="1"/>
  <c r="X123" i="2"/>
  <c r="W123" i="2"/>
  <c r="V123" i="2"/>
  <c r="T123" i="2"/>
  <c r="S123" i="2"/>
  <c r="R123" i="2"/>
  <c r="Q123" i="2"/>
  <c r="AA123" i="2" s="1"/>
  <c r="X122" i="2"/>
  <c r="W122" i="2"/>
  <c r="V122" i="2"/>
  <c r="T122" i="2"/>
  <c r="S122" i="2"/>
  <c r="R122" i="2"/>
  <c r="Q122" i="2"/>
  <c r="AA122" i="2" s="1"/>
  <c r="X121" i="2"/>
  <c r="W121" i="2"/>
  <c r="V121" i="2"/>
  <c r="T121" i="2"/>
  <c r="S121" i="2"/>
  <c r="R121" i="2"/>
  <c r="Q121" i="2"/>
  <c r="AA121" i="2" s="1"/>
  <c r="X120" i="2"/>
  <c r="W120" i="2"/>
  <c r="V120" i="2"/>
  <c r="T120" i="2"/>
  <c r="S120" i="2"/>
  <c r="R120" i="2"/>
  <c r="Q120" i="2"/>
  <c r="AA120" i="2" s="1"/>
  <c r="X119" i="2"/>
  <c r="W119" i="2"/>
  <c r="V119" i="2"/>
  <c r="T119" i="2"/>
  <c r="S119" i="2"/>
  <c r="R119" i="2"/>
  <c r="Q119" i="2"/>
  <c r="AA119" i="2" s="1"/>
  <c r="X118" i="2"/>
  <c r="W118" i="2"/>
  <c r="V118" i="2"/>
  <c r="T118" i="2"/>
  <c r="S118" i="2"/>
  <c r="R118" i="2"/>
  <c r="Q118" i="2"/>
  <c r="AA118" i="2" s="1"/>
  <c r="X117" i="2"/>
  <c r="W117" i="2"/>
  <c r="V117" i="2"/>
  <c r="T117" i="2"/>
  <c r="S117" i="2"/>
  <c r="R117" i="2"/>
  <c r="Q117" i="2"/>
  <c r="AA117" i="2" s="1"/>
  <c r="X116" i="2"/>
  <c r="W116" i="2"/>
  <c r="V116" i="2"/>
  <c r="T116" i="2"/>
  <c r="S116" i="2"/>
  <c r="R116" i="2"/>
  <c r="Q116" i="2"/>
  <c r="AA116" i="2" s="1"/>
  <c r="X115" i="2"/>
  <c r="W115" i="2"/>
  <c r="V115" i="2"/>
  <c r="T115" i="2"/>
  <c r="S115" i="2"/>
  <c r="R115" i="2"/>
  <c r="Q115" i="2"/>
  <c r="AA115" i="2" s="1"/>
  <c r="X114" i="2"/>
  <c r="W114" i="2"/>
  <c r="V114" i="2"/>
  <c r="T114" i="2"/>
  <c r="S114" i="2"/>
  <c r="R114" i="2"/>
  <c r="Q114" i="2"/>
  <c r="AA114" i="2" s="1"/>
  <c r="X113" i="2"/>
  <c r="W113" i="2"/>
  <c r="V113" i="2"/>
  <c r="T113" i="2"/>
  <c r="S113" i="2"/>
  <c r="R113" i="2"/>
  <c r="Q113" i="2"/>
  <c r="AA113" i="2" s="1"/>
  <c r="X112" i="2"/>
  <c r="W112" i="2"/>
  <c r="V112" i="2"/>
  <c r="T112" i="2"/>
  <c r="S112" i="2"/>
  <c r="R112" i="2"/>
  <c r="Q112" i="2"/>
  <c r="AA112" i="2" s="1"/>
  <c r="X111" i="2"/>
  <c r="W111" i="2"/>
  <c r="V111" i="2"/>
  <c r="T111" i="2"/>
  <c r="S111" i="2"/>
  <c r="R111" i="2"/>
  <c r="Q111" i="2"/>
  <c r="AA111" i="2" s="1"/>
  <c r="X110" i="2"/>
  <c r="W110" i="2"/>
  <c r="V110" i="2"/>
  <c r="T110" i="2"/>
  <c r="S110" i="2"/>
  <c r="R110" i="2"/>
  <c r="Q110" i="2"/>
  <c r="AA110" i="2" s="1"/>
  <c r="X109" i="2"/>
  <c r="W109" i="2"/>
  <c r="V109" i="2"/>
  <c r="T109" i="2"/>
  <c r="S109" i="2"/>
  <c r="R109" i="2"/>
  <c r="Q109" i="2"/>
  <c r="AA109" i="2" s="1"/>
  <c r="X108" i="2"/>
  <c r="W108" i="2"/>
  <c r="V108" i="2"/>
  <c r="T108" i="2"/>
  <c r="S108" i="2"/>
  <c r="R108" i="2"/>
  <c r="Q108" i="2"/>
  <c r="AA108" i="2" s="1"/>
  <c r="X107" i="2"/>
  <c r="W107" i="2"/>
  <c r="V107" i="2"/>
  <c r="T107" i="2"/>
  <c r="S107" i="2"/>
  <c r="R107" i="2"/>
  <c r="Q107" i="2"/>
  <c r="AA107" i="2" s="1"/>
  <c r="X148" i="2"/>
  <c r="W148" i="2"/>
  <c r="V148" i="2"/>
  <c r="T148" i="2"/>
  <c r="S148" i="2"/>
  <c r="R148" i="2"/>
  <c r="Q148" i="2"/>
  <c r="AA148" i="2" s="1"/>
  <c r="X147" i="2"/>
  <c r="W147" i="2"/>
  <c r="V147" i="2"/>
  <c r="T147" i="2"/>
  <c r="S147" i="2"/>
  <c r="R147" i="2"/>
  <c r="Q147" i="2"/>
  <c r="AA147" i="2" s="1"/>
  <c r="X146" i="2"/>
  <c r="W146" i="2"/>
  <c r="V146" i="2"/>
  <c r="T146" i="2"/>
  <c r="S146" i="2"/>
  <c r="R146" i="2"/>
  <c r="Q146" i="2"/>
  <c r="AA146" i="2" s="1"/>
  <c r="X145" i="2"/>
  <c r="W145" i="2"/>
  <c r="V145" i="2"/>
  <c r="T145" i="2"/>
  <c r="S145" i="2"/>
  <c r="R145" i="2"/>
  <c r="Q145" i="2"/>
  <c r="AA145" i="2" s="1"/>
  <c r="X144" i="2"/>
  <c r="W144" i="2"/>
  <c r="V144" i="2"/>
  <c r="T144" i="2"/>
  <c r="S144" i="2"/>
  <c r="R144" i="2"/>
  <c r="Q144" i="2"/>
  <c r="AA144" i="2" s="1"/>
  <c r="X143" i="2"/>
  <c r="W143" i="2"/>
  <c r="V143" i="2"/>
  <c r="T143" i="2"/>
  <c r="S143" i="2"/>
  <c r="R143" i="2"/>
  <c r="Q143" i="2"/>
  <c r="AA143" i="2" s="1"/>
  <c r="X142" i="2"/>
  <c r="W142" i="2"/>
  <c r="V142" i="2"/>
  <c r="T142" i="2"/>
  <c r="S142" i="2"/>
  <c r="R142" i="2"/>
  <c r="Q142" i="2"/>
  <c r="AA142" i="2" s="1"/>
  <c r="X141" i="2"/>
  <c r="W141" i="2"/>
  <c r="V141" i="2"/>
  <c r="T141" i="2"/>
  <c r="S141" i="2"/>
  <c r="R141" i="2"/>
  <c r="Q141" i="2"/>
  <c r="AA141" i="2" s="1"/>
  <c r="X140" i="2"/>
  <c r="W140" i="2"/>
  <c r="V140" i="2"/>
  <c r="T140" i="2"/>
  <c r="S140" i="2"/>
  <c r="R140" i="2"/>
  <c r="Q140" i="2"/>
  <c r="AA140" i="2" s="1"/>
  <c r="X139" i="2"/>
  <c r="W139" i="2"/>
  <c r="V139" i="2"/>
  <c r="T139" i="2"/>
  <c r="S139" i="2"/>
  <c r="R139" i="2"/>
  <c r="Q139" i="2"/>
  <c r="AA139" i="2" s="1"/>
  <c r="X138" i="2"/>
  <c r="W138" i="2"/>
  <c r="V138" i="2"/>
  <c r="T138" i="2"/>
  <c r="S138" i="2"/>
  <c r="R138" i="2"/>
  <c r="Q138" i="2"/>
  <c r="AA138" i="2" s="1"/>
  <c r="X137" i="2"/>
  <c r="W137" i="2"/>
  <c r="V137" i="2"/>
  <c r="T137" i="2"/>
  <c r="S137" i="2"/>
  <c r="R137" i="2"/>
  <c r="Q137" i="2"/>
  <c r="AA137" i="2" s="1"/>
  <c r="X136" i="2"/>
  <c r="W136" i="2"/>
  <c r="V136" i="2"/>
  <c r="T136" i="2"/>
  <c r="S136" i="2"/>
  <c r="R136" i="2"/>
  <c r="Q136" i="2"/>
  <c r="AA136" i="2" s="1"/>
  <c r="X135" i="2"/>
  <c r="W135" i="2"/>
  <c r="V135" i="2"/>
  <c r="T135" i="2"/>
  <c r="S135" i="2"/>
  <c r="R135" i="2"/>
  <c r="Q135" i="2"/>
  <c r="AA135" i="2" s="1"/>
  <c r="X134" i="2"/>
  <c r="W134" i="2"/>
  <c r="V134" i="2"/>
  <c r="T134" i="2"/>
  <c r="S134" i="2"/>
  <c r="R134" i="2"/>
  <c r="Q134" i="2"/>
  <c r="AA134" i="2" s="1"/>
  <c r="X133" i="2"/>
  <c r="W133" i="2"/>
  <c r="V133" i="2"/>
  <c r="T133" i="2"/>
  <c r="S133" i="2"/>
  <c r="R133" i="2"/>
  <c r="Q133" i="2"/>
  <c r="AA133" i="2" s="1"/>
  <c r="X132" i="2"/>
  <c r="W132" i="2"/>
  <c r="V132" i="2"/>
  <c r="T132" i="2"/>
  <c r="S132" i="2"/>
  <c r="R132" i="2"/>
  <c r="Q132" i="2"/>
  <c r="AA132" i="2" s="1"/>
  <c r="X131" i="2"/>
  <c r="W131" i="2"/>
  <c r="V131" i="2"/>
  <c r="T131" i="2"/>
  <c r="S131" i="2"/>
  <c r="R131" i="2"/>
  <c r="Q131" i="2"/>
  <c r="AA131" i="2" s="1"/>
  <c r="X130" i="2"/>
  <c r="W130" i="2"/>
  <c r="V130" i="2"/>
  <c r="T130" i="2"/>
  <c r="S130" i="2"/>
  <c r="R130" i="2"/>
  <c r="Q130" i="2"/>
  <c r="AA130" i="2" s="1"/>
  <c r="X129" i="2"/>
  <c r="W129" i="2"/>
  <c r="V129" i="2"/>
  <c r="T129" i="2"/>
  <c r="S129" i="2"/>
  <c r="R129" i="2"/>
  <c r="Q129" i="2"/>
  <c r="AA129" i="2" s="1"/>
  <c r="X128" i="2"/>
  <c r="W128" i="2"/>
  <c r="V128" i="2"/>
  <c r="T128" i="2"/>
  <c r="S128" i="2"/>
  <c r="R128" i="2"/>
  <c r="Q128" i="2"/>
  <c r="AA128" i="2" s="1"/>
  <c r="X169" i="2"/>
  <c r="W169" i="2"/>
  <c r="V169" i="2"/>
  <c r="T169" i="2"/>
  <c r="S169" i="2"/>
  <c r="R169" i="2"/>
  <c r="Q169" i="2"/>
  <c r="AA169" i="2" s="1"/>
  <c r="X168" i="2"/>
  <c r="W168" i="2"/>
  <c r="V168" i="2"/>
  <c r="T168" i="2"/>
  <c r="S168" i="2"/>
  <c r="R168" i="2"/>
  <c r="Q168" i="2"/>
  <c r="AA168" i="2" s="1"/>
  <c r="X167" i="2"/>
  <c r="W167" i="2"/>
  <c r="V167" i="2"/>
  <c r="T167" i="2"/>
  <c r="S167" i="2"/>
  <c r="R167" i="2"/>
  <c r="Q167" i="2"/>
  <c r="AA167" i="2" s="1"/>
  <c r="X166" i="2"/>
  <c r="W166" i="2"/>
  <c r="V166" i="2"/>
  <c r="T166" i="2"/>
  <c r="S166" i="2"/>
  <c r="R166" i="2"/>
  <c r="Q166" i="2"/>
  <c r="AA166" i="2" s="1"/>
  <c r="X165" i="2"/>
  <c r="W165" i="2"/>
  <c r="V165" i="2"/>
  <c r="T165" i="2"/>
  <c r="S165" i="2"/>
  <c r="R165" i="2"/>
  <c r="Q165" i="2"/>
  <c r="AA165" i="2" s="1"/>
  <c r="X164" i="2"/>
  <c r="W164" i="2"/>
  <c r="V164" i="2"/>
  <c r="T164" i="2"/>
  <c r="S164" i="2"/>
  <c r="R164" i="2"/>
  <c r="Q164" i="2"/>
  <c r="AA164" i="2" s="1"/>
  <c r="X163" i="2"/>
  <c r="W163" i="2"/>
  <c r="V163" i="2"/>
  <c r="T163" i="2"/>
  <c r="S163" i="2"/>
  <c r="R163" i="2"/>
  <c r="Q163" i="2"/>
  <c r="AA163" i="2" s="1"/>
  <c r="X162" i="2"/>
  <c r="W162" i="2"/>
  <c r="V162" i="2"/>
  <c r="T162" i="2"/>
  <c r="S162" i="2"/>
  <c r="R162" i="2"/>
  <c r="Q162" i="2"/>
  <c r="AA162" i="2" s="1"/>
  <c r="X161" i="2"/>
  <c r="W161" i="2"/>
  <c r="V161" i="2"/>
  <c r="T161" i="2"/>
  <c r="S161" i="2"/>
  <c r="R161" i="2"/>
  <c r="Q161" i="2"/>
  <c r="AA161" i="2" s="1"/>
  <c r="X160" i="2"/>
  <c r="W160" i="2"/>
  <c r="V160" i="2"/>
  <c r="T160" i="2"/>
  <c r="S160" i="2"/>
  <c r="R160" i="2"/>
  <c r="Q160" i="2"/>
  <c r="AA160" i="2" s="1"/>
  <c r="X159" i="2"/>
  <c r="W159" i="2"/>
  <c r="V159" i="2"/>
  <c r="T159" i="2"/>
  <c r="S159" i="2"/>
  <c r="R159" i="2"/>
  <c r="Q159" i="2"/>
  <c r="AA159" i="2" s="1"/>
  <c r="X158" i="2"/>
  <c r="W158" i="2"/>
  <c r="V158" i="2"/>
  <c r="T158" i="2"/>
  <c r="S158" i="2"/>
  <c r="R158" i="2"/>
  <c r="Q158" i="2"/>
  <c r="AA158" i="2" s="1"/>
  <c r="X157" i="2"/>
  <c r="W157" i="2"/>
  <c r="V157" i="2"/>
  <c r="T157" i="2"/>
  <c r="S157" i="2"/>
  <c r="R157" i="2"/>
  <c r="Q157" i="2"/>
  <c r="AA157" i="2" s="1"/>
  <c r="X156" i="2"/>
  <c r="W156" i="2"/>
  <c r="V156" i="2"/>
  <c r="T156" i="2"/>
  <c r="S156" i="2"/>
  <c r="R156" i="2"/>
  <c r="Q156" i="2"/>
  <c r="AA156" i="2" s="1"/>
  <c r="X155" i="2"/>
  <c r="W155" i="2"/>
  <c r="V155" i="2"/>
  <c r="T155" i="2"/>
  <c r="S155" i="2"/>
  <c r="R155" i="2"/>
  <c r="Q155" i="2"/>
  <c r="AA155" i="2" s="1"/>
  <c r="X154" i="2"/>
  <c r="W154" i="2"/>
  <c r="V154" i="2"/>
  <c r="T154" i="2"/>
  <c r="S154" i="2"/>
  <c r="R154" i="2"/>
  <c r="Q154" i="2"/>
  <c r="AA154" i="2" s="1"/>
  <c r="X153" i="2"/>
  <c r="W153" i="2"/>
  <c r="V153" i="2"/>
  <c r="T153" i="2"/>
  <c r="S153" i="2"/>
  <c r="R153" i="2"/>
  <c r="Q153" i="2"/>
  <c r="AA153" i="2" s="1"/>
  <c r="X152" i="2"/>
  <c r="W152" i="2"/>
  <c r="V152" i="2"/>
  <c r="T152" i="2"/>
  <c r="S152" i="2"/>
  <c r="R152" i="2"/>
  <c r="Q152" i="2"/>
  <c r="AA152" i="2" s="1"/>
  <c r="X151" i="2"/>
  <c r="W151" i="2"/>
  <c r="V151" i="2"/>
  <c r="T151" i="2"/>
  <c r="S151" i="2"/>
  <c r="R151" i="2"/>
  <c r="Q151" i="2"/>
  <c r="AA151" i="2" s="1"/>
  <c r="X150" i="2"/>
  <c r="W150" i="2"/>
  <c r="V150" i="2"/>
  <c r="T150" i="2"/>
  <c r="S150" i="2"/>
  <c r="R150" i="2"/>
  <c r="Q150" i="2"/>
  <c r="AA150" i="2" s="1"/>
  <c r="X149" i="2"/>
  <c r="W149" i="2"/>
  <c r="V149" i="2"/>
  <c r="T149" i="2"/>
  <c r="S149" i="2"/>
  <c r="R149" i="2"/>
  <c r="Q149" i="2"/>
  <c r="AA149" i="2" s="1"/>
  <c r="X190" i="2"/>
  <c r="W190" i="2"/>
  <c r="V190" i="2"/>
  <c r="T190" i="2"/>
  <c r="S190" i="2"/>
  <c r="R190" i="2"/>
  <c r="Q190" i="2"/>
  <c r="AA190" i="2" s="1"/>
  <c r="X189" i="2"/>
  <c r="W189" i="2"/>
  <c r="V189" i="2"/>
  <c r="T189" i="2"/>
  <c r="S189" i="2"/>
  <c r="R189" i="2"/>
  <c r="Q189" i="2"/>
  <c r="AA189" i="2" s="1"/>
  <c r="X188" i="2"/>
  <c r="W188" i="2"/>
  <c r="V188" i="2"/>
  <c r="T188" i="2"/>
  <c r="S188" i="2"/>
  <c r="R188" i="2"/>
  <c r="Q188" i="2"/>
  <c r="AA188" i="2" s="1"/>
  <c r="X187" i="2"/>
  <c r="W187" i="2"/>
  <c r="V187" i="2"/>
  <c r="T187" i="2"/>
  <c r="S187" i="2"/>
  <c r="R187" i="2"/>
  <c r="Q187" i="2"/>
  <c r="AA187" i="2" s="1"/>
  <c r="X186" i="2"/>
  <c r="W186" i="2"/>
  <c r="V186" i="2"/>
  <c r="T186" i="2"/>
  <c r="S186" i="2"/>
  <c r="R186" i="2"/>
  <c r="Q186" i="2"/>
  <c r="AA186" i="2" s="1"/>
  <c r="X185" i="2"/>
  <c r="W185" i="2"/>
  <c r="V185" i="2"/>
  <c r="T185" i="2"/>
  <c r="S185" i="2"/>
  <c r="R185" i="2"/>
  <c r="Q185" i="2"/>
  <c r="AA185" i="2" s="1"/>
  <c r="X184" i="2"/>
  <c r="W184" i="2"/>
  <c r="V184" i="2"/>
  <c r="T184" i="2"/>
  <c r="S184" i="2"/>
  <c r="R184" i="2"/>
  <c r="Q184" i="2"/>
  <c r="AA184" i="2" s="1"/>
  <c r="X183" i="2"/>
  <c r="W183" i="2"/>
  <c r="V183" i="2"/>
  <c r="T183" i="2"/>
  <c r="S183" i="2"/>
  <c r="R183" i="2"/>
  <c r="Q183" i="2"/>
  <c r="AA183" i="2" s="1"/>
  <c r="X182" i="2"/>
  <c r="W182" i="2"/>
  <c r="V182" i="2"/>
  <c r="T182" i="2"/>
  <c r="S182" i="2"/>
  <c r="R182" i="2"/>
  <c r="Q182" i="2"/>
  <c r="AA182" i="2" s="1"/>
  <c r="X181" i="2"/>
  <c r="W181" i="2"/>
  <c r="V181" i="2"/>
  <c r="T181" i="2"/>
  <c r="S181" i="2"/>
  <c r="R181" i="2"/>
  <c r="Q181" i="2"/>
  <c r="AA181" i="2" s="1"/>
  <c r="X180" i="2"/>
  <c r="W180" i="2"/>
  <c r="V180" i="2"/>
  <c r="T180" i="2"/>
  <c r="S180" i="2"/>
  <c r="R180" i="2"/>
  <c r="Q180" i="2"/>
  <c r="AA180" i="2" s="1"/>
  <c r="X179" i="2"/>
  <c r="W179" i="2"/>
  <c r="V179" i="2"/>
  <c r="T179" i="2"/>
  <c r="S179" i="2"/>
  <c r="R179" i="2"/>
  <c r="Q179" i="2"/>
  <c r="AA179" i="2" s="1"/>
  <c r="X178" i="2"/>
  <c r="W178" i="2"/>
  <c r="V178" i="2"/>
  <c r="T178" i="2"/>
  <c r="S178" i="2"/>
  <c r="R178" i="2"/>
  <c r="Q178" i="2"/>
  <c r="AA178" i="2" s="1"/>
  <c r="X177" i="2"/>
  <c r="W177" i="2"/>
  <c r="V177" i="2"/>
  <c r="T177" i="2"/>
  <c r="S177" i="2"/>
  <c r="R177" i="2"/>
  <c r="Q177" i="2"/>
  <c r="AA177" i="2" s="1"/>
  <c r="X176" i="2"/>
  <c r="W176" i="2"/>
  <c r="V176" i="2"/>
  <c r="T176" i="2"/>
  <c r="S176" i="2"/>
  <c r="R176" i="2"/>
  <c r="Q176" i="2"/>
  <c r="AA176" i="2" s="1"/>
  <c r="X175" i="2"/>
  <c r="W175" i="2"/>
  <c r="V175" i="2"/>
  <c r="T175" i="2"/>
  <c r="S175" i="2"/>
  <c r="R175" i="2"/>
  <c r="Q175" i="2"/>
  <c r="AA175" i="2" s="1"/>
  <c r="X174" i="2"/>
  <c r="W174" i="2"/>
  <c r="V174" i="2"/>
  <c r="T174" i="2"/>
  <c r="S174" i="2"/>
  <c r="R174" i="2"/>
  <c r="Q174" i="2"/>
  <c r="AA174" i="2" s="1"/>
  <c r="X173" i="2"/>
  <c r="W173" i="2"/>
  <c r="V173" i="2"/>
  <c r="T173" i="2"/>
  <c r="S173" i="2"/>
  <c r="R173" i="2"/>
  <c r="Q173" i="2"/>
  <c r="AA173" i="2" s="1"/>
  <c r="X172" i="2"/>
  <c r="W172" i="2"/>
  <c r="V172" i="2"/>
  <c r="T172" i="2"/>
  <c r="S172" i="2"/>
  <c r="R172" i="2"/>
  <c r="Q172" i="2"/>
  <c r="AA172" i="2" s="1"/>
  <c r="X171" i="2"/>
  <c r="W171" i="2"/>
  <c r="V171" i="2"/>
  <c r="T171" i="2"/>
  <c r="S171" i="2"/>
  <c r="R171" i="2"/>
  <c r="Q171" i="2"/>
  <c r="AA171" i="2" s="1"/>
  <c r="X170" i="2"/>
  <c r="W170" i="2"/>
  <c r="V170" i="2"/>
  <c r="T170" i="2"/>
  <c r="S170" i="2"/>
  <c r="R170" i="2"/>
  <c r="Q170" i="2"/>
  <c r="AA170" i="2" s="1"/>
  <c r="X211" i="2"/>
  <c r="W211" i="2"/>
  <c r="V211" i="2"/>
  <c r="T211" i="2"/>
  <c r="S211" i="2"/>
  <c r="R211" i="2"/>
  <c r="Q211" i="2"/>
  <c r="AA211" i="2" s="1"/>
  <c r="X210" i="2"/>
  <c r="W210" i="2"/>
  <c r="V210" i="2"/>
  <c r="T210" i="2"/>
  <c r="S210" i="2"/>
  <c r="R210" i="2"/>
  <c r="Q210" i="2"/>
  <c r="AA210" i="2" s="1"/>
  <c r="X209" i="2"/>
  <c r="W209" i="2"/>
  <c r="V209" i="2"/>
  <c r="T209" i="2"/>
  <c r="S209" i="2"/>
  <c r="R209" i="2"/>
  <c r="Q209" i="2"/>
  <c r="AA209" i="2" s="1"/>
  <c r="X208" i="2"/>
  <c r="W208" i="2"/>
  <c r="V208" i="2"/>
  <c r="T208" i="2"/>
  <c r="S208" i="2"/>
  <c r="R208" i="2"/>
  <c r="Q208" i="2"/>
  <c r="AA208" i="2" s="1"/>
  <c r="X207" i="2"/>
  <c r="W207" i="2"/>
  <c r="V207" i="2"/>
  <c r="T207" i="2"/>
  <c r="S207" i="2"/>
  <c r="R207" i="2"/>
  <c r="Q207" i="2"/>
  <c r="AA207" i="2" s="1"/>
  <c r="X206" i="2"/>
  <c r="W206" i="2"/>
  <c r="V206" i="2"/>
  <c r="T206" i="2"/>
  <c r="S206" i="2"/>
  <c r="R206" i="2"/>
  <c r="Q206" i="2"/>
  <c r="AA206" i="2" s="1"/>
  <c r="X205" i="2"/>
  <c r="W205" i="2"/>
  <c r="V205" i="2"/>
  <c r="T205" i="2"/>
  <c r="S205" i="2"/>
  <c r="R205" i="2"/>
  <c r="Q205" i="2"/>
  <c r="AA205" i="2" s="1"/>
  <c r="X204" i="2"/>
  <c r="W204" i="2"/>
  <c r="V204" i="2"/>
  <c r="T204" i="2"/>
  <c r="S204" i="2"/>
  <c r="R204" i="2"/>
  <c r="Q204" i="2"/>
  <c r="AA204" i="2" s="1"/>
  <c r="X203" i="2"/>
  <c r="W203" i="2"/>
  <c r="V203" i="2"/>
  <c r="T203" i="2"/>
  <c r="S203" i="2"/>
  <c r="R203" i="2"/>
  <c r="Q203" i="2"/>
  <c r="AA203" i="2" s="1"/>
  <c r="X202" i="2"/>
  <c r="W202" i="2"/>
  <c r="V202" i="2"/>
  <c r="T202" i="2"/>
  <c r="S202" i="2"/>
  <c r="R202" i="2"/>
  <c r="Q202" i="2"/>
  <c r="AA202" i="2" s="1"/>
  <c r="X201" i="2"/>
  <c r="W201" i="2"/>
  <c r="V201" i="2"/>
  <c r="T201" i="2"/>
  <c r="S201" i="2"/>
  <c r="R201" i="2"/>
  <c r="Q201" i="2"/>
  <c r="AA201" i="2" s="1"/>
  <c r="X200" i="2"/>
  <c r="W200" i="2"/>
  <c r="V200" i="2"/>
  <c r="T200" i="2"/>
  <c r="S200" i="2"/>
  <c r="R200" i="2"/>
  <c r="Q200" i="2"/>
  <c r="AA200" i="2" s="1"/>
  <c r="X199" i="2"/>
  <c r="W199" i="2"/>
  <c r="V199" i="2"/>
  <c r="T199" i="2"/>
  <c r="S199" i="2"/>
  <c r="R199" i="2"/>
  <c r="Q199" i="2"/>
  <c r="AA199" i="2" s="1"/>
  <c r="X198" i="2"/>
  <c r="W198" i="2"/>
  <c r="V198" i="2"/>
  <c r="T198" i="2"/>
  <c r="S198" i="2"/>
  <c r="R198" i="2"/>
  <c r="Q198" i="2"/>
  <c r="AA198" i="2" s="1"/>
  <c r="X197" i="2"/>
  <c r="W197" i="2"/>
  <c r="V197" i="2"/>
  <c r="T197" i="2"/>
  <c r="S197" i="2"/>
  <c r="R197" i="2"/>
  <c r="Q197" i="2"/>
  <c r="AA197" i="2" s="1"/>
  <c r="X196" i="2"/>
  <c r="W196" i="2"/>
  <c r="V196" i="2"/>
  <c r="T196" i="2"/>
  <c r="S196" i="2"/>
  <c r="R196" i="2"/>
  <c r="Q196" i="2"/>
  <c r="AA196" i="2" s="1"/>
  <c r="X195" i="2"/>
  <c r="W195" i="2"/>
  <c r="V195" i="2"/>
  <c r="T195" i="2"/>
  <c r="S195" i="2"/>
  <c r="R195" i="2"/>
  <c r="Q195" i="2"/>
  <c r="AA195" i="2" s="1"/>
  <c r="X194" i="2"/>
  <c r="W194" i="2"/>
  <c r="V194" i="2"/>
  <c r="T194" i="2"/>
  <c r="S194" i="2"/>
  <c r="R194" i="2"/>
  <c r="Q194" i="2"/>
  <c r="AA194" i="2" s="1"/>
  <c r="X193" i="2"/>
  <c r="W193" i="2"/>
  <c r="V193" i="2"/>
  <c r="T193" i="2"/>
  <c r="S193" i="2"/>
  <c r="R193" i="2"/>
  <c r="Q193" i="2"/>
  <c r="AA193" i="2" s="1"/>
  <c r="X192" i="2"/>
  <c r="W192" i="2"/>
  <c r="V192" i="2"/>
  <c r="T192" i="2"/>
  <c r="S192" i="2"/>
  <c r="R192" i="2"/>
  <c r="Q192" i="2"/>
  <c r="AA192" i="2" s="1"/>
  <c r="X191" i="2"/>
  <c r="W191" i="2"/>
  <c r="V191" i="2"/>
  <c r="T191" i="2"/>
  <c r="S191" i="2"/>
  <c r="R191" i="2"/>
  <c r="Q191" i="2"/>
  <c r="AA191" i="2" s="1"/>
  <c r="X232" i="2"/>
  <c r="W232" i="2"/>
  <c r="V232" i="2"/>
  <c r="T232" i="2"/>
  <c r="S232" i="2"/>
  <c r="R232" i="2"/>
  <c r="Q232" i="2"/>
  <c r="AA232" i="2" s="1"/>
  <c r="X231" i="2"/>
  <c r="W231" i="2"/>
  <c r="V231" i="2"/>
  <c r="T231" i="2"/>
  <c r="S231" i="2"/>
  <c r="R231" i="2"/>
  <c r="Q231" i="2"/>
  <c r="AA231" i="2" s="1"/>
  <c r="X230" i="2"/>
  <c r="W230" i="2"/>
  <c r="V230" i="2"/>
  <c r="T230" i="2"/>
  <c r="S230" i="2"/>
  <c r="R230" i="2"/>
  <c r="Q230" i="2"/>
  <c r="AA230" i="2" s="1"/>
  <c r="X229" i="2"/>
  <c r="W229" i="2"/>
  <c r="V229" i="2"/>
  <c r="T229" i="2"/>
  <c r="S229" i="2"/>
  <c r="R229" i="2"/>
  <c r="Q229" i="2"/>
  <c r="AA229" i="2" s="1"/>
  <c r="X228" i="2"/>
  <c r="W228" i="2"/>
  <c r="V228" i="2"/>
  <c r="T228" i="2"/>
  <c r="S228" i="2"/>
  <c r="R228" i="2"/>
  <c r="Q228" i="2"/>
  <c r="AA228" i="2" s="1"/>
  <c r="X227" i="2"/>
  <c r="W227" i="2"/>
  <c r="V227" i="2"/>
  <c r="T227" i="2"/>
  <c r="S227" i="2"/>
  <c r="R227" i="2"/>
  <c r="Q227" i="2"/>
  <c r="AA227" i="2" s="1"/>
  <c r="X226" i="2"/>
  <c r="W226" i="2"/>
  <c r="V226" i="2"/>
  <c r="T226" i="2"/>
  <c r="S226" i="2"/>
  <c r="R226" i="2"/>
  <c r="Q226" i="2"/>
  <c r="AA226" i="2" s="1"/>
  <c r="X225" i="2"/>
  <c r="W225" i="2"/>
  <c r="V225" i="2"/>
  <c r="T225" i="2"/>
  <c r="S225" i="2"/>
  <c r="R225" i="2"/>
  <c r="Q225" i="2"/>
  <c r="AA225" i="2" s="1"/>
  <c r="X224" i="2"/>
  <c r="W224" i="2"/>
  <c r="V224" i="2"/>
  <c r="T224" i="2"/>
  <c r="S224" i="2"/>
  <c r="R224" i="2"/>
  <c r="Q224" i="2"/>
  <c r="AA224" i="2" s="1"/>
  <c r="X223" i="2"/>
  <c r="W223" i="2"/>
  <c r="V223" i="2"/>
  <c r="T223" i="2"/>
  <c r="S223" i="2"/>
  <c r="R223" i="2"/>
  <c r="Q223" i="2"/>
  <c r="AA223" i="2" s="1"/>
  <c r="X222" i="2"/>
  <c r="W222" i="2"/>
  <c r="V222" i="2"/>
  <c r="T222" i="2"/>
  <c r="S222" i="2"/>
  <c r="R222" i="2"/>
  <c r="Q222" i="2"/>
  <c r="AA222" i="2" s="1"/>
  <c r="X221" i="2"/>
  <c r="W221" i="2"/>
  <c r="V221" i="2"/>
  <c r="T221" i="2"/>
  <c r="S221" i="2"/>
  <c r="R221" i="2"/>
  <c r="Q221" i="2"/>
  <c r="AA221" i="2" s="1"/>
  <c r="X220" i="2"/>
  <c r="W220" i="2"/>
  <c r="V220" i="2"/>
  <c r="T220" i="2"/>
  <c r="S220" i="2"/>
  <c r="R220" i="2"/>
  <c r="Q220" i="2"/>
  <c r="AA220" i="2" s="1"/>
  <c r="X219" i="2"/>
  <c r="W219" i="2"/>
  <c r="V219" i="2"/>
  <c r="T219" i="2"/>
  <c r="S219" i="2"/>
  <c r="R219" i="2"/>
  <c r="Q219" i="2"/>
  <c r="AA219" i="2" s="1"/>
  <c r="X218" i="2"/>
  <c r="W218" i="2"/>
  <c r="V218" i="2"/>
  <c r="T218" i="2"/>
  <c r="S218" i="2"/>
  <c r="R218" i="2"/>
  <c r="Q218" i="2"/>
  <c r="AA218" i="2" s="1"/>
  <c r="X217" i="2"/>
  <c r="W217" i="2"/>
  <c r="V217" i="2"/>
  <c r="T217" i="2"/>
  <c r="S217" i="2"/>
  <c r="R217" i="2"/>
  <c r="Q217" i="2"/>
  <c r="AA217" i="2" s="1"/>
  <c r="X216" i="2"/>
  <c r="W216" i="2"/>
  <c r="V216" i="2"/>
  <c r="T216" i="2"/>
  <c r="S216" i="2"/>
  <c r="R216" i="2"/>
  <c r="Q216" i="2"/>
  <c r="AA216" i="2" s="1"/>
  <c r="X215" i="2"/>
  <c r="W215" i="2"/>
  <c r="V215" i="2"/>
  <c r="T215" i="2"/>
  <c r="S215" i="2"/>
  <c r="R215" i="2"/>
  <c r="Q215" i="2"/>
  <c r="AA215" i="2" s="1"/>
  <c r="X214" i="2"/>
  <c r="W214" i="2"/>
  <c r="V214" i="2"/>
  <c r="T214" i="2"/>
  <c r="S214" i="2"/>
  <c r="R214" i="2"/>
  <c r="Q214" i="2"/>
  <c r="AA214" i="2" s="1"/>
  <c r="X213" i="2"/>
  <c r="W213" i="2"/>
  <c r="V213" i="2"/>
  <c r="T213" i="2"/>
  <c r="S213" i="2"/>
  <c r="R213" i="2"/>
  <c r="Q213" i="2"/>
  <c r="AA213" i="2" s="1"/>
  <c r="X212" i="2"/>
  <c r="W212" i="2"/>
  <c r="V212" i="2"/>
  <c r="T212" i="2"/>
  <c r="S212" i="2"/>
  <c r="R212" i="2"/>
  <c r="Q212" i="2"/>
  <c r="AA212" i="2" s="1"/>
  <c r="P431" i="4"/>
  <c r="O431" i="4"/>
  <c r="N431" i="4"/>
  <c r="G431" i="4"/>
  <c r="E431" i="4"/>
  <c r="P430" i="4"/>
  <c r="O430" i="4"/>
  <c r="N430" i="4"/>
  <c r="G430" i="4"/>
  <c r="E430" i="4"/>
  <c r="P429" i="4"/>
  <c r="O429" i="4"/>
  <c r="N429" i="4"/>
  <c r="G429" i="4"/>
  <c r="E429" i="4"/>
  <c r="P428" i="4"/>
  <c r="O428" i="4"/>
  <c r="N428" i="4"/>
  <c r="G428" i="4"/>
  <c r="E428" i="4"/>
  <c r="P427" i="4"/>
  <c r="O427" i="4"/>
  <c r="N427" i="4"/>
  <c r="G427" i="4"/>
  <c r="E427" i="4"/>
  <c r="P426" i="4"/>
  <c r="O426" i="4"/>
  <c r="N426" i="4"/>
  <c r="G426" i="4"/>
  <c r="E426" i="4"/>
  <c r="P425" i="4"/>
  <c r="O425" i="4"/>
  <c r="N425" i="4"/>
  <c r="G425" i="4"/>
  <c r="E425" i="4"/>
  <c r="P424" i="4"/>
  <c r="O424" i="4"/>
  <c r="N424" i="4"/>
  <c r="G424" i="4"/>
  <c r="E424" i="4"/>
  <c r="P423" i="4"/>
  <c r="O423" i="4"/>
  <c r="N423" i="4"/>
  <c r="G423" i="4"/>
  <c r="E423" i="4"/>
  <c r="P422" i="4"/>
  <c r="O422" i="4"/>
  <c r="N422" i="4"/>
  <c r="G422" i="4"/>
  <c r="E422" i="4"/>
  <c r="P421" i="4"/>
  <c r="O421" i="4"/>
  <c r="N421" i="4"/>
  <c r="G421" i="4"/>
  <c r="E421" i="4"/>
  <c r="P420" i="4"/>
  <c r="O420" i="4"/>
  <c r="N420" i="4"/>
  <c r="G420" i="4"/>
  <c r="E420" i="4"/>
  <c r="P419" i="4"/>
  <c r="O419" i="4"/>
  <c r="N419" i="4"/>
  <c r="G419" i="4"/>
  <c r="E419" i="4"/>
  <c r="P418" i="4"/>
  <c r="O418" i="4"/>
  <c r="N418" i="4"/>
  <c r="G418" i="4"/>
  <c r="E418" i="4"/>
  <c r="P417" i="4"/>
  <c r="O417" i="4"/>
  <c r="N417" i="4"/>
  <c r="G417" i="4"/>
  <c r="E417" i="4"/>
  <c r="P416" i="4"/>
  <c r="O416" i="4"/>
  <c r="N416" i="4"/>
  <c r="G416" i="4"/>
  <c r="E416" i="4"/>
  <c r="P415" i="4"/>
  <c r="O415" i="4"/>
  <c r="N415" i="4"/>
  <c r="G415" i="4"/>
  <c r="E415" i="4"/>
  <c r="P414" i="4"/>
  <c r="O414" i="4"/>
  <c r="N414" i="4"/>
  <c r="G414" i="4"/>
  <c r="E414" i="4"/>
  <c r="P413" i="4"/>
  <c r="O413" i="4"/>
  <c r="N413" i="4"/>
  <c r="G413" i="4"/>
  <c r="E413" i="4"/>
  <c r="P412" i="4"/>
  <c r="O412" i="4"/>
  <c r="N412" i="4"/>
  <c r="G412" i="4"/>
  <c r="E412" i="4"/>
  <c r="P411" i="4"/>
  <c r="O411" i="4"/>
  <c r="N411" i="4"/>
  <c r="G411" i="4"/>
  <c r="E411" i="4"/>
  <c r="P410" i="4"/>
  <c r="O410" i="4"/>
  <c r="N410" i="4"/>
  <c r="G410" i="4"/>
  <c r="E410" i="4"/>
  <c r="P409" i="4"/>
  <c r="O409" i="4"/>
  <c r="N409" i="4"/>
  <c r="G409" i="4"/>
  <c r="E409" i="4"/>
  <c r="P408" i="4"/>
  <c r="O408" i="4"/>
  <c r="N408" i="4"/>
  <c r="G408" i="4"/>
  <c r="E408" i="4"/>
  <c r="P407" i="4"/>
  <c r="O407" i="4"/>
  <c r="N407" i="4"/>
  <c r="G407" i="4"/>
  <c r="E407" i="4"/>
  <c r="P406" i="4"/>
  <c r="O406" i="4"/>
  <c r="N406" i="4"/>
  <c r="G406" i="4"/>
  <c r="E406" i="4"/>
  <c r="P405" i="4"/>
  <c r="O405" i="4"/>
  <c r="N405" i="4"/>
  <c r="G405" i="4"/>
  <c r="E405" i="4"/>
  <c r="P404" i="4"/>
  <c r="O404" i="4"/>
  <c r="N404" i="4"/>
  <c r="G404" i="4"/>
  <c r="E404" i="4"/>
  <c r="P403" i="4"/>
  <c r="O403" i="4"/>
  <c r="N403" i="4"/>
  <c r="G403" i="4"/>
  <c r="E403" i="4"/>
  <c r="P402" i="4"/>
  <c r="O402" i="4"/>
  <c r="N402" i="4"/>
  <c r="G402" i="4"/>
  <c r="E402" i="4"/>
  <c r="P401" i="4"/>
  <c r="O401" i="4"/>
  <c r="N401" i="4"/>
  <c r="G401" i="4"/>
  <c r="E401" i="4"/>
  <c r="P400" i="4"/>
  <c r="O400" i="4"/>
  <c r="N400" i="4"/>
  <c r="G400" i="4"/>
  <c r="E400" i="4"/>
  <c r="P399" i="4"/>
  <c r="O399" i="4"/>
  <c r="N399" i="4"/>
  <c r="G399" i="4"/>
  <c r="E399" i="4"/>
  <c r="P398" i="4"/>
  <c r="O398" i="4"/>
  <c r="N398" i="4"/>
  <c r="G398" i="4"/>
  <c r="E398" i="4"/>
  <c r="P397" i="4"/>
  <c r="O397" i="4"/>
  <c r="N397" i="4"/>
  <c r="G397" i="4"/>
  <c r="E397" i="4"/>
  <c r="P396" i="4"/>
  <c r="O396" i="4"/>
  <c r="N396" i="4"/>
  <c r="G396" i="4"/>
  <c r="E396" i="4"/>
  <c r="P395" i="4"/>
  <c r="O395" i="4"/>
  <c r="N395" i="4"/>
  <c r="G395" i="4"/>
  <c r="E395" i="4"/>
  <c r="P394" i="4"/>
  <c r="O394" i="4"/>
  <c r="N394" i="4"/>
  <c r="G394" i="4"/>
  <c r="E394" i="4"/>
  <c r="P393" i="4"/>
  <c r="O393" i="4"/>
  <c r="N393" i="4"/>
  <c r="G393" i="4"/>
  <c r="E393" i="4"/>
  <c r="P392" i="4"/>
  <c r="O392" i="4"/>
  <c r="N392" i="4"/>
  <c r="G392" i="4"/>
  <c r="E392" i="4"/>
  <c r="P391" i="4"/>
  <c r="O391" i="4"/>
  <c r="N391" i="4"/>
  <c r="G391" i="4"/>
  <c r="E391" i="4"/>
  <c r="P390" i="4"/>
  <c r="O390" i="4"/>
  <c r="N390" i="4"/>
  <c r="G390" i="4"/>
  <c r="E390" i="4"/>
  <c r="P389" i="4"/>
  <c r="O389" i="4"/>
  <c r="N389" i="4"/>
  <c r="G389" i="4"/>
  <c r="E389" i="4"/>
  <c r="P388" i="4"/>
  <c r="O388" i="4"/>
  <c r="N388" i="4"/>
  <c r="G388" i="4"/>
  <c r="E388" i="4"/>
  <c r="P387" i="4"/>
  <c r="O387" i="4"/>
  <c r="N387" i="4"/>
  <c r="G387" i="4"/>
  <c r="E387" i="4"/>
  <c r="P386" i="4"/>
  <c r="O386" i="4"/>
  <c r="N386" i="4"/>
  <c r="G386" i="4"/>
  <c r="E386" i="4"/>
  <c r="P385" i="4"/>
  <c r="O385" i="4"/>
  <c r="N385" i="4"/>
  <c r="G385" i="4"/>
  <c r="E385" i="4"/>
  <c r="P384" i="4"/>
  <c r="O384" i="4"/>
  <c r="N384" i="4"/>
  <c r="G384" i="4"/>
  <c r="E384" i="4"/>
  <c r="P383" i="4"/>
  <c r="O383" i="4"/>
  <c r="N383" i="4"/>
  <c r="G383" i="4"/>
  <c r="E383" i="4"/>
  <c r="P382" i="4"/>
  <c r="O382" i="4"/>
  <c r="N382" i="4"/>
  <c r="G382" i="4"/>
  <c r="E382" i="4"/>
  <c r="P381" i="4"/>
  <c r="O381" i="4"/>
  <c r="N381" i="4"/>
  <c r="G381" i="4"/>
  <c r="E381" i="4"/>
  <c r="P380" i="4"/>
  <c r="O380" i="4"/>
  <c r="N380" i="4"/>
  <c r="G380" i="4"/>
  <c r="E380" i="4"/>
  <c r="P379" i="4"/>
  <c r="O379" i="4"/>
  <c r="N379" i="4"/>
  <c r="G379" i="4"/>
  <c r="E379" i="4"/>
  <c r="P378" i="4"/>
  <c r="O378" i="4"/>
  <c r="N378" i="4"/>
  <c r="G378" i="4"/>
  <c r="E378" i="4"/>
  <c r="P377" i="4"/>
  <c r="O377" i="4"/>
  <c r="N377" i="4"/>
  <c r="G377" i="4"/>
  <c r="E377" i="4"/>
  <c r="P376" i="4"/>
  <c r="O376" i="4"/>
  <c r="N376" i="4"/>
  <c r="G376" i="4"/>
  <c r="E376" i="4"/>
  <c r="P375" i="4"/>
  <c r="O375" i="4"/>
  <c r="N375" i="4"/>
  <c r="G375" i="4"/>
  <c r="E375" i="4"/>
  <c r="P374" i="4"/>
  <c r="O374" i="4"/>
  <c r="N374" i="4"/>
  <c r="G374" i="4"/>
  <c r="E374" i="4"/>
  <c r="P373" i="4"/>
  <c r="O373" i="4"/>
  <c r="N373" i="4"/>
  <c r="G373" i="4"/>
  <c r="E373" i="4"/>
  <c r="P372" i="4"/>
  <c r="O372" i="4"/>
  <c r="N372" i="4"/>
  <c r="G372" i="4"/>
  <c r="E372" i="4"/>
  <c r="P371" i="4"/>
  <c r="O371" i="4"/>
  <c r="N371" i="4"/>
  <c r="G371" i="4"/>
  <c r="E371" i="4"/>
  <c r="P370" i="4"/>
  <c r="O370" i="4"/>
  <c r="N370" i="4"/>
  <c r="G370" i="4"/>
  <c r="E370" i="4"/>
  <c r="P369" i="4"/>
  <c r="O369" i="4"/>
  <c r="N369" i="4"/>
  <c r="G369" i="4"/>
  <c r="E369" i="4"/>
  <c r="P368" i="4"/>
  <c r="O368" i="4"/>
  <c r="N368" i="4"/>
  <c r="G368" i="4"/>
  <c r="E368" i="4"/>
  <c r="P367" i="4"/>
  <c r="O367" i="4"/>
  <c r="N367" i="4"/>
  <c r="G367" i="4"/>
  <c r="E367" i="4"/>
  <c r="P366" i="4"/>
  <c r="O366" i="4"/>
  <c r="N366" i="4"/>
  <c r="G366" i="4"/>
  <c r="E366" i="4"/>
  <c r="P365" i="4"/>
  <c r="O365" i="4"/>
  <c r="N365" i="4"/>
  <c r="G365" i="4"/>
  <c r="E365" i="4"/>
  <c r="P364" i="4"/>
  <c r="O364" i="4"/>
  <c r="N364" i="4"/>
  <c r="G364" i="4"/>
  <c r="E364" i="4"/>
  <c r="P363" i="4"/>
  <c r="O363" i="4"/>
  <c r="N363" i="4"/>
  <c r="G363" i="4"/>
  <c r="E363" i="4"/>
  <c r="P362" i="4"/>
  <c r="O362" i="4"/>
  <c r="N362" i="4"/>
  <c r="G362" i="4"/>
  <c r="E362" i="4"/>
  <c r="P361" i="4"/>
  <c r="O361" i="4"/>
  <c r="N361" i="4"/>
  <c r="G361" i="4"/>
  <c r="E361" i="4"/>
  <c r="P360" i="4"/>
  <c r="O360" i="4"/>
  <c r="N360" i="4"/>
  <c r="G360" i="4"/>
  <c r="E360" i="4"/>
  <c r="P359" i="4"/>
  <c r="O359" i="4"/>
  <c r="N359" i="4"/>
  <c r="G359" i="4"/>
  <c r="E359" i="4"/>
  <c r="P358" i="4"/>
  <c r="O358" i="4"/>
  <c r="N358" i="4"/>
  <c r="G358" i="4"/>
  <c r="E358" i="4"/>
  <c r="P357" i="4"/>
  <c r="O357" i="4"/>
  <c r="N357" i="4"/>
  <c r="G357" i="4"/>
  <c r="E357" i="4"/>
  <c r="P356" i="4"/>
  <c r="O356" i="4"/>
  <c r="N356" i="4"/>
  <c r="G356" i="4"/>
  <c r="E356" i="4"/>
  <c r="P355" i="4"/>
  <c r="O355" i="4"/>
  <c r="N355" i="4"/>
  <c r="G355" i="4"/>
  <c r="E355" i="4"/>
  <c r="P354" i="4"/>
  <c r="O354" i="4"/>
  <c r="N354" i="4"/>
  <c r="G354" i="4"/>
  <c r="E354" i="4"/>
  <c r="P353" i="4"/>
  <c r="O353" i="4"/>
  <c r="N353" i="4"/>
  <c r="G353" i="4"/>
  <c r="E353" i="4"/>
  <c r="P352" i="4"/>
  <c r="O352" i="4"/>
  <c r="N352" i="4"/>
  <c r="G352" i="4"/>
  <c r="E352" i="4"/>
  <c r="P351" i="4"/>
  <c r="O351" i="4"/>
  <c r="N351" i="4"/>
  <c r="G351" i="4"/>
  <c r="E351" i="4"/>
  <c r="P350" i="4"/>
  <c r="O350" i="4"/>
  <c r="N350" i="4"/>
  <c r="G350" i="4"/>
  <c r="E350" i="4"/>
  <c r="P349" i="4"/>
  <c r="O349" i="4"/>
  <c r="N349" i="4"/>
  <c r="G349" i="4"/>
  <c r="E349" i="4"/>
  <c r="P348" i="4"/>
  <c r="O348" i="4"/>
  <c r="N348" i="4"/>
  <c r="G348" i="4"/>
  <c r="E348" i="4"/>
  <c r="P347" i="4"/>
  <c r="O347" i="4"/>
  <c r="N347" i="4"/>
  <c r="G347" i="4"/>
  <c r="E347" i="4"/>
  <c r="P346" i="4"/>
  <c r="O346" i="4"/>
  <c r="N346" i="4"/>
  <c r="G346" i="4"/>
  <c r="E346" i="4"/>
  <c r="P345" i="4"/>
  <c r="O345" i="4"/>
  <c r="N345" i="4"/>
  <c r="G345" i="4"/>
  <c r="E345" i="4"/>
  <c r="P344" i="4"/>
  <c r="O344" i="4"/>
  <c r="N344" i="4"/>
  <c r="G344" i="4"/>
  <c r="E344" i="4"/>
  <c r="P343" i="4"/>
  <c r="O343" i="4"/>
  <c r="N343" i="4"/>
  <c r="G343" i="4"/>
  <c r="E343" i="4"/>
  <c r="P342" i="4"/>
  <c r="O342" i="4"/>
  <c r="N342" i="4"/>
  <c r="G342" i="4"/>
  <c r="E342" i="4"/>
  <c r="P341" i="4"/>
  <c r="O341" i="4"/>
  <c r="N341" i="4"/>
  <c r="G341" i="4"/>
  <c r="E341" i="4"/>
  <c r="P340" i="4"/>
  <c r="O340" i="4"/>
  <c r="N340" i="4"/>
  <c r="G340" i="4"/>
  <c r="E340" i="4"/>
  <c r="P339" i="4"/>
  <c r="O339" i="4"/>
  <c r="N339" i="4"/>
  <c r="G339" i="4"/>
  <c r="E339" i="4"/>
  <c r="P338" i="4"/>
  <c r="O338" i="4"/>
  <c r="N338" i="4"/>
  <c r="G338" i="4"/>
  <c r="E338" i="4"/>
  <c r="P337" i="4"/>
  <c r="O337" i="4"/>
  <c r="N337" i="4"/>
  <c r="G337" i="4"/>
  <c r="E337" i="4"/>
  <c r="P336" i="4"/>
  <c r="O336" i="4"/>
  <c r="N336" i="4"/>
  <c r="G336" i="4"/>
  <c r="E336" i="4"/>
  <c r="P335" i="4"/>
  <c r="O335" i="4"/>
  <c r="N335" i="4"/>
  <c r="G335" i="4"/>
  <c r="E335" i="4"/>
  <c r="P334" i="4"/>
  <c r="O334" i="4"/>
  <c r="N334" i="4"/>
  <c r="G334" i="4"/>
  <c r="E334" i="4"/>
  <c r="P333" i="4"/>
  <c r="O333" i="4"/>
  <c r="N333" i="4"/>
  <c r="G333" i="4"/>
  <c r="E333" i="4"/>
  <c r="P332" i="4"/>
  <c r="O332" i="4"/>
  <c r="N332" i="4"/>
  <c r="G332" i="4"/>
  <c r="E332" i="4"/>
  <c r="P331" i="4"/>
  <c r="O331" i="4"/>
  <c r="N331" i="4"/>
  <c r="G331" i="4"/>
  <c r="E331" i="4"/>
  <c r="P330" i="4"/>
  <c r="O330" i="4"/>
  <c r="N330" i="4"/>
  <c r="G330" i="4"/>
  <c r="E330" i="4"/>
  <c r="P329" i="4"/>
  <c r="O329" i="4"/>
  <c r="N329" i="4"/>
  <c r="G329" i="4"/>
  <c r="E329" i="4"/>
  <c r="P328" i="4"/>
  <c r="O328" i="4"/>
  <c r="N328" i="4"/>
  <c r="G328" i="4"/>
  <c r="E328" i="4"/>
  <c r="P327" i="4"/>
  <c r="O327" i="4"/>
  <c r="N327" i="4"/>
  <c r="G327" i="4"/>
  <c r="E327" i="4"/>
  <c r="P326" i="4"/>
  <c r="O326" i="4"/>
  <c r="N326" i="4"/>
  <c r="G326" i="4"/>
  <c r="E326" i="4"/>
  <c r="P325" i="4"/>
  <c r="O325" i="4"/>
  <c r="N325" i="4"/>
  <c r="G325" i="4"/>
  <c r="E325" i="4"/>
  <c r="P324" i="4"/>
  <c r="O324" i="4"/>
  <c r="N324" i="4"/>
  <c r="G324" i="4"/>
  <c r="E324" i="4"/>
  <c r="P323" i="4"/>
  <c r="O323" i="4"/>
  <c r="N323" i="4"/>
  <c r="G323" i="4"/>
  <c r="E323" i="4"/>
  <c r="P322" i="4"/>
  <c r="O322" i="4"/>
  <c r="N322" i="4"/>
  <c r="G322" i="4"/>
  <c r="E322" i="4"/>
  <c r="P321" i="4"/>
  <c r="O321" i="4"/>
  <c r="N321" i="4"/>
  <c r="G321" i="4"/>
  <c r="E321" i="4"/>
  <c r="P320" i="4"/>
  <c r="O320" i="4"/>
  <c r="N320" i="4"/>
  <c r="G320" i="4"/>
  <c r="E320" i="4"/>
  <c r="P319" i="4"/>
  <c r="O319" i="4"/>
  <c r="N319" i="4"/>
  <c r="G319" i="4"/>
  <c r="E319" i="4"/>
  <c r="P318" i="4"/>
  <c r="O318" i="4"/>
  <c r="N318" i="4"/>
  <c r="G318" i="4"/>
  <c r="E318" i="4"/>
  <c r="P317" i="4"/>
  <c r="O317" i="4"/>
  <c r="N317" i="4"/>
  <c r="G317" i="4"/>
  <c r="E317" i="4"/>
  <c r="P316" i="4"/>
  <c r="O316" i="4"/>
  <c r="N316" i="4"/>
  <c r="G316" i="4"/>
  <c r="E316" i="4"/>
  <c r="P315" i="4"/>
  <c r="O315" i="4"/>
  <c r="N315" i="4"/>
  <c r="G315" i="4"/>
  <c r="E315" i="4"/>
  <c r="P314" i="4"/>
  <c r="O314" i="4"/>
  <c r="N314" i="4"/>
  <c r="G314" i="4"/>
  <c r="E314" i="4"/>
  <c r="P313" i="4"/>
  <c r="O313" i="4"/>
  <c r="N313" i="4"/>
  <c r="G313" i="4"/>
  <c r="E313" i="4"/>
  <c r="P312" i="4"/>
  <c r="O312" i="4"/>
  <c r="N312" i="4"/>
  <c r="G312" i="4"/>
  <c r="E312" i="4"/>
  <c r="P311" i="4"/>
  <c r="O311" i="4"/>
  <c r="N311" i="4"/>
  <c r="G311" i="4"/>
  <c r="E311" i="4"/>
  <c r="P310" i="4"/>
  <c r="O310" i="4"/>
  <c r="N310" i="4"/>
  <c r="G310" i="4"/>
  <c r="E310" i="4"/>
  <c r="P309" i="4"/>
  <c r="O309" i="4"/>
  <c r="N309" i="4"/>
  <c r="G309" i="4"/>
  <c r="E309" i="4"/>
  <c r="P308" i="4"/>
  <c r="O308" i="4"/>
  <c r="N308" i="4"/>
  <c r="G308" i="4"/>
  <c r="E308" i="4"/>
  <c r="P307" i="4"/>
  <c r="O307" i="4"/>
  <c r="N307" i="4"/>
  <c r="G307" i="4"/>
  <c r="E307" i="4"/>
  <c r="P306" i="4"/>
  <c r="O306" i="4"/>
  <c r="N306" i="4"/>
  <c r="G306" i="4"/>
  <c r="E306" i="4"/>
  <c r="P305" i="4"/>
  <c r="O305" i="4"/>
  <c r="N305" i="4"/>
  <c r="G305" i="4"/>
  <c r="E305" i="4"/>
  <c r="P304" i="4"/>
  <c r="O304" i="4"/>
  <c r="N304" i="4"/>
  <c r="G304" i="4"/>
  <c r="E304" i="4"/>
  <c r="P303" i="4"/>
  <c r="O303" i="4"/>
  <c r="N303" i="4"/>
  <c r="G303" i="4"/>
  <c r="E303" i="4"/>
  <c r="P302" i="4"/>
  <c r="O302" i="4"/>
  <c r="N302" i="4"/>
  <c r="G302" i="4"/>
  <c r="E302" i="4"/>
  <c r="P301" i="4"/>
  <c r="O301" i="4"/>
  <c r="N301" i="4"/>
  <c r="G301" i="4"/>
  <c r="E301" i="4"/>
  <c r="P300" i="4"/>
  <c r="O300" i="4"/>
  <c r="N300" i="4"/>
  <c r="G300" i="4"/>
  <c r="E300" i="4"/>
  <c r="P299" i="4"/>
  <c r="O299" i="4"/>
  <c r="N299" i="4"/>
  <c r="G299" i="4"/>
  <c r="E299" i="4"/>
  <c r="P298" i="4"/>
  <c r="O298" i="4"/>
  <c r="N298" i="4"/>
  <c r="G298" i="4"/>
  <c r="E298" i="4"/>
  <c r="P297" i="4"/>
  <c r="O297" i="4"/>
  <c r="N297" i="4"/>
  <c r="G297" i="4"/>
  <c r="E297" i="4"/>
  <c r="P296" i="4"/>
  <c r="O296" i="4"/>
  <c r="N296" i="4"/>
  <c r="G296" i="4"/>
  <c r="E296" i="4"/>
  <c r="P295" i="4"/>
  <c r="O295" i="4"/>
  <c r="N295" i="4"/>
  <c r="G295" i="4"/>
  <c r="E295" i="4"/>
  <c r="P294" i="4"/>
  <c r="O294" i="4"/>
  <c r="N294" i="4"/>
  <c r="G294" i="4"/>
  <c r="E294" i="4"/>
  <c r="P293" i="4"/>
  <c r="O293" i="4"/>
  <c r="N293" i="4"/>
  <c r="G293" i="4"/>
  <c r="E293" i="4"/>
  <c r="P292" i="4"/>
  <c r="O292" i="4"/>
  <c r="N292" i="4"/>
  <c r="G292" i="4"/>
  <c r="E292" i="4"/>
  <c r="P291" i="4"/>
  <c r="O291" i="4"/>
  <c r="N291" i="4"/>
  <c r="G291" i="4"/>
  <c r="E291" i="4"/>
  <c r="P290" i="4"/>
  <c r="O290" i="4"/>
  <c r="N290" i="4"/>
  <c r="G290" i="4"/>
  <c r="E290" i="4"/>
  <c r="P289" i="4"/>
  <c r="O289" i="4"/>
  <c r="N289" i="4"/>
  <c r="G289" i="4"/>
  <c r="E289" i="4"/>
  <c r="P288" i="4"/>
  <c r="O288" i="4"/>
  <c r="N288" i="4"/>
  <c r="G288" i="4"/>
  <c r="E288" i="4"/>
  <c r="P287" i="4"/>
  <c r="O287" i="4"/>
  <c r="N287" i="4"/>
  <c r="G287" i="4"/>
  <c r="E287" i="4"/>
  <c r="P286" i="4"/>
  <c r="O286" i="4"/>
  <c r="N286" i="4"/>
  <c r="G286" i="4"/>
  <c r="E286" i="4"/>
  <c r="P285" i="4"/>
  <c r="O285" i="4"/>
  <c r="N285" i="4"/>
  <c r="G285" i="4"/>
  <c r="E285" i="4"/>
  <c r="P284" i="4"/>
  <c r="O284" i="4"/>
  <c r="N284" i="4"/>
  <c r="G284" i="4"/>
  <c r="E284" i="4"/>
  <c r="P283" i="4"/>
  <c r="O283" i="4"/>
  <c r="N283" i="4"/>
  <c r="G283" i="4"/>
  <c r="E283" i="4"/>
  <c r="P282" i="4"/>
  <c r="O282" i="4"/>
  <c r="N282" i="4"/>
  <c r="G282" i="4"/>
  <c r="E282" i="4"/>
  <c r="P281" i="4"/>
  <c r="O281" i="4"/>
  <c r="N281" i="4"/>
  <c r="G281" i="4"/>
  <c r="E281" i="4"/>
  <c r="P280" i="4"/>
  <c r="O280" i="4"/>
  <c r="N280" i="4"/>
  <c r="G280" i="4"/>
  <c r="E280" i="4"/>
  <c r="P279" i="4"/>
  <c r="O279" i="4"/>
  <c r="N279" i="4"/>
  <c r="G279" i="4"/>
  <c r="E279" i="4"/>
  <c r="P278" i="4"/>
  <c r="O278" i="4"/>
  <c r="N278" i="4"/>
  <c r="G278" i="4"/>
  <c r="E278" i="4"/>
  <c r="P277" i="4"/>
  <c r="O277" i="4"/>
  <c r="N277" i="4"/>
  <c r="G277" i="4"/>
  <c r="E277" i="4"/>
  <c r="P276" i="4"/>
  <c r="O276" i="4"/>
  <c r="N276" i="4"/>
  <c r="G276" i="4"/>
  <c r="E276" i="4"/>
  <c r="P275" i="4"/>
  <c r="O275" i="4"/>
  <c r="N275" i="4"/>
  <c r="G275" i="4"/>
  <c r="E275" i="4"/>
  <c r="P274" i="4"/>
  <c r="O274" i="4"/>
  <c r="N274" i="4"/>
  <c r="G274" i="4"/>
  <c r="E274" i="4"/>
  <c r="P273" i="4"/>
  <c r="O273" i="4"/>
  <c r="N273" i="4"/>
  <c r="G273" i="4"/>
  <c r="E273" i="4"/>
  <c r="P272" i="4"/>
  <c r="O272" i="4"/>
  <c r="N272" i="4"/>
  <c r="G272" i="4"/>
  <c r="E272" i="4"/>
  <c r="P271" i="4"/>
  <c r="O271" i="4"/>
  <c r="N271" i="4"/>
  <c r="G271" i="4"/>
  <c r="E271" i="4"/>
  <c r="P270" i="4"/>
  <c r="O270" i="4"/>
  <c r="N270" i="4"/>
  <c r="G270" i="4"/>
  <c r="E270" i="4"/>
  <c r="P269" i="4"/>
  <c r="O269" i="4"/>
  <c r="N269" i="4"/>
  <c r="G269" i="4"/>
  <c r="E269" i="4"/>
  <c r="P268" i="4"/>
  <c r="O268" i="4"/>
  <c r="N268" i="4"/>
  <c r="G268" i="4"/>
  <c r="E268" i="4"/>
  <c r="P267" i="4"/>
  <c r="O267" i="4"/>
  <c r="N267" i="4"/>
  <c r="G267" i="4"/>
  <c r="E267" i="4"/>
  <c r="P266" i="4"/>
  <c r="O266" i="4"/>
  <c r="N266" i="4"/>
  <c r="G266" i="4"/>
  <c r="E266" i="4"/>
  <c r="P265" i="4"/>
  <c r="O265" i="4"/>
  <c r="N265" i="4"/>
  <c r="G265" i="4"/>
  <c r="E265" i="4"/>
  <c r="P264" i="4"/>
  <c r="O264" i="4"/>
  <c r="N264" i="4"/>
  <c r="G264" i="4"/>
  <c r="E264" i="4"/>
  <c r="P263" i="4"/>
  <c r="O263" i="4"/>
  <c r="N263" i="4"/>
  <c r="G263" i="4"/>
  <c r="E263" i="4"/>
  <c r="P262" i="4"/>
  <c r="O262" i="4"/>
  <c r="N262" i="4"/>
  <c r="G262" i="4"/>
  <c r="E262" i="4"/>
  <c r="P261" i="4"/>
  <c r="O261" i="4"/>
  <c r="N261" i="4"/>
  <c r="G261" i="4"/>
  <c r="E261" i="4"/>
  <c r="P260" i="4"/>
  <c r="O260" i="4"/>
  <c r="N260" i="4"/>
  <c r="G260" i="4"/>
  <c r="E260" i="4"/>
  <c r="P259" i="4"/>
  <c r="O259" i="4"/>
  <c r="N259" i="4"/>
  <c r="G259" i="4"/>
  <c r="E259" i="4"/>
  <c r="P258" i="4"/>
  <c r="O258" i="4"/>
  <c r="N258" i="4"/>
  <c r="G258" i="4"/>
  <c r="E258" i="4"/>
  <c r="P257" i="4"/>
  <c r="O257" i="4"/>
  <c r="N257" i="4"/>
  <c r="G257" i="4"/>
  <c r="E257" i="4"/>
  <c r="P256" i="4"/>
  <c r="O256" i="4"/>
  <c r="N256" i="4"/>
  <c r="G256" i="4"/>
  <c r="E256" i="4"/>
  <c r="P255" i="4"/>
  <c r="O255" i="4"/>
  <c r="N255" i="4"/>
  <c r="G255" i="4"/>
  <c r="E255" i="4"/>
  <c r="P254" i="4"/>
  <c r="O254" i="4"/>
  <c r="N254" i="4"/>
  <c r="G254" i="4"/>
  <c r="E254" i="4"/>
  <c r="P253" i="4"/>
  <c r="O253" i="4"/>
  <c r="N253" i="4"/>
  <c r="G253" i="4"/>
  <c r="E253" i="4"/>
  <c r="P252" i="4"/>
  <c r="O252" i="4"/>
  <c r="N252" i="4"/>
  <c r="G252" i="4"/>
  <c r="E252" i="4"/>
  <c r="P251" i="4"/>
  <c r="O251" i="4"/>
  <c r="N251" i="4"/>
  <c r="G251" i="4"/>
  <c r="E251" i="4"/>
  <c r="P250" i="4"/>
  <c r="O250" i="4"/>
  <c r="N250" i="4"/>
  <c r="G250" i="4"/>
  <c r="E250" i="4"/>
  <c r="P249" i="4"/>
  <c r="O249" i="4"/>
  <c r="N249" i="4"/>
  <c r="G249" i="4"/>
  <c r="E249" i="4"/>
  <c r="P248" i="4"/>
  <c r="O248" i="4"/>
  <c r="N248" i="4"/>
  <c r="G248" i="4"/>
  <c r="E248" i="4"/>
  <c r="P247" i="4"/>
  <c r="O247" i="4"/>
  <c r="N247" i="4"/>
  <c r="G247" i="4"/>
  <c r="E247" i="4"/>
  <c r="P246" i="4"/>
  <c r="O246" i="4"/>
  <c r="N246" i="4"/>
  <c r="G246" i="4"/>
  <c r="E246" i="4"/>
  <c r="P245" i="4"/>
  <c r="O245" i="4"/>
  <c r="N245" i="4"/>
  <c r="G245" i="4"/>
  <c r="E245" i="4"/>
  <c r="P244" i="4"/>
  <c r="O244" i="4"/>
  <c r="N244" i="4"/>
  <c r="G244" i="4"/>
  <c r="E244" i="4"/>
  <c r="P243" i="4"/>
  <c r="O243" i="4"/>
  <c r="N243" i="4"/>
  <c r="G243" i="4"/>
  <c r="E243" i="4"/>
  <c r="P242" i="4"/>
  <c r="O242" i="4"/>
  <c r="N242" i="4"/>
  <c r="G242" i="4"/>
  <c r="E242" i="4"/>
  <c r="P241" i="4"/>
  <c r="O241" i="4"/>
  <c r="N241" i="4"/>
  <c r="G241" i="4"/>
  <c r="E241" i="4"/>
  <c r="P240" i="4"/>
  <c r="O240" i="4"/>
  <c r="N240" i="4"/>
  <c r="G240" i="4"/>
  <c r="E240" i="4"/>
  <c r="P239" i="4"/>
  <c r="O239" i="4"/>
  <c r="N239" i="4"/>
  <c r="G239" i="4"/>
  <c r="E239" i="4"/>
  <c r="P238" i="4"/>
  <c r="O238" i="4"/>
  <c r="N238" i="4"/>
  <c r="G238" i="4"/>
  <c r="E238" i="4"/>
  <c r="P237" i="4"/>
  <c r="O237" i="4"/>
  <c r="N237" i="4"/>
  <c r="G237" i="4"/>
  <c r="E237" i="4"/>
  <c r="P236" i="4"/>
  <c r="O236" i="4"/>
  <c r="N236" i="4"/>
  <c r="G236" i="4"/>
  <c r="E236" i="4"/>
  <c r="P235" i="4"/>
  <c r="O235" i="4"/>
  <c r="N235" i="4"/>
  <c r="G235" i="4"/>
  <c r="E235" i="4"/>
  <c r="P234" i="4"/>
  <c r="O234" i="4"/>
  <c r="N234" i="4"/>
  <c r="G234" i="4"/>
  <c r="E234" i="4"/>
  <c r="P233" i="4"/>
  <c r="O233" i="4"/>
  <c r="N233" i="4"/>
  <c r="G233" i="4"/>
  <c r="E233" i="4"/>
  <c r="P232" i="4"/>
  <c r="O232" i="4"/>
  <c r="N232" i="4"/>
  <c r="G232" i="4"/>
  <c r="E232" i="4"/>
  <c r="P231" i="4"/>
  <c r="O231" i="4"/>
  <c r="N231" i="4"/>
  <c r="G231" i="4"/>
  <c r="E231" i="4"/>
  <c r="P230" i="4"/>
  <c r="O230" i="4"/>
  <c r="N230" i="4"/>
  <c r="G230" i="4"/>
  <c r="E230" i="4"/>
  <c r="P229" i="4"/>
  <c r="O229" i="4"/>
  <c r="N229" i="4"/>
  <c r="G229" i="4"/>
  <c r="E229" i="4"/>
  <c r="P228" i="4"/>
  <c r="O228" i="4"/>
  <c r="N228" i="4"/>
  <c r="G228" i="4"/>
  <c r="E228" i="4"/>
  <c r="P227" i="4"/>
  <c r="O227" i="4"/>
  <c r="N227" i="4"/>
  <c r="G227" i="4"/>
  <c r="E227" i="4"/>
  <c r="P226" i="4"/>
  <c r="O226" i="4"/>
  <c r="N226" i="4"/>
  <c r="G226" i="4"/>
  <c r="E226" i="4"/>
  <c r="P225" i="4"/>
  <c r="O225" i="4"/>
  <c r="N225" i="4"/>
  <c r="G225" i="4"/>
  <c r="E225" i="4"/>
  <c r="P224" i="4"/>
  <c r="O224" i="4"/>
  <c r="N224" i="4"/>
  <c r="G224" i="4"/>
  <c r="E224" i="4"/>
  <c r="P223" i="4"/>
  <c r="O223" i="4"/>
  <c r="N223" i="4"/>
  <c r="G223" i="4"/>
  <c r="E223" i="4"/>
  <c r="P222" i="4"/>
  <c r="O222" i="4"/>
  <c r="N222" i="4"/>
  <c r="G222" i="4"/>
  <c r="E222" i="4"/>
  <c r="P221" i="4"/>
  <c r="O221" i="4"/>
  <c r="N221" i="4"/>
  <c r="G221" i="4"/>
  <c r="E221" i="4"/>
  <c r="P220" i="4"/>
  <c r="O220" i="4"/>
  <c r="N220" i="4"/>
  <c r="G220" i="4"/>
  <c r="E220" i="4"/>
  <c r="P219" i="4"/>
  <c r="O219" i="4"/>
  <c r="N219" i="4"/>
  <c r="G219" i="4"/>
  <c r="E219" i="4"/>
  <c r="P218" i="4"/>
  <c r="O218" i="4"/>
  <c r="N218" i="4"/>
  <c r="G218" i="4"/>
  <c r="E218" i="4"/>
  <c r="P217" i="4"/>
  <c r="O217" i="4"/>
  <c r="N217" i="4"/>
  <c r="G217" i="4"/>
  <c r="E217" i="4"/>
  <c r="P216" i="4"/>
  <c r="O216" i="4"/>
  <c r="N216" i="4"/>
  <c r="G216" i="4"/>
  <c r="E216" i="4"/>
  <c r="P215" i="4"/>
  <c r="O215" i="4"/>
  <c r="N215" i="4"/>
  <c r="G215" i="4"/>
  <c r="E215" i="4"/>
  <c r="P214" i="4"/>
  <c r="O214" i="4"/>
  <c r="N214" i="4"/>
  <c r="G214" i="4"/>
  <c r="E214" i="4"/>
  <c r="P213" i="4"/>
  <c r="O213" i="4"/>
  <c r="N213" i="4"/>
  <c r="G213" i="4"/>
  <c r="E213" i="4"/>
  <c r="P212" i="4"/>
  <c r="O212" i="4"/>
  <c r="N212" i="4"/>
  <c r="G212" i="4"/>
  <c r="E212" i="4"/>
  <c r="P211" i="4"/>
  <c r="O211" i="4"/>
  <c r="N211" i="4"/>
  <c r="G211" i="4"/>
  <c r="E211" i="4"/>
  <c r="P210" i="4"/>
  <c r="O210" i="4"/>
  <c r="N210" i="4"/>
  <c r="G210" i="4"/>
  <c r="E210" i="4"/>
  <c r="P209" i="4"/>
  <c r="O209" i="4"/>
  <c r="N209" i="4"/>
  <c r="G209" i="4"/>
  <c r="E209" i="4"/>
  <c r="P208" i="4"/>
  <c r="O208" i="4"/>
  <c r="N208" i="4"/>
  <c r="G208" i="4"/>
  <c r="E208" i="4"/>
  <c r="P207" i="4"/>
  <c r="O207" i="4"/>
  <c r="N207" i="4"/>
  <c r="G207" i="4"/>
  <c r="E207" i="4"/>
  <c r="P206" i="4"/>
  <c r="O206" i="4"/>
  <c r="N206" i="4"/>
  <c r="G206" i="4"/>
  <c r="E206" i="4"/>
  <c r="P205" i="4"/>
  <c r="O205" i="4"/>
  <c r="N205" i="4"/>
  <c r="G205" i="4"/>
  <c r="E205" i="4"/>
  <c r="P204" i="4"/>
  <c r="O204" i="4"/>
  <c r="N204" i="4"/>
  <c r="G204" i="4"/>
  <c r="E204" i="4"/>
  <c r="P203" i="4"/>
  <c r="O203" i="4"/>
  <c r="N203" i="4"/>
  <c r="G203" i="4"/>
  <c r="E203" i="4"/>
  <c r="P202" i="4"/>
  <c r="O202" i="4"/>
  <c r="N202" i="4"/>
  <c r="G202" i="4"/>
  <c r="E202" i="4"/>
  <c r="P201" i="4"/>
  <c r="O201" i="4"/>
  <c r="N201" i="4"/>
  <c r="G201" i="4"/>
  <c r="E201" i="4"/>
  <c r="P200" i="4"/>
  <c r="O200" i="4"/>
  <c r="N200" i="4"/>
  <c r="G200" i="4"/>
  <c r="E200" i="4"/>
  <c r="P199" i="4"/>
  <c r="O199" i="4"/>
  <c r="N199" i="4"/>
  <c r="G199" i="4"/>
  <c r="E199" i="4"/>
  <c r="P198" i="4"/>
  <c r="O198" i="4"/>
  <c r="N198" i="4"/>
  <c r="G198" i="4"/>
  <c r="E198" i="4"/>
  <c r="P197" i="4"/>
  <c r="O197" i="4"/>
  <c r="N197" i="4"/>
  <c r="G197" i="4"/>
  <c r="E197" i="4"/>
  <c r="P196" i="4"/>
  <c r="O196" i="4"/>
  <c r="N196" i="4"/>
  <c r="G196" i="4"/>
  <c r="E196" i="4"/>
  <c r="P195" i="4"/>
  <c r="O195" i="4"/>
  <c r="N195" i="4"/>
  <c r="G195" i="4"/>
  <c r="E195" i="4"/>
  <c r="P194" i="4"/>
  <c r="O194" i="4"/>
  <c r="N194" i="4"/>
  <c r="G194" i="4"/>
  <c r="E194" i="4"/>
  <c r="P193" i="4"/>
  <c r="O193" i="4"/>
  <c r="N193" i="4"/>
  <c r="G193" i="4"/>
  <c r="E193" i="4"/>
  <c r="P192" i="4"/>
  <c r="O192" i="4"/>
  <c r="N192" i="4"/>
  <c r="G192" i="4"/>
  <c r="E192" i="4"/>
  <c r="P191" i="4"/>
  <c r="O191" i="4"/>
  <c r="N191" i="4"/>
  <c r="G191" i="4"/>
  <c r="E191" i="4"/>
  <c r="P190" i="4"/>
  <c r="O190" i="4"/>
  <c r="N190" i="4"/>
  <c r="G190" i="4"/>
  <c r="E190" i="4"/>
  <c r="P189" i="4"/>
  <c r="O189" i="4"/>
  <c r="N189" i="4"/>
  <c r="G189" i="4"/>
  <c r="E189" i="4"/>
  <c r="P188" i="4"/>
  <c r="O188" i="4"/>
  <c r="N188" i="4"/>
  <c r="G188" i="4"/>
  <c r="E188" i="4"/>
  <c r="P187" i="4"/>
  <c r="O187" i="4"/>
  <c r="N187" i="4"/>
  <c r="G187" i="4"/>
  <c r="E187" i="4"/>
  <c r="P186" i="4"/>
  <c r="O186" i="4"/>
  <c r="N186" i="4"/>
  <c r="G186" i="4"/>
  <c r="E186" i="4"/>
  <c r="P185" i="4"/>
  <c r="O185" i="4"/>
  <c r="N185" i="4"/>
  <c r="G185" i="4"/>
  <c r="E185" i="4"/>
  <c r="P184" i="4"/>
  <c r="O184" i="4"/>
  <c r="N184" i="4"/>
  <c r="G184" i="4"/>
  <c r="E184" i="4"/>
  <c r="P183" i="4"/>
  <c r="O183" i="4"/>
  <c r="N183" i="4"/>
  <c r="G183" i="4"/>
  <c r="E183" i="4"/>
  <c r="P182" i="4"/>
  <c r="O182" i="4"/>
  <c r="N182" i="4"/>
  <c r="G182" i="4"/>
  <c r="E182" i="4"/>
  <c r="P181" i="4"/>
  <c r="O181" i="4"/>
  <c r="N181" i="4"/>
  <c r="G181" i="4"/>
  <c r="E181" i="4"/>
  <c r="P180" i="4"/>
  <c r="O180" i="4"/>
  <c r="N180" i="4"/>
  <c r="G180" i="4"/>
  <c r="E180" i="4"/>
  <c r="P179" i="4"/>
  <c r="O179" i="4"/>
  <c r="N179" i="4"/>
  <c r="G179" i="4"/>
  <c r="E179" i="4"/>
  <c r="P178" i="4"/>
  <c r="O178" i="4"/>
  <c r="N178" i="4"/>
  <c r="G178" i="4"/>
  <c r="E178" i="4"/>
  <c r="P177" i="4"/>
  <c r="O177" i="4"/>
  <c r="N177" i="4"/>
  <c r="G177" i="4"/>
  <c r="E177" i="4"/>
  <c r="P176" i="4"/>
  <c r="O176" i="4"/>
  <c r="N176" i="4"/>
  <c r="G176" i="4"/>
  <c r="E176" i="4"/>
  <c r="P175" i="4"/>
  <c r="O175" i="4"/>
  <c r="N175" i="4"/>
  <c r="G175" i="4"/>
  <c r="E175" i="4"/>
  <c r="P174" i="4"/>
  <c r="O174" i="4"/>
  <c r="N174" i="4"/>
  <c r="G174" i="4"/>
  <c r="E174" i="4"/>
  <c r="P173" i="4"/>
  <c r="O173" i="4"/>
  <c r="N173" i="4"/>
  <c r="G173" i="4"/>
  <c r="E173" i="4"/>
  <c r="P172" i="4"/>
  <c r="O172" i="4"/>
  <c r="N172" i="4"/>
  <c r="G172" i="4"/>
  <c r="E172" i="4"/>
  <c r="P171" i="4"/>
  <c r="O171" i="4"/>
  <c r="N171" i="4"/>
  <c r="G171" i="4"/>
  <c r="E171" i="4"/>
  <c r="P170" i="4"/>
  <c r="O170" i="4"/>
  <c r="N170" i="4"/>
  <c r="G170" i="4"/>
  <c r="E170" i="4"/>
  <c r="P169" i="4"/>
  <c r="O169" i="4"/>
  <c r="N169" i="4"/>
  <c r="G169" i="4"/>
  <c r="E169" i="4"/>
  <c r="P168" i="4"/>
  <c r="O168" i="4"/>
  <c r="N168" i="4"/>
  <c r="G168" i="4"/>
  <c r="E168" i="4"/>
  <c r="P167" i="4"/>
  <c r="O167" i="4"/>
  <c r="N167" i="4"/>
  <c r="G167" i="4"/>
  <c r="E167" i="4"/>
  <c r="P166" i="4"/>
  <c r="O166" i="4"/>
  <c r="N166" i="4"/>
  <c r="G166" i="4"/>
  <c r="E166" i="4"/>
  <c r="P165" i="4"/>
  <c r="O165" i="4"/>
  <c r="N165" i="4"/>
  <c r="G165" i="4"/>
  <c r="E165" i="4"/>
  <c r="P164" i="4"/>
  <c r="O164" i="4"/>
  <c r="N164" i="4"/>
  <c r="G164" i="4"/>
  <c r="E164" i="4"/>
  <c r="P163" i="4"/>
  <c r="O163" i="4"/>
  <c r="N163" i="4"/>
  <c r="G163" i="4"/>
  <c r="E163" i="4"/>
  <c r="P162" i="4"/>
  <c r="O162" i="4"/>
  <c r="N162" i="4"/>
  <c r="G162" i="4"/>
  <c r="E162" i="4"/>
  <c r="P161" i="4"/>
  <c r="O161" i="4"/>
  <c r="N161" i="4"/>
  <c r="G161" i="4"/>
  <c r="E161" i="4"/>
  <c r="P160" i="4"/>
  <c r="O160" i="4"/>
  <c r="N160" i="4"/>
  <c r="G160" i="4"/>
  <c r="E160" i="4"/>
  <c r="P159" i="4"/>
  <c r="O159" i="4"/>
  <c r="N159" i="4"/>
  <c r="G159" i="4"/>
  <c r="E159" i="4"/>
  <c r="P158" i="4"/>
  <c r="O158" i="4"/>
  <c r="N158" i="4"/>
  <c r="G158" i="4"/>
  <c r="E158" i="4"/>
  <c r="P157" i="4"/>
  <c r="O157" i="4"/>
  <c r="N157" i="4"/>
  <c r="G157" i="4"/>
  <c r="E157" i="4"/>
  <c r="P156" i="4"/>
  <c r="O156" i="4"/>
  <c r="N156" i="4"/>
  <c r="G156" i="4"/>
  <c r="E156" i="4"/>
  <c r="P155" i="4"/>
  <c r="O155" i="4"/>
  <c r="N155" i="4"/>
  <c r="G155" i="4"/>
  <c r="E155" i="4"/>
  <c r="P154" i="4"/>
  <c r="O154" i="4"/>
  <c r="N154" i="4"/>
  <c r="G154" i="4"/>
  <c r="E154" i="4"/>
  <c r="P153" i="4"/>
  <c r="O153" i="4"/>
  <c r="N153" i="4"/>
  <c r="G153" i="4"/>
  <c r="E153" i="4"/>
  <c r="P152" i="4"/>
  <c r="O152" i="4"/>
  <c r="N152" i="4"/>
  <c r="G152" i="4"/>
  <c r="E152" i="4"/>
  <c r="P151" i="4"/>
  <c r="O151" i="4"/>
  <c r="N151" i="4"/>
  <c r="G151" i="4"/>
  <c r="E151" i="4"/>
  <c r="P150" i="4"/>
  <c r="O150" i="4"/>
  <c r="N150" i="4"/>
  <c r="G150" i="4"/>
  <c r="E150" i="4"/>
  <c r="P149" i="4"/>
  <c r="O149" i="4"/>
  <c r="N149" i="4"/>
  <c r="G149" i="4"/>
  <c r="E149" i="4"/>
  <c r="P148" i="4"/>
  <c r="O148" i="4"/>
  <c r="N148" i="4"/>
  <c r="G148" i="4"/>
  <c r="E148" i="4"/>
  <c r="P147" i="4"/>
  <c r="O147" i="4"/>
  <c r="N147" i="4"/>
  <c r="G147" i="4"/>
  <c r="E147" i="4"/>
  <c r="P146" i="4"/>
  <c r="O146" i="4"/>
  <c r="N146" i="4"/>
  <c r="G146" i="4"/>
  <c r="E146" i="4"/>
  <c r="P145" i="4"/>
  <c r="O145" i="4"/>
  <c r="N145" i="4"/>
  <c r="G145" i="4"/>
  <c r="E145" i="4"/>
  <c r="P144" i="4"/>
  <c r="O144" i="4"/>
  <c r="N144" i="4"/>
  <c r="G144" i="4"/>
  <c r="E144" i="4"/>
  <c r="P143" i="4"/>
  <c r="O143" i="4"/>
  <c r="N143" i="4"/>
  <c r="G143" i="4"/>
  <c r="E143" i="4"/>
  <c r="P142" i="4"/>
  <c r="O142" i="4"/>
  <c r="N142" i="4"/>
  <c r="G142" i="4"/>
  <c r="E142" i="4"/>
  <c r="P141" i="4"/>
  <c r="O141" i="4"/>
  <c r="N141" i="4"/>
  <c r="G141" i="4"/>
  <c r="E141" i="4"/>
  <c r="P140" i="4"/>
  <c r="O140" i="4"/>
  <c r="N140" i="4"/>
  <c r="G140" i="4"/>
  <c r="E140" i="4"/>
  <c r="P139" i="4"/>
  <c r="O139" i="4"/>
  <c r="N139" i="4"/>
  <c r="G139" i="4"/>
  <c r="E139" i="4"/>
  <c r="P138" i="4"/>
  <c r="O138" i="4"/>
  <c r="N138" i="4"/>
  <c r="G138" i="4"/>
  <c r="E138" i="4"/>
  <c r="P137" i="4"/>
  <c r="O137" i="4"/>
  <c r="N137" i="4"/>
  <c r="G137" i="4"/>
  <c r="E137" i="4"/>
  <c r="P136" i="4"/>
  <c r="O136" i="4"/>
  <c r="N136" i="4"/>
  <c r="G136" i="4"/>
  <c r="E136" i="4"/>
  <c r="P135" i="4"/>
  <c r="O135" i="4"/>
  <c r="N135" i="4"/>
  <c r="G135" i="4"/>
  <c r="E135" i="4"/>
  <c r="P134" i="4"/>
  <c r="O134" i="4"/>
  <c r="N134" i="4"/>
  <c r="G134" i="4"/>
  <c r="E134" i="4"/>
  <c r="P133" i="4"/>
  <c r="O133" i="4"/>
  <c r="N133" i="4"/>
  <c r="G133" i="4"/>
  <c r="E133" i="4"/>
  <c r="P132" i="4"/>
  <c r="O132" i="4"/>
  <c r="N132" i="4"/>
  <c r="G132" i="4"/>
  <c r="E132" i="4"/>
  <c r="P131" i="4"/>
  <c r="O131" i="4"/>
  <c r="N131" i="4"/>
  <c r="G131" i="4"/>
  <c r="E131" i="4"/>
  <c r="P130" i="4"/>
  <c r="O130" i="4"/>
  <c r="N130" i="4"/>
  <c r="G130" i="4"/>
  <c r="E130" i="4"/>
  <c r="P129" i="4"/>
  <c r="O129" i="4"/>
  <c r="N129" i="4"/>
  <c r="G129" i="4"/>
  <c r="E129" i="4"/>
  <c r="P128" i="4"/>
  <c r="O128" i="4"/>
  <c r="N128" i="4"/>
  <c r="G128" i="4"/>
  <c r="E128" i="4"/>
  <c r="P127" i="4"/>
  <c r="O127" i="4"/>
  <c r="N127" i="4"/>
  <c r="G127" i="4"/>
  <c r="E127" i="4"/>
  <c r="P126" i="4"/>
  <c r="O126" i="4"/>
  <c r="N126" i="4"/>
  <c r="G126" i="4"/>
  <c r="E126" i="4"/>
  <c r="P125" i="4"/>
  <c r="O125" i="4"/>
  <c r="N125" i="4"/>
  <c r="G125" i="4"/>
  <c r="E125" i="4"/>
  <c r="P124" i="4"/>
  <c r="O124" i="4"/>
  <c r="N124" i="4"/>
  <c r="G124" i="4"/>
  <c r="E124" i="4"/>
  <c r="P123" i="4"/>
  <c r="O123" i="4"/>
  <c r="N123" i="4"/>
  <c r="G123" i="4"/>
  <c r="E123" i="4"/>
  <c r="P122" i="4"/>
  <c r="O122" i="4"/>
  <c r="N122" i="4"/>
  <c r="G122" i="4"/>
  <c r="E122" i="4"/>
  <c r="P121" i="4"/>
  <c r="O121" i="4"/>
  <c r="N121" i="4"/>
  <c r="G121" i="4"/>
  <c r="E121" i="4"/>
  <c r="P120" i="4"/>
  <c r="O120" i="4"/>
  <c r="N120" i="4"/>
  <c r="G120" i="4"/>
  <c r="E120" i="4"/>
  <c r="P119" i="4"/>
  <c r="O119" i="4"/>
  <c r="N119" i="4"/>
  <c r="G119" i="4"/>
  <c r="E119" i="4"/>
  <c r="P118" i="4"/>
  <c r="O118" i="4"/>
  <c r="N118" i="4"/>
  <c r="G118" i="4"/>
  <c r="E118" i="4"/>
  <c r="P117" i="4"/>
  <c r="O117" i="4"/>
  <c r="N117" i="4"/>
  <c r="G117" i="4"/>
  <c r="E117" i="4"/>
  <c r="P116" i="4"/>
  <c r="O116" i="4"/>
  <c r="N116" i="4"/>
  <c r="G116" i="4"/>
  <c r="E116" i="4"/>
  <c r="P115" i="4"/>
  <c r="O115" i="4"/>
  <c r="N115" i="4"/>
  <c r="G115" i="4"/>
  <c r="E115" i="4"/>
  <c r="P114" i="4"/>
  <c r="O114" i="4"/>
  <c r="N114" i="4"/>
  <c r="G114" i="4"/>
  <c r="E114" i="4"/>
  <c r="P113" i="4"/>
  <c r="O113" i="4"/>
  <c r="N113" i="4"/>
  <c r="G113" i="4"/>
  <c r="E113" i="4"/>
  <c r="P112" i="4"/>
  <c r="O112" i="4"/>
  <c r="N112" i="4"/>
  <c r="G112" i="4"/>
  <c r="E112" i="4"/>
  <c r="P111" i="4"/>
  <c r="O111" i="4"/>
  <c r="N111" i="4"/>
  <c r="G111" i="4"/>
  <c r="E111" i="4"/>
  <c r="P110" i="4"/>
  <c r="O110" i="4"/>
  <c r="N110" i="4"/>
  <c r="G110" i="4"/>
  <c r="E110" i="4"/>
  <c r="P109" i="4"/>
  <c r="O109" i="4"/>
  <c r="N109" i="4"/>
  <c r="G109" i="4"/>
  <c r="E109" i="4"/>
  <c r="P108" i="4"/>
  <c r="O108" i="4"/>
  <c r="N108" i="4"/>
  <c r="G108" i="4"/>
  <c r="E108" i="4"/>
  <c r="P107" i="4"/>
  <c r="O107" i="4"/>
  <c r="N107" i="4"/>
  <c r="G107" i="4"/>
  <c r="E107" i="4"/>
  <c r="P106" i="4"/>
  <c r="O106" i="4"/>
  <c r="N106" i="4"/>
  <c r="G106" i="4"/>
  <c r="E106" i="4"/>
  <c r="P105" i="4"/>
  <c r="O105" i="4"/>
  <c r="N105" i="4"/>
  <c r="G105" i="4"/>
  <c r="E105" i="4"/>
  <c r="P104" i="4"/>
  <c r="O104" i="4"/>
  <c r="N104" i="4"/>
  <c r="G104" i="4"/>
  <c r="E104" i="4"/>
  <c r="P103" i="4"/>
  <c r="O103" i="4"/>
  <c r="N103" i="4"/>
  <c r="G103" i="4"/>
  <c r="E103" i="4"/>
  <c r="P102" i="4"/>
  <c r="O102" i="4"/>
  <c r="N102" i="4"/>
  <c r="G102" i="4"/>
  <c r="E102" i="4"/>
  <c r="P101" i="4"/>
  <c r="O101" i="4"/>
  <c r="N101" i="4"/>
  <c r="G101" i="4"/>
  <c r="E101" i="4"/>
  <c r="P100" i="4"/>
  <c r="O100" i="4"/>
  <c r="N100" i="4"/>
  <c r="G100" i="4"/>
  <c r="E100" i="4"/>
  <c r="P99" i="4"/>
  <c r="O99" i="4"/>
  <c r="N99" i="4"/>
  <c r="G99" i="4"/>
  <c r="E99" i="4"/>
  <c r="P98" i="4"/>
  <c r="O98" i="4"/>
  <c r="N98" i="4"/>
  <c r="G98" i="4"/>
  <c r="E98" i="4"/>
  <c r="P97" i="4"/>
  <c r="O97" i="4"/>
  <c r="N97" i="4"/>
  <c r="G97" i="4"/>
  <c r="E97" i="4"/>
  <c r="P96" i="4"/>
  <c r="O96" i="4"/>
  <c r="N96" i="4"/>
  <c r="G96" i="4"/>
  <c r="E96" i="4"/>
  <c r="P95" i="4"/>
  <c r="O95" i="4"/>
  <c r="N95" i="4"/>
  <c r="G95" i="4"/>
  <c r="E95" i="4"/>
  <c r="P94" i="4"/>
  <c r="O94" i="4"/>
  <c r="N94" i="4"/>
  <c r="G94" i="4"/>
  <c r="E94" i="4"/>
  <c r="P93" i="4"/>
  <c r="O93" i="4"/>
  <c r="N93" i="4"/>
  <c r="G93" i="4"/>
  <c r="E93" i="4"/>
  <c r="P92" i="4"/>
  <c r="O92" i="4"/>
  <c r="N92" i="4"/>
  <c r="G92" i="4"/>
  <c r="E92" i="4"/>
  <c r="P91" i="4"/>
  <c r="O91" i="4"/>
  <c r="N91" i="4"/>
  <c r="G91" i="4"/>
  <c r="E91" i="4"/>
  <c r="P90" i="4"/>
  <c r="O90" i="4"/>
  <c r="N90" i="4"/>
  <c r="G90" i="4"/>
  <c r="E90" i="4"/>
  <c r="P89" i="4"/>
  <c r="O89" i="4"/>
  <c r="N89" i="4"/>
  <c r="G89" i="4"/>
  <c r="E89" i="4"/>
  <c r="P88" i="4"/>
  <c r="O88" i="4"/>
  <c r="N88" i="4"/>
  <c r="G88" i="4"/>
  <c r="E88" i="4"/>
  <c r="P87" i="4"/>
  <c r="O87" i="4"/>
  <c r="N87" i="4"/>
  <c r="G87" i="4"/>
  <c r="E87" i="4"/>
  <c r="P86" i="4"/>
  <c r="O86" i="4"/>
  <c r="N86" i="4"/>
  <c r="G86" i="4"/>
  <c r="E86" i="4"/>
  <c r="P85" i="4"/>
  <c r="O85" i="4"/>
  <c r="N85" i="4"/>
  <c r="G85" i="4"/>
  <c r="E85" i="4"/>
  <c r="P84" i="4"/>
  <c r="O84" i="4"/>
  <c r="N84" i="4"/>
  <c r="G84" i="4"/>
  <c r="E84" i="4"/>
  <c r="P83" i="4"/>
  <c r="O83" i="4"/>
  <c r="N83" i="4"/>
  <c r="G83" i="4"/>
  <c r="E83" i="4"/>
  <c r="P82" i="4"/>
  <c r="O82" i="4"/>
  <c r="N82" i="4"/>
  <c r="G82" i="4"/>
  <c r="E82" i="4"/>
  <c r="P81" i="4"/>
  <c r="O81" i="4"/>
  <c r="N81" i="4"/>
  <c r="G81" i="4"/>
  <c r="E81" i="4"/>
  <c r="P80" i="4"/>
  <c r="O80" i="4"/>
  <c r="N80" i="4"/>
  <c r="G80" i="4"/>
  <c r="E80" i="4"/>
  <c r="P79" i="4"/>
  <c r="O79" i="4"/>
  <c r="N79" i="4"/>
  <c r="G79" i="4"/>
  <c r="E79" i="4"/>
  <c r="P78" i="4"/>
  <c r="O78" i="4"/>
  <c r="N78" i="4"/>
  <c r="G78" i="4"/>
  <c r="E78" i="4"/>
  <c r="P77" i="4"/>
  <c r="O77" i="4"/>
  <c r="N77" i="4"/>
  <c r="G77" i="4"/>
  <c r="E77" i="4"/>
  <c r="P76" i="4"/>
  <c r="O76" i="4"/>
  <c r="N76" i="4"/>
  <c r="G76" i="4"/>
  <c r="E76" i="4"/>
  <c r="P75" i="4"/>
  <c r="O75" i="4"/>
  <c r="N75" i="4"/>
  <c r="G75" i="4"/>
  <c r="E75" i="4"/>
  <c r="P74" i="4"/>
  <c r="O74" i="4"/>
  <c r="N74" i="4"/>
  <c r="G74" i="4"/>
  <c r="E74" i="4"/>
  <c r="P73" i="4"/>
  <c r="O73" i="4"/>
  <c r="N73" i="4"/>
  <c r="G73" i="4"/>
  <c r="E73" i="4"/>
  <c r="P72" i="4"/>
  <c r="O72" i="4"/>
  <c r="N72" i="4"/>
  <c r="G72" i="4"/>
  <c r="E72" i="4"/>
  <c r="P71" i="4"/>
  <c r="O71" i="4"/>
  <c r="N71" i="4"/>
  <c r="G71" i="4"/>
  <c r="E71" i="4"/>
  <c r="P70" i="4"/>
  <c r="O70" i="4"/>
  <c r="N70" i="4"/>
  <c r="G70" i="4"/>
  <c r="E70" i="4"/>
  <c r="P69" i="4"/>
  <c r="O69" i="4"/>
  <c r="N69" i="4"/>
  <c r="G69" i="4"/>
  <c r="E69" i="4"/>
  <c r="P68" i="4"/>
  <c r="O68" i="4"/>
  <c r="N68" i="4"/>
  <c r="G68" i="4"/>
  <c r="E68" i="4"/>
  <c r="P67" i="4"/>
  <c r="O67" i="4"/>
  <c r="N67" i="4"/>
  <c r="G67" i="4"/>
  <c r="E67" i="4"/>
  <c r="P66" i="4"/>
  <c r="O66" i="4"/>
  <c r="N66" i="4"/>
  <c r="G66" i="4"/>
  <c r="E66" i="4"/>
  <c r="P65" i="4"/>
  <c r="O65" i="4"/>
  <c r="N65" i="4"/>
  <c r="G65" i="4"/>
  <c r="E65" i="4"/>
  <c r="P64" i="4"/>
  <c r="O64" i="4"/>
  <c r="N64" i="4"/>
  <c r="G64" i="4"/>
  <c r="E64" i="4"/>
  <c r="P63" i="4"/>
  <c r="O63" i="4"/>
  <c r="N63" i="4"/>
  <c r="G63" i="4"/>
  <c r="E63" i="4"/>
  <c r="P62" i="4"/>
  <c r="O62" i="4"/>
  <c r="N62" i="4"/>
  <c r="G62" i="4"/>
  <c r="E62" i="4"/>
  <c r="P61" i="4"/>
  <c r="O61" i="4"/>
  <c r="N61" i="4"/>
  <c r="G61" i="4"/>
  <c r="E61" i="4"/>
  <c r="P60" i="4"/>
  <c r="O60" i="4"/>
  <c r="N60" i="4"/>
  <c r="G60" i="4"/>
  <c r="E60" i="4"/>
  <c r="P59" i="4"/>
  <c r="O59" i="4"/>
  <c r="N59" i="4"/>
  <c r="G59" i="4"/>
  <c r="E59" i="4"/>
  <c r="P58" i="4"/>
  <c r="O58" i="4"/>
  <c r="N58" i="4"/>
  <c r="G58" i="4"/>
  <c r="E58" i="4"/>
  <c r="P57" i="4"/>
  <c r="O57" i="4"/>
  <c r="N57" i="4"/>
  <c r="G57" i="4"/>
  <c r="E57" i="4"/>
  <c r="P56" i="4"/>
  <c r="O56" i="4"/>
  <c r="N56" i="4"/>
  <c r="G56" i="4"/>
  <c r="E56" i="4"/>
  <c r="P55" i="4"/>
  <c r="O55" i="4"/>
  <c r="N55" i="4"/>
  <c r="G55" i="4"/>
  <c r="E55" i="4"/>
  <c r="P54" i="4"/>
  <c r="O54" i="4"/>
  <c r="N54" i="4"/>
  <c r="G54" i="4"/>
  <c r="E54" i="4"/>
  <c r="P53" i="4"/>
  <c r="O53" i="4"/>
  <c r="N53" i="4"/>
  <c r="G53" i="4"/>
  <c r="E53" i="4"/>
  <c r="P52" i="4"/>
  <c r="O52" i="4"/>
  <c r="N52" i="4"/>
  <c r="G52" i="4"/>
  <c r="E52" i="4"/>
  <c r="P51" i="4"/>
  <c r="O51" i="4"/>
  <c r="N51" i="4"/>
  <c r="G51" i="4"/>
  <c r="E51" i="4"/>
  <c r="P50" i="4"/>
  <c r="O50" i="4"/>
  <c r="N50" i="4"/>
  <c r="G50" i="4"/>
  <c r="E50" i="4"/>
  <c r="P49" i="4"/>
  <c r="O49" i="4"/>
  <c r="N49" i="4"/>
  <c r="G49" i="4"/>
  <c r="E49" i="4"/>
  <c r="P48" i="4"/>
  <c r="O48" i="4"/>
  <c r="N48" i="4"/>
  <c r="G48" i="4"/>
  <c r="E48" i="4"/>
  <c r="P47" i="4"/>
  <c r="O47" i="4"/>
  <c r="N47" i="4"/>
  <c r="G47" i="4"/>
  <c r="E47" i="4"/>
  <c r="P46" i="4"/>
  <c r="O46" i="4"/>
  <c r="N46" i="4"/>
  <c r="G46" i="4"/>
  <c r="E46" i="4"/>
  <c r="P45" i="4"/>
  <c r="O45" i="4"/>
  <c r="N45" i="4"/>
  <c r="G45" i="4"/>
  <c r="E45" i="4"/>
  <c r="P44" i="4"/>
  <c r="O44" i="4"/>
  <c r="N44" i="4"/>
  <c r="G44" i="4"/>
  <c r="E44" i="4"/>
  <c r="P43" i="4"/>
  <c r="O43" i="4"/>
  <c r="N43" i="4"/>
  <c r="G43" i="4"/>
  <c r="E43" i="4"/>
  <c r="P42" i="4"/>
  <c r="O42" i="4"/>
  <c r="N42" i="4"/>
  <c r="G42" i="4"/>
  <c r="E42" i="4"/>
  <c r="P41" i="4"/>
  <c r="O41" i="4"/>
  <c r="N41" i="4"/>
  <c r="G41" i="4"/>
  <c r="E41" i="4"/>
  <c r="P40" i="4"/>
  <c r="O40" i="4"/>
  <c r="N40" i="4"/>
  <c r="G40" i="4"/>
  <c r="E40" i="4"/>
  <c r="P39" i="4"/>
  <c r="O39" i="4"/>
  <c r="N39" i="4"/>
  <c r="G39" i="4"/>
  <c r="E39" i="4"/>
  <c r="P38" i="4"/>
  <c r="O38" i="4"/>
  <c r="N38" i="4"/>
  <c r="G38" i="4"/>
  <c r="E38" i="4"/>
  <c r="P37" i="4"/>
  <c r="O37" i="4"/>
  <c r="N37" i="4"/>
  <c r="G37" i="4"/>
  <c r="E37" i="4"/>
  <c r="P36" i="4"/>
  <c r="O36" i="4"/>
  <c r="N36" i="4"/>
  <c r="G36" i="4"/>
  <c r="E36" i="4"/>
  <c r="P35" i="4"/>
  <c r="O35" i="4"/>
  <c r="N35" i="4"/>
  <c r="G35" i="4"/>
  <c r="E35" i="4"/>
  <c r="P34" i="4"/>
  <c r="O34" i="4"/>
  <c r="N34" i="4"/>
  <c r="G34" i="4"/>
  <c r="E34" i="4"/>
  <c r="P33" i="4"/>
  <c r="O33" i="4"/>
  <c r="N33" i="4"/>
  <c r="G33" i="4"/>
  <c r="E33" i="4"/>
  <c r="P32" i="4"/>
  <c r="O32" i="4"/>
  <c r="N32" i="4"/>
  <c r="G32" i="4"/>
  <c r="E32" i="4"/>
  <c r="P31" i="4"/>
  <c r="O31" i="4"/>
  <c r="N31" i="4"/>
  <c r="G31" i="4"/>
  <c r="E31" i="4"/>
  <c r="P30" i="4"/>
  <c r="O30" i="4"/>
  <c r="N30" i="4"/>
  <c r="G30" i="4"/>
  <c r="E30" i="4"/>
  <c r="P29" i="4"/>
  <c r="O29" i="4"/>
  <c r="N29" i="4"/>
  <c r="G29" i="4"/>
  <c r="E29" i="4"/>
  <c r="P28" i="4"/>
  <c r="O28" i="4"/>
  <c r="N28" i="4"/>
  <c r="G28" i="4"/>
  <c r="E28" i="4"/>
  <c r="P27" i="4"/>
  <c r="O27" i="4"/>
  <c r="N27" i="4"/>
  <c r="G27" i="4"/>
  <c r="E27" i="4"/>
  <c r="P26" i="4"/>
  <c r="O26" i="4"/>
  <c r="N26" i="4"/>
  <c r="G26" i="4"/>
  <c r="E26" i="4"/>
  <c r="P25" i="4"/>
  <c r="O25" i="4"/>
  <c r="N25" i="4"/>
  <c r="G25" i="4"/>
  <c r="E25" i="4"/>
  <c r="P24" i="4"/>
  <c r="O24" i="4"/>
  <c r="N24" i="4"/>
  <c r="G24" i="4"/>
  <c r="E24" i="4"/>
  <c r="P23" i="4"/>
  <c r="O23" i="4"/>
  <c r="N23" i="4"/>
  <c r="G23" i="4"/>
  <c r="E23" i="4"/>
  <c r="P22" i="4"/>
  <c r="O22" i="4"/>
  <c r="N22" i="4"/>
  <c r="G22" i="4"/>
  <c r="E22" i="4"/>
  <c r="P21" i="4"/>
  <c r="O21" i="4"/>
  <c r="N21" i="4"/>
  <c r="G21" i="4"/>
  <c r="E21" i="4"/>
  <c r="P20" i="4"/>
  <c r="O20" i="4"/>
  <c r="N20" i="4"/>
  <c r="G20" i="4"/>
  <c r="E20" i="4"/>
  <c r="P19" i="4"/>
  <c r="O19" i="4"/>
  <c r="N19" i="4"/>
  <c r="G19" i="4"/>
  <c r="E19" i="4"/>
  <c r="P18" i="4"/>
  <c r="O18" i="4"/>
  <c r="N18" i="4"/>
  <c r="G18" i="4"/>
  <c r="E18" i="4"/>
  <c r="P17" i="4"/>
  <c r="O17" i="4"/>
  <c r="N17" i="4"/>
  <c r="G17" i="4"/>
  <c r="E17" i="4"/>
  <c r="P16" i="4"/>
  <c r="O16" i="4"/>
  <c r="N16" i="4"/>
  <c r="G16" i="4"/>
  <c r="E16" i="4"/>
  <c r="P15" i="4"/>
  <c r="O15" i="4"/>
  <c r="N15" i="4"/>
  <c r="G15" i="4"/>
  <c r="E15" i="4"/>
  <c r="P14" i="4"/>
  <c r="O14" i="4"/>
  <c r="N14" i="4"/>
  <c r="G14" i="4"/>
  <c r="E14" i="4"/>
  <c r="P13" i="4"/>
  <c r="O13" i="4"/>
  <c r="N13" i="4"/>
  <c r="G13" i="4"/>
  <c r="E13" i="4"/>
  <c r="P12" i="4"/>
  <c r="O12" i="4"/>
  <c r="N12" i="4"/>
  <c r="G12" i="4"/>
  <c r="E12" i="4"/>
  <c r="P11" i="4"/>
  <c r="O11" i="4"/>
  <c r="N11" i="4"/>
  <c r="G11" i="4"/>
  <c r="E11" i="4"/>
  <c r="P10" i="4"/>
  <c r="O10" i="4"/>
  <c r="N10" i="4"/>
  <c r="G10" i="4"/>
  <c r="E10" i="4"/>
  <c r="P9" i="4"/>
  <c r="O9" i="4"/>
  <c r="N9" i="4"/>
  <c r="G9" i="4"/>
  <c r="E9" i="4"/>
  <c r="P8" i="4"/>
  <c r="O8" i="4"/>
  <c r="N8" i="4"/>
  <c r="G8" i="4"/>
  <c r="E8" i="4"/>
  <c r="P7" i="4"/>
  <c r="O7" i="4"/>
  <c r="N7" i="4"/>
  <c r="G7" i="4"/>
  <c r="E7" i="4"/>
  <c r="P6" i="4"/>
  <c r="O6" i="4"/>
  <c r="N6" i="4"/>
  <c r="G6" i="4"/>
  <c r="E6" i="4"/>
  <c r="P5" i="4"/>
  <c r="O5" i="4"/>
  <c r="N5" i="4"/>
  <c r="G5" i="4"/>
  <c r="E5" i="4"/>
  <c r="P4" i="4"/>
  <c r="O4" i="4"/>
  <c r="N4" i="4"/>
  <c r="G4" i="4"/>
  <c r="E4" i="4"/>
  <c r="P3" i="4"/>
  <c r="O3" i="4"/>
  <c r="N3" i="4"/>
  <c r="G3" i="4"/>
  <c r="E3" i="4"/>
  <c r="P2" i="4"/>
  <c r="O2" i="4"/>
  <c r="N2" i="4"/>
  <c r="G2" i="4"/>
  <c r="E2" i="4"/>
  <c r="L414" i="3" l="1"/>
  <c r="L338" i="4"/>
  <c r="L290" i="4"/>
  <c r="L284" i="4"/>
  <c r="L282" i="4"/>
  <c r="L274" i="4"/>
  <c r="L210" i="4"/>
  <c r="L208" i="4"/>
  <c r="L206" i="4"/>
  <c r="L133" i="4"/>
  <c r="L416" i="3"/>
  <c r="L306" i="4"/>
  <c r="L307" i="3"/>
  <c r="L305" i="3"/>
  <c r="L10" i="4"/>
  <c r="L35" i="3"/>
  <c r="L325" i="4"/>
  <c r="L197" i="4"/>
  <c r="L71" i="3"/>
  <c r="L55" i="3"/>
  <c r="L358" i="3"/>
  <c r="L356" i="3"/>
  <c r="L354" i="3"/>
  <c r="L350" i="3"/>
  <c r="L296" i="3"/>
  <c r="L294" i="3"/>
  <c r="L286" i="3"/>
  <c r="L232" i="3"/>
  <c r="L184" i="3"/>
  <c r="L178" i="3"/>
  <c r="L168" i="3"/>
  <c r="L150" i="3"/>
  <c r="L72" i="3"/>
  <c r="L48" i="3"/>
  <c r="L16" i="3"/>
  <c r="L14" i="3"/>
  <c r="L12" i="3"/>
  <c r="L74" i="4"/>
  <c r="L72" i="4"/>
  <c r="L136" i="3"/>
  <c r="L336" i="4"/>
  <c r="L382" i="3"/>
  <c r="L360" i="3"/>
  <c r="L183" i="3"/>
  <c r="L115" i="3"/>
  <c r="L107" i="3"/>
  <c r="L105" i="3"/>
  <c r="L8" i="3"/>
  <c r="L242" i="4"/>
  <c r="L240" i="4"/>
  <c r="L390" i="3"/>
  <c r="L386" i="3"/>
  <c r="L288" i="3"/>
  <c r="L261" i="3"/>
  <c r="L253" i="3"/>
  <c r="L143" i="3"/>
  <c r="L93" i="3"/>
  <c r="L75" i="3"/>
  <c r="L73" i="3"/>
  <c r="L429" i="4"/>
  <c r="L421" i="4"/>
  <c r="L397" i="4"/>
  <c r="L389" i="4"/>
  <c r="L357" i="4"/>
  <c r="L353" i="4"/>
  <c r="L341" i="4"/>
  <c r="L327" i="4"/>
  <c r="L162" i="4"/>
  <c r="L154" i="4"/>
  <c r="L150" i="4"/>
  <c r="L132" i="4"/>
  <c r="L122" i="4"/>
  <c r="L90" i="4"/>
  <c r="L82" i="4"/>
  <c r="L178" i="4"/>
  <c r="L170" i="4"/>
  <c r="L318" i="3"/>
  <c r="L256" i="3"/>
  <c r="L254" i="3"/>
  <c r="L144" i="3"/>
  <c r="L104" i="3"/>
  <c r="L381" i="4"/>
  <c r="L379" i="4"/>
  <c r="L371" i="4"/>
  <c r="L301" i="4"/>
  <c r="L299" i="4"/>
  <c r="L293" i="4"/>
  <c r="L269" i="4"/>
  <c r="L267" i="4"/>
  <c r="L261" i="4"/>
  <c r="L229" i="4"/>
  <c r="L225" i="4"/>
  <c r="L213" i="4"/>
  <c r="L199" i="4"/>
  <c r="L371" i="3"/>
  <c r="L369" i="3"/>
  <c r="L40" i="3"/>
  <c r="L418" i="4"/>
  <c r="L412" i="4"/>
  <c r="L410" i="4"/>
  <c r="L402" i="4"/>
  <c r="L370" i="4"/>
  <c r="L368" i="4"/>
  <c r="L253" i="4"/>
  <c r="L173" i="4"/>
  <c r="L171" i="4"/>
  <c r="L165" i="4"/>
  <c r="L121" i="4"/>
  <c r="L109" i="4"/>
  <c r="L73" i="4"/>
  <c r="L67" i="4"/>
  <c r="L413" i="3"/>
  <c r="L319" i="3"/>
  <c r="L62" i="3"/>
  <c r="L426" i="4"/>
  <c r="L400" i="4"/>
  <c r="L333" i="4"/>
  <c r="L331" i="4"/>
  <c r="L298" i="4"/>
  <c r="L272" i="4"/>
  <c r="L205" i="4"/>
  <c r="L203" i="4"/>
  <c r="L422" i="3"/>
  <c r="L418" i="3"/>
  <c r="L392" i="3"/>
  <c r="L375" i="3"/>
  <c r="L349" i="3"/>
  <c r="L308" i="3"/>
  <c r="L290" i="3"/>
  <c r="L240" i="3"/>
  <c r="L197" i="3"/>
  <c r="L189" i="3"/>
  <c r="L132" i="3"/>
  <c r="L96" i="3"/>
  <c r="L90" i="3"/>
  <c r="L88" i="3"/>
  <c r="L80" i="3"/>
  <c r="L29" i="3"/>
  <c r="L11" i="3"/>
  <c r="L9" i="3"/>
  <c r="L423" i="4"/>
  <c r="L386" i="4"/>
  <c r="L380" i="4"/>
  <c r="L378" i="4"/>
  <c r="L349" i="4"/>
  <c r="L347" i="4"/>
  <c r="L321" i="4"/>
  <c r="L309" i="4"/>
  <c r="L295" i="4"/>
  <c r="L266" i="4"/>
  <c r="L258" i="4"/>
  <c r="L252" i="4"/>
  <c r="L250" i="4"/>
  <c r="L221" i="4"/>
  <c r="L193" i="4"/>
  <c r="L181" i="4"/>
  <c r="L167" i="4"/>
  <c r="L146" i="4"/>
  <c r="L130" i="4"/>
  <c r="L100" i="4"/>
  <c r="L98" i="4"/>
  <c r="L29" i="4"/>
  <c r="L13" i="4"/>
  <c r="L424" i="3"/>
  <c r="L408" i="3"/>
  <c r="L406" i="3"/>
  <c r="L400" i="3"/>
  <c r="L398" i="3"/>
  <c r="L396" i="3"/>
  <c r="L394" i="3"/>
  <c r="L384" i="3"/>
  <c r="L339" i="3"/>
  <c r="L337" i="3"/>
  <c r="L272" i="3"/>
  <c r="L266" i="3"/>
  <c r="L248" i="3"/>
  <c r="L242" i="3"/>
  <c r="L176" i="3"/>
  <c r="L141" i="3"/>
  <c r="L137" i="3"/>
  <c r="L131" i="3"/>
  <c r="L123" i="3"/>
  <c r="L100" i="3"/>
  <c r="L94" i="3"/>
  <c r="L64" i="3"/>
  <c r="L58" i="3"/>
  <c r="L3" i="3"/>
  <c r="L428" i="3"/>
  <c r="L147" i="3"/>
  <c r="L2" i="3"/>
  <c r="L417" i="4"/>
  <c r="L405" i="4"/>
  <c r="L391" i="4"/>
  <c r="L354" i="4"/>
  <c r="L348" i="4"/>
  <c r="L346" i="4"/>
  <c r="L317" i="4"/>
  <c r="L289" i="4"/>
  <c r="L277" i="4"/>
  <c r="L263" i="4"/>
  <c r="L234" i="4"/>
  <c r="L226" i="4"/>
  <c r="L220" i="4"/>
  <c r="L218" i="4"/>
  <c r="L189" i="4"/>
  <c r="L157" i="4"/>
  <c r="L141" i="4"/>
  <c r="L139" i="4"/>
  <c r="L137" i="4"/>
  <c r="L125" i="4"/>
  <c r="L111" i="4"/>
  <c r="L80" i="4"/>
  <c r="L76" i="4"/>
  <c r="L26" i="4"/>
  <c r="L24" i="4"/>
  <c r="L20" i="4"/>
  <c r="L18" i="4"/>
  <c r="L412" i="3"/>
  <c r="L374" i="3"/>
  <c r="L368" i="3"/>
  <c r="L366" i="3"/>
  <c r="L364" i="3"/>
  <c r="L362" i="3"/>
  <c r="L352" i="3"/>
  <c r="L311" i="3"/>
  <c r="L284" i="3"/>
  <c r="L276" i="3"/>
  <c r="L260" i="3"/>
  <c r="L214" i="3"/>
  <c r="L206" i="3"/>
  <c r="L192" i="3"/>
  <c r="L190" i="3"/>
  <c r="L166" i="3"/>
  <c r="L160" i="3"/>
  <c r="L158" i="3"/>
  <c r="L154" i="3"/>
  <c r="L91" i="3"/>
  <c r="L68" i="3"/>
  <c r="L362" i="4"/>
  <c r="L101" i="4"/>
  <c r="L405" i="3"/>
  <c r="L328" i="3"/>
  <c r="L320" i="3"/>
  <c r="L301" i="3"/>
  <c r="L228" i="3"/>
  <c r="L220" i="3"/>
  <c r="L196" i="3"/>
  <c r="L142" i="3"/>
  <c r="L119" i="3"/>
  <c r="L59" i="3"/>
  <c r="L413" i="4"/>
  <c r="L411" i="4"/>
  <c r="L403" i="4"/>
  <c r="L385" i="4"/>
  <c r="L373" i="4"/>
  <c r="L359" i="4"/>
  <c r="L322" i="4"/>
  <c r="L316" i="4"/>
  <c r="L314" i="4"/>
  <c r="L285" i="4"/>
  <c r="L257" i="4"/>
  <c r="L245" i="4"/>
  <c r="L231" i="4"/>
  <c r="L202" i="4"/>
  <c r="L194" i="4"/>
  <c r="L188" i="4"/>
  <c r="L186" i="4"/>
  <c r="L107" i="4"/>
  <c r="L105" i="4"/>
  <c r="L66" i="4"/>
  <c r="L62" i="4"/>
  <c r="L54" i="4"/>
  <c r="L380" i="3"/>
  <c r="L376" i="3"/>
  <c r="L372" i="3"/>
  <c r="L336" i="3"/>
  <c r="L326" i="3"/>
  <c r="L324" i="3"/>
  <c r="L322" i="3"/>
  <c r="L287" i="3"/>
  <c r="L283" i="3"/>
  <c r="L281" i="3"/>
  <c r="L275" i="3"/>
  <c r="L273" i="3"/>
  <c r="L164" i="3"/>
  <c r="L61" i="3"/>
  <c r="L36" i="3"/>
  <c r="L394" i="4"/>
  <c r="L114" i="4"/>
  <c r="L5" i="4"/>
  <c r="L365" i="4"/>
  <c r="L330" i="4"/>
  <c r="L304" i="4"/>
  <c r="L237" i="4"/>
  <c r="L235" i="4"/>
  <c r="L176" i="4"/>
  <c r="L174" i="4"/>
  <c r="L63" i="4"/>
  <c r="L61" i="4"/>
  <c r="L55" i="4"/>
  <c r="L53" i="4"/>
  <c r="L47" i="4"/>
  <c r="L45" i="4"/>
  <c r="L39" i="4"/>
  <c r="L429" i="3"/>
  <c r="L312" i="3"/>
  <c r="L310" i="3"/>
  <c r="L304" i="3"/>
  <c r="L279" i="3"/>
  <c r="L247" i="3"/>
  <c r="L239" i="3"/>
  <c r="L211" i="3"/>
  <c r="L209" i="3"/>
  <c r="L171" i="3"/>
  <c r="L169" i="3"/>
  <c r="L134" i="3"/>
  <c r="L126" i="3"/>
  <c r="L122" i="3"/>
  <c r="L120" i="3"/>
  <c r="L112" i="3"/>
  <c r="L87" i="3"/>
  <c r="L67" i="3"/>
  <c r="L43" i="3"/>
  <c r="L41" i="3"/>
  <c r="L28" i="3"/>
  <c r="L20" i="3"/>
  <c r="L393" i="4"/>
  <c r="L361" i="4"/>
  <c r="L297" i="4"/>
  <c r="L280" i="4"/>
  <c r="L422" i="4"/>
  <c r="L416" i="4"/>
  <c r="L401" i="4"/>
  <c r="L390" i="4"/>
  <c r="L384" i="4"/>
  <c r="L369" i="4"/>
  <c r="L358" i="4"/>
  <c r="L352" i="4"/>
  <c r="L337" i="4"/>
  <c r="L326" i="4"/>
  <c r="L320" i="4"/>
  <c r="L305" i="4"/>
  <c r="L294" i="4"/>
  <c r="L288" i="4"/>
  <c r="L273" i="4"/>
  <c r="L262" i="4"/>
  <c r="L256" i="4"/>
  <c r="L241" i="4"/>
  <c r="L230" i="4"/>
  <c r="L224" i="4"/>
  <c r="L209" i="4"/>
  <c r="L192" i="4"/>
  <c r="L190" i="4"/>
  <c r="L177" i="4"/>
  <c r="L158" i="4"/>
  <c r="L156" i="4"/>
  <c r="L106" i="4"/>
  <c r="L104" i="4"/>
  <c r="L102" i="4"/>
  <c r="L81" i="4"/>
  <c r="L75" i="4"/>
  <c r="L71" i="4"/>
  <c r="L69" i="4"/>
  <c r="L46" i="4"/>
  <c r="L38" i="4"/>
  <c r="L30" i="4"/>
  <c r="L16" i="4"/>
  <c r="L12" i="4"/>
  <c r="L383" i="3"/>
  <c r="L379" i="3"/>
  <c r="L377" i="3"/>
  <c r="L224" i="3"/>
  <c r="L216" i="3"/>
  <c r="L208" i="3"/>
  <c r="L202" i="3"/>
  <c r="L200" i="3"/>
  <c r="L194" i="3"/>
  <c r="L116" i="3"/>
  <c r="L86" i="3"/>
  <c r="L79" i="3"/>
  <c r="L51" i="3"/>
  <c r="L30" i="3"/>
  <c r="L414" i="4"/>
  <c r="L350" i="4"/>
  <c r="L312" i="4"/>
  <c r="L254" i="4"/>
  <c r="L233" i="4"/>
  <c r="L169" i="4"/>
  <c r="L96" i="4"/>
  <c r="L57" i="4"/>
  <c r="L427" i="4"/>
  <c r="L415" i="4"/>
  <c r="L404" i="4"/>
  <c r="L395" i="4"/>
  <c r="L383" i="4"/>
  <c r="L372" i="4"/>
  <c r="L363" i="4"/>
  <c r="L351" i="4"/>
  <c r="L340" i="4"/>
  <c r="L323" i="4"/>
  <c r="L319" i="4"/>
  <c r="L308" i="4"/>
  <c r="L291" i="4"/>
  <c r="L287" i="4"/>
  <c r="L276" i="4"/>
  <c r="L259" i="4"/>
  <c r="L255" i="4"/>
  <c r="L244" i="4"/>
  <c r="L227" i="4"/>
  <c r="L223" i="4"/>
  <c r="L212" i="4"/>
  <c r="L195" i="4"/>
  <c r="L191" i="4"/>
  <c r="L180" i="4"/>
  <c r="L138" i="4"/>
  <c r="L136" i="4"/>
  <c r="L134" i="4"/>
  <c r="L113" i="4"/>
  <c r="L103" i="4"/>
  <c r="L88" i="4"/>
  <c r="L86" i="4"/>
  <c r="L84" i="4"/>
  <c r="L351" i="3"/>
  <c r="L347" i="3"/>
  <c r="L345" i="3"/>
  <c r="L285" i="3"/>
  <c r="L235" i="3"/>
  <c r="L233" i="3"/>
  <c r="L152" i="3"/>
  <c r="L92" i="3"/>
  <c r="L84" i="3"/>
  <c r="L47" i="3"/>
  <c r="L19" i="3"/>
  <c r="L265" i="4"/>
  <c r="L216" i="4"/>
  <c r="L160" i="4"/>
  <c r="L115" i="4"/>
  <c r="L65" i="4"/>
  <c r="L51" i="4"/>
  <c r="L406" i="4"/>
  <c r="L374" i="4"/>
  <c r="L342" i="4"/>
  <c r="L310" i="4"/>
  <c r="L278" i="4"/>
  <c r="L246" i="4"/>
  <c r="L214" i="4"/>
  <c r="L343" i="3"/>
  <c r="L300" i="3"/>
  <c r="L227" i="3"/>
  <c r="L225" i="3"/>
  <c r="L135" i="3"/>
  <c r="L101" i="3"/>
  <c r="L56" i="3"/>
  <c r="L39" i="3"/>
  <c r="L425" i="4"/>
  <c r="L382" i="4"/>
  <c r="L329" i="4"/>
  <c r="L318" i="4"/>
  <c r="L286" i="4"/>
  <c r="L248" i="4"/>
  <c r="L222" i="4"/>
  <c r="L201" i="4"/>
  <c r="L182" i="4"/>
  <c r="L117" i="4"/>
  <c r="L94" i="4"/>
  <c r="L43" i="4"/>
  <c r="L298" i="3"/>
  <c r="L293" i="3"/>
  <c r="L212" i="3"/>
  <c r="L2" i="4"/>
  <c r="L428" i="4"/>
  <c r="L419" i="4"/>
  <c r="L407" i="4"/>
  <c r="L396" i="4"/>
  <c r="L387" i="4"/>
  <c r="L375" i="4"/>
  <c r="L364" i="4"/>
  <c r="L355" i="4"/>
  <c r="L343" i="4"/>
  <c r="L332" i="4"/>
  <c r="L315" i="4"/>
  <c r="L311" i="4"/>
  <c r="L300" i="4"/>
  <c r="L283" i="4"/>
  <c r="L279" i="4"/>
  <c r="L268" i="4"/>
  <c r="L251" i="4"/>
  <c r="L247" i="4"/>
  <c r="L236" i="4"/>
  <c r="L219" i="4"/>
  <c r="L215" i="4"/>
  <c r="L204" i="4"/>
  <c r="L187" i="4"/>
  <c r="L183" i="4"/>
  <c r="L172" i="4"/>
  <c r="L153" i="4"/>
  <c r="L149" i="4"/>
  <c r="L147" i="4"/>
  <c r="L143" i="4"/>
  <c r="L128" i="4"/>
  <c r="L126" i="4"/>
  <c r="L124" i="4"/>
  <c r="L9" i="4"/>
  <c r="L3" i="4"/>
  <c r="L430" i="3"/>
  <c r="L426" i="3"/>
  <c r="L421" i="3"/>
  <c r="L415" i="3"/>
  <c r="L411" i="3"/>
  <c r="L409" i="3"/>
  <c r="L403" i="3"/>
  <c r="L401" i="3"/>
  <c r="L317" i="3"/>
  <c r="L280" i="3"/>
  <c r="L278" i="3"/>
  <c r="L264" i="3"/>
  <c r="L258" i="3"/>
  <c r="L245" i="3"/>
  <c r="L223" i="3"/>
  <c r="L111" i="3"/>
  <c r="L83" i="3"/>
  <c r="L27" i="3"/>
  <c r="L5" i="3"/>
  <c r="L184" i="4"/>
  <c r="L92" i="4"/>
  <c r="L59" i="4"/>
  <c r="L49" i="4"/>
  <c r="L302" i="3"/>
  <c r="L37" i="3"/>
  <c r="L430" i="4"/>
  <c r="L424" i="4"/>
  <c r="L409" i="4"/>
  <c r="L398" i="4"/>
  <c r="L392" i="4"/>
  <c r="L377" i="4"/>
  <c r="L366" i="4"/>
  <c r="L360" i="4"/>
  <c r="L345" i="4"/>
  <c r="L334" i="4"/>
  <c r="L328" i="4"/>
  <c r="L313" i="4"/>
  <c r="L302" i="4"/>
  <c r="L296" i="4"/>
  <c r="L281" i="4"/>
  <c r="L270" i="4"/>
  <c r="L264" i="4"/>
  <c r="L249" i="4"/>
  <c r="L238" i="4"/>
  <c r="L232" i="4"/>
  <c r="L217" i="4"/>
  <c r="L200" i="4"/>
  <c r="L198" i="4"/>
  <c r="L185" i="4"/>
  <c r="L168" i="4"/>
  <c r="L166" i="4"/>
  <c r="L145" i="4"/>
  <c r="L135" i="4"/>
  <c r="L120" i="4"/>
  <c r="L118" i="4"/>
  <c r="L58" i="4"/>
  <c r="L50" i="4"/>
  <c r="L42" i="4"/>
  <c r="L40" i="4"/>
  <c r="L36" i="4"/>
  <c r="L34" i="4"/>
  <c r="L32" i="4"/>
  <c r="L28" i="4"/>
  <c r="L407" i="3"/>
  <c r="L315" i="3"/>
  <c r="L313" i="3"/>
  <c r="L270" i="3"/>
  <c r="L229" i="3"/>
  <c r="L128" i="3"/>
  <c r="L103" i="3"/>
  <c r="L60" i="3"/>
  <c r="L52" i="3"/>
  <c r="L15" i="3"/>
  <c r="L408" i="4"/>
  <c r="L376" i="4"/>
  <c r="L344" i="4"/>
  <c r="L431" i="4"/>
  <c r="L420" i="4"/>
  <c r="L399" i="4"/>
  <c r="L388" i="4"/>
  <c r="L367" i="4"/>
  <c r="L356" i="4"/>
  <c r="L339" i="4"/>
  <c r="L335" i="4"/>
  <c r="L324" i="4"/>
  <c r="L307" i="4"/>
  <c r="L303" i="4"/>
  <c r="L292" i="4"/>
  <c r="L275" i="4"/>
  <c r="L271" i="4"/>
  <c r="L260" i="4"/>
  <c r="L243" i="4"/>
  <c r="L239" i="4"/>
  <c r="L228" i="4"/>
  <c r="L211" i="4"/>
  <c r="L207" i="4"/>
  <c r="L196" i="4"/>
  <c r="L179" i="4"/>
  <c r="L175" i="4"/>
  <c r="L164" i="4"/>
  <c r="L381" i="3"/>
  <c r="L344" i="3"/>
  <c r="L342" i="3"/>
  <c r="L334" i="3"/>
  <c r="L332" i="3"/>
  <c r="L330" i="3"/>
  <c r="L175" i="3"/>
  <c r="L69" i="3"/>
  <c r="L32" i="3"/>
  <c r="L26" i="3"/>
  <c r="L24" i="3"/>
  <c r="L22" i="3"/>
  <c r="L7" i="3"/>
  <c r="L163" i="4"/>
  <c r="L159" i="4"/>
  <c r="L148" i="4"/>
  <c r="L131" i="4"/>
  <c r="L127" i="4"/>
  <c r="L116" i="4"/>
  <c r="L99" i="4"/>
  <c r="L95" i="4"/>
  <c r="L93" i="4"/>
  <c r="L68" i="4"/>
  <c r="L64" i="4"/>
  <c r="L41" i="4"/>
  <c r="L35" i="4"/>
  <c r="L31" i="4"/>
  <c r="L22" i="4"/>
  <c r="L8" i="4"/>
  <c r="L6" i="4"/>
  <c r="L4" i="4"/>
  <c r="L397" i="3"/>
  <c r="L365" i="3"/>
  <c r="L333" i="3"/>
  <c r="L267" i="3"/>
  <c r="L265" i="3"/>
  <c r="L252" i="3"/>
  <c r="L234" i="3"/>
  <c r="L221" i="3"/>
  <c r="L215" i="3"/>
  <c r="L203" i="3"/>
  <c r="L201" i="3"/>
  <c r="L188" i="3"/>
  <c r="L182" i="3"/>
  <c r="L170" i="3"/>
  <c r="L163" i="3"/>
  <c r="L159" i="3"/>
  <c r="L157" i="3"/>
  <c r="L153" i="3"/>
  <c r="L138" i="3"/>
  <c r="L125" i="3"/>
  <c r="L121" i="3"/>
  <c r="L110" i="3"/>
  <c r="L106" i="3"/>
  <c r="L89" i="3"/>
  <c r="L78" i="3"/>
  <c r="L74" i="3"/>
  <c r="L57" i="3"/>
  <c r="L46" i="3"/>
  <c r="L42" i="3"/>
  <c r="L25" i="3"/>
  <c r="L10" i="3"/>
  <c r="L161" i="4"/>
  <c r="L152" i="4"/>
  <c r="L144" i="4"/>
  <c r="L142" i="4"/>
  <c r="L129" i="4"/>
  <c r="L112" i="4"/>
  <c r="L110" i="4"/>
  <c r="L97" i="4"/>
  <c r="L91" i="4"/>
  <c r="L87" i="4"/>
  <c r="L85" i="4"/>
  <c r="L78" i="4"/>
  <c r="L60" i="4"/>
  <c r="L56" i="4"/>
  <c r="L33" i="4"/>
  <c r="L27" i="4"/>
  <c r="L23" i="4"/>
  <c r="L21" i="4"/>
  <c r="L14" i="4"/>
  <c r="L431" i="3"/>
  <c r="L427" i="3"/>
  <c r="L425" i="3"/>
  <c r="L420" i="3"/>
  <c r="L410" i="3"/>
  <c r="L399" i="3"/>
  <c r="L395" i="3"/>
  <c r="L393" i="3"/>
  <c r="L388" i="3"/>
  <c r="L378" i="3"/>
  <c r="L367" i="3"/>
  <c r="L363" i="3"/>
  <c r="L361" i="3"/>
  <c r="L348" i="3"/>
  <c r="L346" i="3"/>
  <c r="L335" i="3"/>
  <c r="L331" i="3"/>
  <c r="L329" i="3"/>
  <c r="L316" i="3"/>
  <c r="L314" i="3"/>
  <c r="L303" i="3"/>
  <c r="L299" i="3"/>
  <c r="L297" i="3"/>
  <c r="L292" i="3"/>
  <c r="L282" i="3"/>
  <c r="L277" i="3"/>
  <c r="L271" i="3"/>
  <c r="L259" i="3"/>
  <c r="L257" i="3"/>
  <c r="L244" i="3"/>
  <c r="L238" i="3"/>
  <c r="L226" i="3"/>
  <c r="L213" i="3"/>
  <c r="L207" i="3"/>
  <c r="L195" i="3"/>
  <c r="L193" i="3"/>
  <c r="L180" i="3"/>
  <c r="L174" i="3"/>
  <c r="L127" i="3"/>
  <c r="L117" i="3"/>
  <c r="L108" i="3"/>
  <c r="L95" i="3"/>
  <c r="L85" i="3"/>
  <c r="L76" i="3"/>
  <c r="L63" i="3"/>
  <c r="L53" i="3"/>
  <c r="L44" i="3"/>
  <c r="L31" i="3"/>
  <c r="L23" i="3"/>
  <c r="L21" i="3"/>
  <c r="L6" i="3"/>
  <c r="L4" i="3"/>
  <c r="L155" i="4"/>
  <c r="L151" i="4"/>
  <c r="L140" i="4"/>
  <c r="L123" i="4"/>
  <c r="L119" i="4"/>
  <c r="L108" i="4"/>
  <c r="L89" i="4"/>
  <c r="L83" i="4"/>
  <c r="L79" i="4"/>
  <c r="L77" i="4"/>
  <c r="L70" i="4"/>
  <c r="L52" i="4"/>
  <c r="L48" i="4"/>
  <c r="L37" i="4"/>
  <c r="L25" i="4"/>
  <c r="L19" i="4"/>
  <c r="L15" i="4"/>
  <c r="L389" i="3"/>
  <c r="L357" i="3"/>
  <c r="L325" i="3"/>
  <c r="L269" i="3"/>
  <c r="L263" i="3"/>
  <c r="L251" i="3"/>
  <c r="L249" i="3"/>
  <c r="L236" i="3"/>
  <c r="L230" i="3"/>
  <c r="L218" i="3"/>
  <c r="L205" i="3"/>
  <c r="L199" i="3"/>
  <c r="L187" i="3"/>
  <c r="L185" i="3"/>
  <c r="L181" i="3"/>
  <c r="L172" i="3"/>
  <c r="L162" i="3"/>
  <c r="L155" i="3"/>
  <c r="L151" i="3"/>
  <c r="L149" i="3"/>
  <c r="L145" i="3"/>
  <c r="L140" i="3"/>
  <c r="L130" i="3"/>
  <c r="L113" i="3"/>
  <c r="L102" i="3"/>
  <c r="L98" i="3"/>
  <c r="L81" i="3"/>
  <c r="L70" i="3"/>
  <c r="L66" i="3"/>
  <c r="L49" i="3"/>
  <c r="L38" i="3"/>
  <c r="L34" i="3"/>
  <c r="L17" i="3"/>
  <c r="L44" i="4"/>
  <c r="L17" i="4"/>
  <c r="L11" i="4"/>
  <c r="L7" i="4"/>
  <c r="L423" i="3"/>
  <c r="L419" i="3"/>
  <c r="L417" i="3"/>
  <c r="L404" i="3"/>
  <c r="L402" i="3"/>
  <c r="L391" i="3"/>
  <c r="L387" i="3"/>
  <c r="L385" i="3"/>
  <c r="L370" i="3"/>
  <c r="L359" i="3"/>
  <c r="L355" i="3"/>
  <c r="L353" i="3"/>
  <c r="L340" i="3"/>
  <c r="L338" i="3"/>
  <c r="L327" i="3"/>
  <c r="L323" i="3"/>
  <c r="L321" i="3"/>
  <c r="L306" i="3"/>
  <c r="L295" i="3"/>
  <c r="L291" i="3"/>
  <c r="L289" i="3"/>
  <c r="L274" i="3"/>
  <c r="L255" i="3"/>
  <c r="L243" i="3"/>
  <c r="L241" i="3"/>
  <c r="L222" i="3"/>
  <c r="L210" i="3"/>
  <c r="L191" i="3"/>
  <c r="L179" i="3"/>
  <c r="L177" i="3"/>
  <c r="L173" i="3"/>
  <c r="L109" i="3"/>
  <c r="L77" i="3"/>
  <c r="L45" i="3"/>
  <c r="L13" i="3"/>
  <c r="L373" i="3"/>
  <c r="L341" i="3"/>
  <c r="L309" i="3"/>
  <c r="L268" i="3"/>
  <c r="L262" i="3"/>
  <c r="L250" i="3"/>
  <c r="L246" i="3"/>
  <c r="L237" i="3"/>
  <c r="L231" i="3"/>
  <c r="L219" i="3"/>
  <c r="L217" i="3"/>
  <c r="L204" i="3"/>
  <c r="L198" i="3"/>
  <c r="L186" i="3"/>
  <c r="L167" i="3"/>
  <c r="L165" i="3"/>
  <c r="L161" i="3"/>
  <c r="L156" i="3"/>
  <c r="L148" i="3"/>
  <c r="L146" i="3"/>
  <c r="L139" i="3"/>
  <c r="L133" i="3"/>
  <c r="L129" i="3"/>
  <c r="L124" i="3"/>
  <c r="L118" i="3"/>
  <c r="L114" i="3"/>
  <c r="L97" i="3"/>
  <c r="L82" i="3"/>
  <c r="L65" i="3"/>
  <c r="L54" i="3"/>
  <c r="L50" i="3"/>
  <c r="L33" i="3"/>
  <c r="L18" i="3"/>
  <c r="P431" i="3"/>
  <c r="O431" i="3"/>
  <c r="N431" i="3"/>
  <c r="G431" i="3"/>
  <c r="E431" i="3"/>
  <c r="P430" i="3"/>
  <c r="O430" i="3"/>
  <c r="N430" i="3"/>
  <c r="G430" i="3"/>
  <c r="E430" i="3"/>
  <c r="P429" i="3"/>
  <c r="O429" i="3"/>
  <c r="N429" i="3"/>
  <c r="G429" i="3"/>
  <c r="E429" i="3"/>
  <c r="P428" i="3"/>
  <c r="O428" i="3"/>
  <c r="N428" i="3"/>
  <c r="G428" i="3"/>
  <c r="E428" i="3"/>
  <c r="P427" i="3"/>
  <c r="O427" i="3"/>
  <c r="N427" i="3"/>
  <c r="G427" i="3"/>
  <c r="E427" i="3"/>
  <c r="P426" i="3"/>
  <c r="O426" i="3"/>
  <c r="N426" i="3"/>
  <c r="G426" i="3"/>
  <c r="E426" i="3"/>
  <c r="P425" i="3"/>
  <c r="O425" i="3"/>
  <c r="N425" i="3"/>
  <c r="G425" i="3"/>
  <c r="E425" i="3"/>
  <c r="P424" i="3"/>
  <c r="O424" i="3"/>
  <c r="N424" i="3"/>
  <c r="G424" i="3"/>
  <c r="E424" i="3"/>
  <c r="P423" i="3"/>
  <c r="O423" i="3"/>
  <c r="N423" i="3"/>
  <c r="G423" i="3"/>
  <c r="E423" i="3"/>
  <c r="P422" i="3"/>
  <c r="O422" i="3"/>
  <c r="N422" i="3"/>
  <c r="G422" i="3"/>
  <c r="E422" i="3"/>
  <c r="P421" i="3"/>
  <c r="O421" i="3"/>
  <c r="N421" i="3"/>
  <c r="G421" i="3"/>
  <c r="E421" i="3"/>
  <c r="P420" i="3"/>
  <c r="O420" i="3"/>
  <c r="N420" i="3"/>
  <c r="G420" i="3"/>
  <c r="E420" i="3"/>
  <c r="P419" i="3"/>
  <c r="O419" i="3"/>
  <c r="N419" i="3"/>
  <c r="G419" i="3"/>
  <c r="E419" i="3"/>
  <c r="P418" i="3"/>
  <c r="O418" i="3"/>
  <c r="N418" i="3"/>
  <c r="G418" i="3"/>
  <c r="E418" i="3"/>
  <c r="P417" i="3"/>
  <c r="O417" i="3"/>
  <c r="N417" i="3"/>
  <c r="G417" i="3"/>
  <c r="E417" i="3"/>
  <c r="P416" i="3"/>
  <c r="O416" i="3"/>
  <c r="N416" i="3"/>
  <c r="G416" i="3"/>
  <c r="E416" i="3"/>
  <c r="P415" i="3"/>
  <c r="O415" i="3"/>
  <c r="N415" i="3"/>
  <c r="G415" i="3"/>
  <c r="E415" i="3"/>
  <c r="P414" i="3"/>
  <c r="O414" i="3"/>
  <c r="N414" i="3"/>
  <c r="G414" i="3"/>
  <c r="E414" i="3"/>
  <c r="P413" i="3"/>
  <c r="O413" i="3"/>
  <c r="N413" i="3"/>
  <c r="G413" i="3"/>
  <c r="E413" i="3"/>
  <c r="P412" i="3"/>
  <c r="O412" i="3"/>
  <c r="N412" i="3"/>
  <c r="G412" i="3"/>
  <c r="E412" i="3"/>
  <c r="P411" i="3"/>
  <c r="O411" i="3"/>
  <c r="N411" i="3"/>
  <c r="G411" i="3"/>
  <c r="E411" i="3"/>
  <c r="P410" i="3"/>
  <c r="O410" i="3"/>
  <c r="N410" i="3"/>
  <c r="G410" i="3"/>
  <c r="E410" i="3"/>
  <c r="P409" i="3"/>
  <c r="O409" i="3"/>
  <c r="N409" i="3"/>
  <c r="G409" i="3"/>
  <c r="E409" i="3"/>
  <c r="P408" i="3"/>
  <c r="O408" i="3"/>
  <c r="N408" i="3"/>
  <c r="G408" i="3"/>
  <c r="E408" i="3"/>
  <c r="P407" i="3"/>
  <c r="O407" i="3"/>
  <c r="N407" i="3"/>
  <c r="G407" i="3"/>
  <c r="E407" i="3"/>
  <c r="P406" i="3"/>
  <c r="O406" i="3"/>
  <c r="N406" i="3"/>
  <c r="G406" i="3"/>
  <c r="E406" i="3"/>
  <c r="P405" i="3"/>
  <c r="O405" i="3"/>
  <c r="N405" i="3"/>
  <c r="G405" i="3"/>
  <c r="E405" i="3"/>
  <c r="P404" i="3"/>
  <c r="O404" i="3"/>
  <c r="N404" i="3"/>
  <c r="G404" i="3"/>
  <c r="E404" i="3"/>
  <c r="P403" i="3"/>
  <c r="O403" i="3"/>
  <c r="N403" i="3"/>
  <c r="G403" i="3"/>
  <c r="E403" i="3"/>
  <c r="P402" i="3"/>
  <c r="O402" i="3"/>
  <c r="N402" i="3"/>
  <c r="G402" i="3"/>
  <c r="E402" i="3"/>
  <c r="P401" i="3"/>
  <c r="O401" i="3"/>
  <c r="N401" i="3"/>
  <c r="G401" i="3"/>
  <c r="E401" i="3"/>
  <c r="P400" i="3"/>
  <c r="O400" i="3"/>
  <c r="N400" i="3"/>
  <c r="G400" i="3"/>
  <c r="E400" i="3"/>
  <c r="P399" i="3"/>
  <c r="O399" i="3"/>
  <c r="N399" i="3"/>
  <c r="G399" i="3"/>
  <c r="E399" i="3"/>
  <c r="P398" i="3"/>
  <c r="O398" i="3"/>
  <c r="N398" i="3"/>
  <c r="G398" i="3"/>
  <c r="E398" i="3"/>
  <c r="P397" i="3"/>
  <c r="O397" i="3"/>
  <c r="N397" i="3"/>
  <c r="G397" i="3"/>
  <c r="E397" i="3"/>
  <c r="P396" i="3"/>
  <c r="O396" i="3"/>
  <c r="N396" i="3"/>
  <c r="G396" i="3"/>
  <c r="E396" i="3"/>
  <c r="P395" i="3"/>
  <c r="O395" i="3"/>
  <c r="N395" i="3"/>
  <c r="G395" i="3"/>
  <c r="E395" i="3"/>
  <c r="P394" i="3"/>
  <c r="O394" i="3"/>
  <c r="N394" i="3"/>
  <c r="G394" i="3"/>
  <c r="E394" i="3"/>
  <c r="P393" i="3"/>
  <c r="O393" i="3"/>
  <c r="N393" i="3"/>
  <c r="G393" i="3"/>
  <c r="E393" i="3"/>
  <c r="P392" i="3"/>
  <c r="O392" i="3"/>
  <c r="N392" i="3"/>
  <c r="G392" i="3"/>
  <c r="E392" i="3"/>
  <c r="P391" i="3"/>
  <c r="O391" i="3"/>
  <c r="N391" i="3"/>
  <c r="G391" i="3"/>
  <c r="E391" i="3"/>
  <c r="P390" i="3"/>
  <c r="O390" i="3"/>
  <c r="N390" i="3"/>
  <c r="G390" i="3"/>
  <c r="E390" i="3"/>
  <c r="P389" i="3"/>
  <c r="O389" i="3"/>
  <c r="N389" i="3"/>
  <c r="G389" i="3"/>
  <c r="E389" i="3"/>
  <c r="P388" i="3"/>
  <c r="O388" i="3"/>
  <c r="N388" i="3"/>
  <c r="G388" i="3"/>
  <c r="E388" i="3"/>
  <c r="P387" i="3"/>
  <c r="O387" i="3"/>
  <c r="N387" i="3"/>
  <c r="G387" i="3"/>
  <c r="E387" i="3"/>
  <c r="P386" i="3"/>
  <c r="O386" i="3"/>
  <c r="N386" i="3"/>
  <c r="G386" i="3"/>
  <c r="E386" i="3"/>
  <c r="P385" i="3"/>
  <c r="O385" i="3"/>
  <c r="N385" i="3"/>
  <c r="G385" i="3"/>
  <c r="E385" i="3"/>
  <c r="P384" i="3"/>
  <c r="O384" i="3"/>
  <c r="N384" i="3"/>
  <c r="G384" i="3"/>
  <c r="E384" i="3"/>
  <c r="P383" i="3"/>
  <c r="O383" i="3"/>
  <c r="N383" i="3"/>
  <c r="G383" i="3"/>
  <c r="E383" i="3"/>
  <c r="P382" i="3"/>
  <c r="O382" i="3"/>
  <c r="N382" i="3"/>
  <c r="G382" i="3"/>
  <c r="E382" i="3"/>
  <c r="P381" i="3"/>
  <c r="O381" i="3"/>
  <c r="N381" i="3"/>
  <c r="G381" i="3"/>
  <c r="E381" i="3"/>
  <c r="P380" i="3"/>
  <c r="O380" i="3"/>
  <c r="N380" i="3"/>
  <c r="G380" i="3"/>
  <c r="E380" i="3"/>
  <c r="P379" i="3"/>
  <c r="O379" i="3"/>
  <c r="N379" i="3"/>
  <c r="G379" i="3"/>
  <c r="E379" i="3"/>
  <c r="P378" i="3"/>
  <c r="O378" i="3"/>
  <c r="N378" i="3"/>
  <c r="G378" i="3"/>
  <c r="E378" i="3"/>
  <c r="P377" i="3"/>
  <c r="O377" i="3"/>
  <c r="N377" i="3"/>
  <c r="G377" i="3"/>
  <c r="E377" i="3"/>
  <c r="P376" i="3"/>
  <c r="O376" i="3"/>
  <c r="N376" i="3"/>
  <c r="G376" i="3"/>
  <c r="E376" i="3"/>
  <c r="P375" i="3"/>
  <c r="O375" i="3"/>
  <c r="N375" i="3"/>
  <c r="G375" i="3"/>
  <c r="E375" i="3"/>
  <c r="P374" i="3"/>
  <c r="O374" i="3"/>
  <c r="N374" i="3"/>
  <c r="G374" i="3"/>
  <c r="E374" i="3"/>
  <c r="P373" i="3"/>
  <c r="O373" i="3"/>
  <c r="N373" i="3"/>
  <c r="G373" i="3"/>
  <c r="E373" i="3"/>
  <c r="P372" i="3"/>
  <c r="O372" i="3"/>
  <c r="N372" i="3"/>
  <c r="G372" i="3"/>
  <c r="E372" i="3"/>
  <c r="P371" i="3"/>
  <c r="O371" i="3"/>
  <c r="N371" i="3"/>
  <c r="G371" i="3"/>
  <c r="E371" i="3"/>
  <c r="P370" i="3"/>
  <c r="O370" i="3"/>
  <c r="N370" i="3"/>
  <c r="G370" i="3"/>
  <c r="E370" i="3"/>
  <c r="P369" i="3"/>
  <c r="O369" i="3"/>
  <c r="N369" i="3"/>
  <c r="G369" i="3"/>
  <c r="E369" i="3"/>
  <c r="P368" i="3"/>
  <c r="O368" i="3"/>
  <c r="N368" i="3"/>
  <c r="G368" i="3"/>
  <c r="E368" i="3"/>
  <c r="P367" i="3"/>
  <c r="O367" i="3"/>
  <c r="N367" i="3"/>
  <c r="G367" i="3"/>
  <c r="E367" i="3"/>
  <c r="P366" i="3"/>
  <c r="O366" i="3"/>
  <c r="N366" i="3"/>
  <c r="G366" i="3"/>
  <c r="E366" i="3"/>
  <c r="P365" i="3"/>
  <c r="O365" i="3"/>
  <c r="N365" i="3"/>
  <c r="G365" i="3"/>
  <c r="E365" i="3"/>
  <c r="P364" i="3"/>
  <c r="O364" i="3"/>
  <c r="N364" i="3"/>
  <c r="G364" i="3"/>
  <c r="E364" i="3"/>
  <c r="P363" i="3"/>
  <c r="O363" i="3"/>
  <c r="N363" i="3"/>
  <c r="G363" i="3"/>
  <c r="E363" i="3"/>
  <c r="P362" i="3"/>
  <c r="O362" i="3"/>
  <c r="N362" i="3"/>
  <c r="G362" i="3"/>
  <c r="E362" i="3"/>
  <c r="P361" i="3"/>
  <c r="O361" i="3"/>
  <c r="N361" i="3"/>
  <c r="G361" i="3"/>
  <c r="E361" i="3"/>
  <c r="P360" i="3"/>
  <c r="O360" i="3"/>
  <c r="N360" i="3"/>
  <c r="G360" i="3"/>
  <c r="E360" i="3"/>
  <c r="P359" i="3"/>
  <c r="O359" i="3"/>
  <c r="N359" i="3"/>
  <c r="G359" i="3"/>
  <c r="E359" i="3"/>
  <c r="P358" i="3"/>
  <c r="O358" i="3"/>
  <c r="N358" i="3"/>
  <c r="G358" i="3"/>
  <c r="E358" i="3"/>
  <c r="P357" i="3"/>
  <c r="O357" i="3"/>
  <c r="N357" i="3"/>
  <c r="G357" i="3"/>
  <c r="E357" i="3"/>
  <c r="P356" i="3"/>
  <c r="O356" i="3"/>
  <c r="N356" i="3"/>
  <c r="G356" i="3"/>
  <c r="E356" i="3"/>
  <c r="P355" i="3"/>
  <c r="O355" i="3"/>
  <c r="N355" i="3"/>
  <c r="G355" i="3"/>
  <c r="E355" i="3"/>
  <c r="P354" i="3"/>
  <c r="O354" i="3"/>
  <c r="N354" i="3"/>
  <c r="G354" i="3"/>
  <c r="E354" i="3"/>
  <c r="P353" i="3"/>
  <c r="O353" i="3"/>
  <c r="N353" i="3"/>
  <c r="G353" i="3"/>
  <c r="E353" i="3"/>
  <c r="P352" i="3"/>
  <c r="O352" i="3"/>
  <c r="N352" i="3"/>
  <c r="G352" i="3"/>
  <c r="E352" i="3"/>
  <c r="P351" i="3"/>
  <c r="O351" i="3"/>
  <c r="N351" i="3"/>
  <c r="G351" i="3"/>
  <c r="E351" i="3"/>
  <c r="P350" i="3"/>
  <c r="O350" i="3"/>
  <c r="N350" i="3"/>
  <c r="G350" i="3"/>
  <c r="E350" i="3"/>
  <c r="P349" i="3"/>
  <c r="O349" i="3"/>
  <c r="N349" i="3"/>
  <c r="G349" i="3"/>
  <c r="E349" i="3"/>
  <c r="P348" i="3"/>
  <c r="O348" i="3"/>
  <c r="N348" i="3"/>
  <c r="G348" i="3"/>
  <c r="E348" i="3"/>
  <c r="P347" i="3"/>
  <c r="O347" i="3"/>
  <c r="N347" i="3"/>
  <c r="G347" i="3"/>
  <c r="E347" i="3"/>
  <c r="P346" i="3"/>
  <c r="O346" i="3"/>
  <c r="N346" i="3"/>
  <c r="G346" i="3"/>
  <c r="E346" i="3"/>
  <c r="P345" i="3"/>
  <c r="O345" i="3"/>
  <c r="N345" i="3"/>
  <c r="G345" i="3"/>
  <c r="E345" i="3"/>
  <c r="P344" i="3"/>
  <c r="O344" i="3"/>
  <c r="N344" i="3"/>
  <c r="G344" i="3"/>
  <c r="E344" i="3"/>
  <c r="P343" i="3"/>
  <c r="O343" i="3"/>
  <c r="N343" i="3"/>
  <c r="G343" i="3"/>
  <c r="E343" i="3"/>
  <c r="P342" i="3"/>
  <c r="O342" i="3"/>
  <c r="N342" i="3"/>
  <c r="G342" i="3"/>
  <c r="E342" i="3"/>
  <c r="P341" i="3"/>
  <c r="O341" i="3"/>
  <c r="N341" i="3"/>
  <c r="G341" i="3"/>
  <c r="E341" i="3"/>
  <c r="P340" i="3"/>
  <c r="O340" i="3"/>
  <c r="N340" i="3"/>
  <c r="G340" i="3"/>
  <c r="E340" i="3"/>
  <c r="P339" i="3"/>
  <c r="O339" i="3"/>
  <c r="N339" i="3"/>
  <c r="G339" i="3"/>
  <c r="E339" i="3"/>
  <c r="P338" i="3"/>
  <c r="O338" i="3"/>
  <c r="N338" i="3"/>
  <c r="G338" i="3"/>
  <c r="E338" i="3"/>
  <c r="P337" i="3"/>
  <c r="O337" i="3"/>
  <c r="N337" i="3"/>
  <c r="G337" i="3"/>
  <c r="E337" i="3"/>
  <c r="P336" i="3"/>
  <c r="O336" i="3"/>
  <c r="N336" i="3"/>
  <c r="G336" i="3"/>
  <c r="E336" i="3"/>
  <c r="P335" i="3"/>
  <c r="O335" i="3"/>
  <c r="N335" i="3"/>
  <c r="G335" i="3"/>
  <c r="E335" i="3"/>
  <c r="P334" i="3"/>
  <c r="O334" i="3"/>
  <c r="N334" i="3"/>
  <c r="G334" i="3"/>
  <c r="E334" i="3"/>
  <c r="P333" i="3"/>
  <c r="O333" i="3"/>
  <c r="N333" i="3"/>
  <c r="G333" i="3"/>
  <c r="E333" i="3"/>
  <c r="P332" i="3"/>
  <c r="O332" i="3"/>
  <c r="N332" i="3"/>
  <c r="G332" i="3"/>
  <c r="E332" i="3"/>
  <c r="P331" i="3"/>
  <c r="O331" i="3"/>
  <c r="N331" i="3"/>
  <c r="G331" i="3"/>
  <c r="E331" i="3"/>
  <c r="P330" i="3"/>
  <c r="O330" i="3"/>
  <c r="N330" i="3"/>
  <c r="G330" i="3"/>
  <c r="E330" i="3"/>
  <c r="P329" i="3"/>
  <c r="O329" i="3"/>
  <c r="N329" i="3"/>
  <c r="G329" i="3"/>
  <c r="E329" i="3"/>
  <c r="P328" i="3"/>
  <c r="O328" i="3"/>
  <c r="N328" i="3"/>
  <c r="G328" i="3"/>
  <c r="E328" i="3"/>
  <c r="P327" i="3"/>
  <c r="O327" i="3"/>
  <c r="N327" i="3"/>
  <c r="G327" i="3"/>
  <c r="E327" i="3"/>
  <c r="P326" i="3"/>
  <c r="O326" i="3"/>
  <c r="N326" i="3"/>
  <c r="G326" i="3"/>
  <c r="E326" i="3"/>
  <c r="P325" i="3"/>
  <c r="O325" i="3"/>
  <c r="N325" i="3"/>
  <c r="G325" i="3"/>
  <c r="E325" i="3"/>
  <c r="P324" i="3"/>
  <c r="O324" i="3"/>
  <c r="N324" i="3"/>
  <c r="G324" i="3"/>
  <c r="E324" i="3"/>
  <c r="P323" i="3"/>
  <c r="O323" i="3"/>
  <c r="N323" i="3"/>
  <c r="G323" i="3"/>
  <c r="E323" i="3"/>
  <c r="P322" i="3"/>
  <c r="O322" i="3"/>
  <c r="N322" i="3"/>
  <c r="G322" i="3"/>
  <c r="E322" i="3"/>
  <c r="P321" i="3"/>
  <c r="O321" i="3"/>
  <c r="N321" i="3"/>
  <c r="G321" i="3"/>
  <c r="E321" i="3"/>
  <c r="P320" i="3"/>
  <c r="O320" i="3"/>
  <c r="N320" i="3"/>
  <c r="G320" i="3"/>
  <c r="E320" i="3"/>
  <c r="P319" i="3"/>
  <c r="O319" i="3"/>
  <c r="N319" i="3"/>
  <c r="G319" i="3"/>
  <c r="E319" i="3"/>
  <c r="P318" i="3"/>
  <c r="O318" i="3"/>
  <c r="N318" i="3"/>
  <c r="G318" i="3"/>
  <c r="E318" i="3"/>
  <c r="P317" i="3"/>
  <c r="O317" i="3"/>
  <c r="N317" i="3"/>
  <c r="G317" i="3"/>
  <c r="E317" i="3"/>
  <c r="P316" i="3"/>
  <c r="O316" i="3"/>
  <c r="N316" i="3"/>
  <c r="G316" i="3"/>
  <c r="E316" i="3"/>
  <c r="P315" i="3"/>
  <c r="O315" i="3"/>
  <c r="N315" i="3"/>
  <c r="G315" i="3"/>
  <c r="E315" i="3"/>
  <c r="P314" i="3"/>
  <c r="O314" i="3"/>
  <c r="N314" i="3"/>
  <c r="G314" i="3"/>
  <c r="E314" i="3"/>
  <c r="P313" i="3"/>
  <c r="O313" i="3"/>
  <c r="N313" i="3"/>
  <c r="G313" i="3"/>
  <c r="E313" i="3"/>
  <c r="P312" i="3"/>
  <c r="O312" i="3"/>
  <c r="N312" i="3"/>
  <c r="G312" i="3"/>
  <c r="E312" i="3"/>
  <c r="P311" i="3"/>
  <c r="O311" i="3"/>
  <c r="N311" i="3"/>
  <c r="G311" i="3"/>
  <c r="E311" i="3"/>
  <c r="P310" i="3"/>
  <c r="O310" i="3"/>
  <c r="N310" i="3"/>
  <c r="G310" i="3"/>
  <c r="E310" i="3"/>
  <c r="P309" i="3"/>
  <c r="O309" i="3"/>
  <c r="N309" i="3"/>
  <c r="G309" i="3"/>
  <c r="E309" i="3"/>
  <c r="P308" i="3"/>
  <c r="O308" i="3"/>
  <c r="N308" i="3"/>
  <c r="G308" i="3"/>
  <c r="E308" i="3"/>
  <c r="P307" i="3"/>
  <c r="O307" i="3"/>
  <c r="N307" i="3"/>
  <c r="G307" i="3"/>
  <c r="E307" i="3"/>
  <c r="P306" i="3"/>
  <c r="O306" i="3"/>
  <c r="N306" i="3"/>
  <c r="G306" i="3"/>
  <c r="E306" i="3"/>
  <c r="P305" i="3"/>
  <c r="O305" i="3"/>
  <c r="N305" i="3"/>
  <c r="G305" i="3"/>
  <c r="E305" i="3"/>
  <c r="P304" i="3"/>
  <c r="O304" i="3"/>
  <c r="N304" i="3"/>
  <c r="G304" i="3"/>
  <c r="E304" i="3"/>
  <c r="P303" i="3"/>
  <c r="O303" i="3"/>
  <c r="N303" i="3"/>
  <c r="G303" i="3"/>
  <c r="E303" i="3"/>
  <c r="P302" i="3"/>
  <c r="O302" i="3"/>
  <c r="N302" i="3"/>
  <c r="G302" i="3"/>
  <c r="E302" i="3"/>
  <c r="P301" i="3"/>
  <c r="O301" i="3"/>
  <c r="N301" i="3"/>
  <c r="G301" i="3"/>
  <c r="E301" i="3"/>
  <c r="P300" i="3"/>
  <c r="O300" i="3"/>
  <c r="N300" i="3"/>
  <c r="G300" i="3"/>
  <c r="E300" i="3"/>
  <c r="P299" i="3"/>
  <c r="O299" i="3"/>
  <c r="N299" i="3"/>
  <c r="G299" i="3"/>
  <c r="E299" i="3"/>
  <c r="P298" i="3"/>
  <c r="O298" i="3"/>
  <c r="N298" i="3"/>
  <c r="G298" i="3"/>
  <c r="E298" i="3"/>
  <c r="P297" i="3"/>
  <c r="O297" i="3"/>
  <c r="N297" i="3"/>
  <c r="G297" i="3"/>
  <c r="E297" i="3"/>
  <c r="P296" i="3"/>
  <c r="O296" i="3"/>
  <c r="N296" i="3"/>
  <c r="G296" i="3"/>
  <c r="E296" i="3"/>
  <c r="P295" i="3"/>
  <c r="O295" i="3"/>
  <c r="N295" i="3"/>
  <c r="G295" i="3"/>
  <c r="E295" i="3"/>
  <c r="P294" i="3"/>
  <c r="O294" i="3"/>
  <c r="N294" i="3"/>
  <c r="G294" i="3"/>
  <c r="E294" i="3"/>
  <c r="P293" i="3"/>
  <c r="O293" i="3"/>
  <c r="N293" i="3"/>
  <c r="G293" i="3"/>
  <c r="E293" i="3"/>
  <c r="P292" i="3"/>
  <c r="O292" i="3"/>
  <c r="N292" i="3"/>
  <c r="G292" i="3"/>
  <c r="E292" i="3"/>
  <c r="P291" i="3"/>
  <c r="O291" i="3"/>
  <c r="N291" i="3"/>
  <c r="G291" i="3"/>
  <c r="E291" i="3"/>
  <c r="P290" i="3"/>
  <c r="O290" i="3"/>
  <c r="N290" i="3"/>
  <c r="G290" i="3"/>
  <c r="E290" i="3"/>
  <c r="P289" i="3"/>
  <c r="O289" i="3"/>
  <c r="N289" i="3"/>
  <c r="G289" i="3"/>
  <c r="E289" i="3"/>
  <c r="P288" i="3"/>
  <c r="O288" i="3"/>
  <c r="N288" i="3"/>
  <c r="G288" i="3"/>
  <c r="E288" i="3"/>
  <c r="P287" i="3"/>
  <c r="O287" i="3"/>
  <c r="N287" i="3"/>
  <c r="G287" i="3"/>
  <c r="E287" i="3"/>
  <c r="P286" i="3"/>
  <c r="O286" i="3"/>
  <c r="N286" i="3"/>
  <c r="G286" i="3"/>
  <c r="E286" i="3"/>
  <c r="P285" i="3"/>
  <c r="O285" i="3"/>
  <c r="N285" i="3"/>
  <c r="G285" i="3"/>
  <c r="E285" i="3"/>
  <c r="P284" i="3"/>
  <c r="O284" i="3"/>
  <c r="N284" i="3"/>
  <c r="G284" i="3"/>
  <c r="E284" i="3"/>
  <c r="P283" i="3"/>
  <c r="O283" i="3"/>
  <c r="N283" i="3"/>
  <c r="G283" i="3"/>
  <c r="E283" i="3"/>
  <c r="P282" i="3"/>
  <c r="O282" i="3"/>
  <c r="N282" i="3"/>
  <c r="G282" i="3"/>
  <c r="E282" i="3"/>
  <c r="P281" i="3"/>
  <c r="O281" i="3"/>
  <c r="N281" i="3"/>
  <c r="G281" i="3"/>
  <c r="E281" i="3"/>
  <c r="P280" i="3"/>
  <c r="O280" i="3"/>
  <c r="N280" i="3"/>
  <c r="G280" i="3"/>
  <c r="E280" i="3"/>
  <c r="P279" i="3"/>
  <c r="O279" i="3"/>
  <c r="N279" i="3"/>
  <c r="G279" i="3"/>
  <c r="E279" i="3"/>
  <c r="P278" i="3"/>
  <c r="O278" i="3"/>
  <c r="N278" i="3"/>
  <c r="G278" i="3"/>
  <c r="E278" i="3"/>
  <c r="P277" i="3"/>
  <c r="O277" i="3"/>
  <c r="N277" i="3"/>
  <c r="G277" i="3"/>
  <c r="E277" i="3"/>
  <c r="P276" i="3"/>
  <c r="O276" i="3"/>
  <c r="N276" i="3"/>
  <c r="G276" i="3"/>
  <c r="E276" i="3"/>
  <c r="P275" i="3"/>
  <c r="O275" i="3"/>
  <c r="N275" i="3"/>
  <c r="G275" i="3"/>
  <c r="E275" i="3"/>
  <c r="P274" i="3"/>
  <c r="O274" i="3"/>
  <c r="N274" i="3"/>
  <c r="G274" i="3"/>
  <c r="E274" i="3"/>
  <c r="P273" i="3"/>
  <c r="O273" i="3"/>
  <c r="N273" i="3"/>
  <c r="G273" i="3"/>
  <c r="E273" i="3"/>
  <c r="P272" i="3"/>
  <c r="O272" i="3"/>
  <c r="N272" i="3"/>
  <c r="G272" i="3"/>
  <c r="E272" i="3"/>
  <c r="P271" i="3"/>
  <c r="O271" i="3"/>
  <c r="N271" i="3"/>
  <c r="G271" i="3"/>
  <c r="E271" i="3"/>
  <c r="P270" i="3"/>
  <c r="O270" i="3"/>
  <c r="N270" i="3"/>
  <c r="G270" i="3"/>
  <c r="E270" i="3"/>
  <c r="P269" i="3"/>
  <c r="O269" i="3"/>
  <c r="N269" i="3"/>
  <c r="G269" i="3"/>
  <c r="E269" i="3"/>
  <c r="P268" i="3"/>
  <c r="O268" i="3"/>
  <c r="N268" i="3"/>
  <c r="G268" i="3"/>
  <c r="E268" i="3"/>
  <c r="P267" i="3"/>
  <c r="O267" i="3"/>
  <c r="N267" i="3"/>
  <c r="G267" i="3"/>
  <c r="E267" i="3"/>
  <c r="P266" i="3"/>
  <c r="O266" i="3"/>
  <c r="N266" i="3"/>
  <c r="G266" i="3"/>
  <c r="E266" i="3"/>
  <c r="P265" i="3"/>
  <c r="O265" i="3"/>
  <c r="N265" i="3"/>
  <c r="G265" i="3"/>
  <c r="E265" i="3"/>
  <c r="P264" i="3"/>
  <c r="O264" i="3"/>
  <c r="N264" i="3"/>
  <c r="G264" i="3"/>
  <c r="E264" i="3"/>
  <c r="P263" i="3"/>
  <c r="O263" i="3"/>
  <c r="N263" i="3"/>
  <c r="G263" i="3"/>
  <c r="E263" i="3"/>
  <c r="P262" i="3"/>
  <c r="O262" i="3"/>
  <c r="N262" i="3"/>
  <c r="G262" i="3"/>
  <c r="E262" i="3"/>
  <c r="P261" i="3"/>
  <c r="O261" i="3"/>
  <c r="N261" i="3"/>
  <c r="G261" i="3"/>
  <c r="E261" i="3"/>
  <c r="P260" i="3"/>
  <c r="O260" i="3"/>
  <c r="N260" i="3"/>
  <c r="G260" i="3"/>
  <c r="E260" i="3"/>
  <c r="P259" i="3"/>
  <c r="O259" i="3"/>
  <c r="N259" i="3"/>
  <c r="G259" i="3"/>
  <c r="E259" i="3"/>
  <c r="P258" i="3"/>
  <c r="O258" i="3"/>
  <c r="N258" i="3"/>
  <c r="G258" i="3"/>
  <c r="E258" i="3"/>
  <c r="P257" i="3"/>
  <c r="O257" i="3"/>
  <c r="N257" i="3"/>
  <c r="G257" i="3"/>
  <c r="E257" i="3"/>
  <c r="P256" i="3"/>
  <c r="O256" i="3"/>
  <c r="N256" i="3"/>
  <c r="G256" i="3"/>
  <c r="E256" i="3"/>
  <c r="P255" i="3"/>
  <c r="O255" i="3"/>
  <c r="N255" i="3"/>
  <c r="G255" i="3"/>
  <c r="E255" i="3"/>
  <c r="P254" i="3"/>
  <c r="O254" i="3"/>
  <c r="N254" i="3"/>
  <c r="G254" i="3"/>
  <c r="E254" i="3"/>
  <c r="P253" i="3"/>
  <c r="O253" i="3"/>
  <c r="N253" i="3"/>
  <c r="G253" i="3"/>
  <c r="E253" i="3"/>
  <c r="P252" i="3"/>
  <c r="O252" i="3"/>
  <c r="N252" i="3"/>
  <c r="G252" i="3"/>
  <c r="E252" i="3"/>
  <c r="P251" i="3"/>
  <c r="O251" i="3"/>
  <c r="N251" i="3"/>
  <c r="G251" i="3"/>
  <c r="E251" i="3"/>
  <c r="P250" i="3"/>
  <c r="O250" i="3"/>
  <c r="N250" i="3"/>
  <c r="G250" i="3"/>
  <c r="E250" i="3"/>
  <c r="P249" i="3"/>
  <c r="O249" i="3"/>
  <c r="N249" i="3"/>
  <c r="G249" i="3"/>
  <c r="E249" i="3"/>
  <c r="P248" i="3"/>
  <c r="O248" i="3"/>
  <c r="N248" i="3"/>
  <c r="G248" i="3"/>
  <c r="E248" i="3"/>
  <c r="P247" i="3"/>
  <c r="O247" i="3"/>
  <c r="N247" i="3"/>
  <c r="G247" i="3"/>
  <c r="E247" i="3"/>
  <c r="P246" i="3"/>
  <c r="O246" i="3"/>
  <c r="N246" i="3"/>
  <c r="G246" i="3"/>
  <c r="E246" i="3"/>
  <c r="P245" i="3"/>
  <c r="O245" i="3"/>
  <c r="N245" i="3"/>
  <c r="G245" i="3"/>
  <c r="E245" i="3"/>
  <c r="P244" i="3"/>
  <c r="O244" i="3"/>
  <c r="N244" i="3"/>
  <c r="G244" i="3"/>
  <c r="E244" i="3"/>
  <c r="P243" i="3"/>
  <c r="O243" i="3"/>
  <c r="N243" i="3"/>
  <c r="G243" i="3"/>
  <c r="E243" i="3"/>
  <c r="P242" i="3"/>
  <c r="O242" i="3"/>
  <c r="N242" i="3"/>
  <c r="G242" i="3"/>
  <c r="E242" i="3"/>
  <c r="P241" i="3"/>
  <c r="O241" i="3"/>
  <c r="N241" i="3"/>
  <c r="G241" i="3"/>
  <c r="E241" i="3"/>
  <c r="P240" i="3"/>
  <c r="O240" i="3"/>
  <c r="N240" i="3"/>
  <c r="G240" i="3"/>
  <c r="E240" i="3"/>
  <c r="P239" i="3"/>
  <c r="O239" i="3"/>
  <c r="N239" i="3"/>
  <c r="G239" i="3"/>
  <c r="E239" i="3"/>
  <c r="P238" i="3"/>
  <c r="O238" i="3"/>
  <c r="N238" i="3"/>
  <c r="G238" i="3"/>
  <c r="E238" i="3"/>
  <c r="P237" i="3"/>
  <c r="O237" i="3"/>
  <c r="N237" i="3"/>
  <c r="G237" i="3"/>
  <c r="E237" i="3"/>
  <c r="P236" i="3"/>
  <c r="O236" i="3"/>
  <c r="N236" i="3"/>
  <c r="G236" i="3"/>
  <c r="E236" i="3"/>
  <c r="P235" i="3"/>
  <c r="O235" i="3"/>
  <c r="N235" i="3"/>
  <c r="G235" i="3"/>
  <c r="E235" i="3"/>
  <c r="P234" i="3"/>
  <c r="O234" i="3"/>
  <c r="N234" i="3"/>
  <c r="G234" i="3"/>
  <c r="E234" i="3"/>
  <c r="P233" i="3"/>
  <c r="O233" i="3"/>
  <c r="N233" i="3"/>
  <c r="G233" i="3"/>
  <c r="E233" i="3"/>
  <c r="P232" i="3"/>
  <c r="O232" i="3"/>
  <c r="N232" i="3"/>
  <c r="G232" i="3"/>
  <c r="E232" i="3"/>
  <c r="P231" i="3"/>
  <c r="O231" i="3"/>
  <c r="N231" i="3"/>
  <c r="G231" i="3"/>
  <c r="E231" i="3"/>
  <c r="P230" i="3"/>
  <c r="O230" i="3"/>
  <c r="N230" i="3"/>
  <c r="G230" i="3"/>
  <c r="E230" i="3"/>
  <c r="P229" i="3"/>
  <c r="O229" i="3"/>
  <c r="N229" i="3"/>
  <c r="G229" i="3"/>
  <c r="E229" i="3"/>
  <c r="P228" i="3"/>
  <c r="O228" i="3"/>
  <c r="N228" i="3"/>
  <c r="G228" i="3"/>
  <c r="E228" i="3"/>
  <c r="P227" i="3"/>
  <c r="O227" i="3"/>
  <c r="N227" i="3"/>
  <c r="G227" i="3"/>
  <c r="E227" i="3"/>
  <c r="P226" i="3"/>
  <c r="O226" i="3"/>
  <c r="N226" i="3"/>
  <c r="G226" i="3"/>
  <c r="E226" i="3"/>
  <c r="P225" i="3"/>
  <c r="O225" i="3"/>
  <c r="N225" i="3"/>
  <c r="G225" i="3"/>
  <c r="E225" i="3"/>
  <c r="P224" i="3"/>
  <c r="O224" i="3"/>
  <c r="N224" i="3"/>
  <c r="G224" i="3"/>
  <c r="E224" i="3"/>
  <c r="P223" i="3"/>
  <c r="O223" i="3"/>
  <c r="N223" i="3"/>
  <c r="G223" i="3"/>
  <c r="E223" i="3"/>
  <c r="P222" i="3"/>
  <c r="O222" i="3"/>
  <c r="N222" i="3"/>
  <c r="G222" i="3"/>
  <c r="E222" i="3"/>
  <c r="P221" i="3"/>
  <c r="O221" i="3"/>
  <c r="N221" i="3"/>
  <c r="G221" i="3"/>
  <c r="E221" i="3"/>
  <c r="P220" i="3"/>
  <c r="O220" i="3"/>
  <c r="N220" i="3"/>
  <c r="G220" i="3"/>
  <c r="E220" i="3"/>
  <c r="P219" i="3"/>
  <c r="O219" i="3"/>
  <c r="N219" i="3"/>
  <c r="G219" i="3"/>
  <c r="E219" i="3"/>
  <c r="P218" i="3"/>
  <c r="O218" i="3"/>
  <c r="N218" i="3"/>
  <c r="G218" i="3"/>
  <c r="E218" i="3"/>
  <c r="P217" i="3"/>
  <c r="O217" i="3"/>
  <c r="N217" i="3"/>
  <c r="G217" i="3"/>
  <c r="E217" i="3"/>
  <c r="P216" i="3"/>
  <c r="O216" i="3"/>
  <c r="N216" i="3"/>
  <c r="G216" i="3"/>
  <c r="E216" i="3"/>
  <c r="P215" i="3"/>
  <c r="O215" i="3"/>
  <c r="N215" i="3"/>
  <c r="G215" i="3"/>
  <c r="E215" i="3"/>
  <c r="P214" i="3"/>
  <c r="O214" i="3"/>
  <c r="N214" i="3"/>
  <c r="G214" i="3"/>
  <c r="E214" i="3"/>
  <c r="P213" i="3"/>
  <c r="O213" i="3"/>
  <c r="N213" i="3"/>
  <c r="G213" i="3"/>
  <c r="E213" i="3"/>
  <c r="P212" i="3"/>
  <c r="O212" i="3"/>
  <c r="N212" i="3"/>
  <c r="G212" i="3"/>
  <c r="E212" i="3"/>
  <c r="P211" i="3"/>
  <c r="O211" i="3"/>
  <c r="N211" i="3"/>
  <c r="G211" i="3"/>
  <c r="E211" i="3"/>
  <c r="P210" i="3"/>
  <c r="O210" i="3"/>
  <c r="N210" i="3"/>
  <c r="G210" i="3"/>
  <c r="E210" i="3"/>
  <c r="P209" i="3"/>
  <c r="O209" i="3"/>
  <c r="N209" i="3"/>
  <c r="G209" i="3"/>
  <c r="E209" i="3"/>
  <c r="P208" i="3"/>
  <c r="O208" i="3"/>
  <c r="N208" i="3"/>
  <c r="G208" i="3"/>
  <c r="E208" i="3"/>
  <c r="P207" i="3"/>
  <c r="O207" i="3"/>
  <c r="N207" i="3"/>
  <c r="G207" i="3"/>
  <c r="E207" i="3"/>
  <c r="P206" i="3"/>
  <c r="O206" i="3"/>
  <c r="N206" i="3"/>
  <c r="G206" i="3"/>
  <c r="E206" i="3"/>
  <c r="P205" i="3"/>
  <c r="O205" i="3"/>
  <c r="N205" i="3"/>
  <c r="G205" i="3"/>
  <c r="E205" i="3"/>
  <c r="P204" i="3"/>
  <c r="O204" i="3"/>
  <c r="N204" i="3"/>
  <c r="G204" i="3"/>
  <c r="E204" i="3"/>
  <c r="P203" i="3"/>
  <c r="O203" i="3"/>
  <c r="N203" i="3"/>
  <c r="G203" i="3"/>
  <c r="E203" i="3"/>
  <c r="P202" i="3"/>
  <c r="O202" i="3"/>
  <c r="N202" i="3"/>
  <c r="G202" i="3"/>
  <c r="E202" i="3"/>
  <c r="P201" i="3"/>
  <c r="O201" i="3"/>
  <c r="N201" i="3"/>
  <c r="G201" i="3"/>
  <c r="E201" i="3"/>
  <c r="P200" i="3"/>
  <c r="O200" i="3"/>
  <c r="N200" i="3"/>
  <c r="G200" i="3"/>
  <c r="E200" i="3"/>
  <c r="P199" i="3"/>
  <c r="O199" i="3"/>
  <c r="N199" i="3"/>
  <c r="G199" i="3"/>
  <c r="E199" i="3"/>
  <c r="P198" i="3"/>
  <c r="O198" i="3"/>
  <c r="N198" i="3"/>
  <c r="G198" i="3"/>
  <c r="E198" i="3"/>
  <c r="P197" i="3"/>
  <c r="O197" i="3"/>
  <c r="N197" i="3"/>
  <c r="G197" i="3"/>
  <c r="E197" i="3"/>
  <c r="P196" i="3"/>
  <c r="O196" i="3"/>
  <c r="N196" i="3"/>
  <c r="G196" i="3"/>
  <c r="E196" i="3"/>
  <c r="P195" i="3"/>
  <c r="O195" i="3"/>
  <c r="N195" i="3"/>
  <c r="G195" i="3"/>
  <c r="E195" i="3"/>
  <c r="P194" i="3"/>
  <c r="O194" i="3"/>
  <c r="N194" i="3"/>
  <c r="G194" i="3"/>
  <c r="E194" i="3"/>
  <c r="P193" i="3"/>
  <c r="O193" i="3"/>
  <c r="N193" i="3"/>
  <c r="G193" i="3"/>
  <c r="E193" i="3"/>
  <c r="P192" i="3"/>
  <c r="O192" i="3"/>
  <c r="N192" i="3"/>
  <c r="G192" i="3"/>
  <c r="E192" i="3"/>
  <c r="P191" i="3"/>
  <c r="O191" i="3"/>
  <c r="N191" i="3"/>
  <c r="G191" i="3"/>
  <c r="E191" i="3"/>
  <c r="P190" i="3"/>
  <c r="O190" i="3"/>
  <c r="N190" i="3"/>
  <c r="G190" i="3"/>
  <c r="E190" i="3"/>
  <c r="P189" i="3"/>
  <c r="O189" i="3"/>
  <c r="N189" i="3"/>
  <c r="G189" i="3"/>
  <c r="E189" i="3"/>
  <c r="P188" i="3"/>
  <c r="O188" i="3"/>
  <c r="N188" i="3"/>
  <c r="G188" i="3"/>
  <c r="E188" i="3"/>
  <c r="P187" i="3"/>
  <c r="O187" i="3"/>
  <c r="N187" i="3"/>
  <c r="G187" i="3"/>
  <c r="E187" i="3"/>
  <c r="P186" i="3"/>
  <c r="O186" i="3"/>
  <c r="N186" i="3"/>
  <c r="G186" i="3"/>
  <c r="E186" i="3"/>
  <c r="P185" i="3"/>
  <c r="O185" i="3"/>
  <c r="N185" i="3"/>
  <c r="G185" i="3"/>
  <c r="E185" i="3"/>
  <c r="P184" i="3"/>
  <c r="O184" i="3"/>
  <c r="N184" i="3"/>
  <c r="G184" i="3"/>
  <c r="E184" i="3"/>
  <c r="P183" i="3"/>
  <c r="O183" i="3"/>
  <c r="N183" i="3"/>
  <c r="G183" i="3"/>
  <c r="E183" i="3"/>
  <c r="P182" i="3"/>
  <c r="O182" i="3"/>
  <c r="N182" i="3"/>
  <c r="G182" i="3"/>
  <c r="E182" i="3"/>
  <c r="P181" i="3"/>
  <c r="O181" i="3"/>
  <c r="N181" i="3"/>
  <c r="G181" i="3"/>
  <c r="E181" i="3"/>
  <c r="P180" i="3"/>
  <c r="O180" i="3"/>
  <c r="N180" i="3"/>
  <c r="G180" i="3"/>
  <c r="E180" i="3"/>
  <c r="P179" i="3"/>
  <c r="O179" i="3"/>
  <c r="N179" i="3"/>
  <c r="G179" i="3"/>
  <c r="E179" i="3"/>
  <c r="P178" i="3"/>
  <c r="O178" i="3"/>
  <c r="N178" i="3"/>
  <c r="G178" i="3"/>
  <c r="E178" i="3"/>
  <c r="P177" i="3"/>
  <c r="O177" i="3"/>
  <c r="N177" i="3"/>
  <c r="G177" i="3"/>
  <c r="E177" i="3"/>
  <c r="P176" i="3"/>
  <c r="O176" i="3"/>
  <c r="N176" i="3"/>
  <c r="G176" i="3"/>
  <c r="E176" i="3"/>
  <c r="P175" i="3"/>
  <c r="O175" i="3"/>
  <c r="N175" i="3"/>
  <c r="G175" i="3"/>
  <c r="E175" i="3"/>
  <c r="P174" i="3"/>
  <c r="O174" i="3"/>
  <c r="N174" i="3"/>
  <c r="G174" i="3"/>
  <c r="E174" i="3"/>
  <c r="P173" i="3"/>
  <c r="O173" i="3"/>
  <c r="N173" i="3"/>
  <c r="G173" i="3"/>
  <c r="E173" i="3"/>
  <c r="P172" i="3"/>
  <c r="O172" i="3"/>
  <c r="N172" i="3"/>
  <c r="G172" i="3"/>
  <c r="E172" i="3"/>
  <c r="P171" i="3"/>
  <c r="O171" i="3"/>
  <c r="N171" i="3"/>
  <c r="G171" i="3"/>
  <c r="E171" i="3"/>
  <c r="P170" i="3"/>
  <c r="O170" i="3"/>
  <c r="N170" i="3"/>
  <c r="G170" i="3"/>
  <c r="E170" i="3"/>
  <c r="P169" i="3"/>
  <c r="O169" i="3"/>
  <c r="N169" i="3"/>
  <c r="G169" i="3"/>
  <c r="E169" i="3"/>
  <c r="P168" i="3"/>
  <c r="O168" i="3"/>
  <c r="N168" i="3"/>
  <c r="G168" i="3"/>
  <c r="E168" i="3"/>
  <c r="P167" i="3"/>
  <c r="O167" i="3"/>
  <c r="N167" i="3"/>
  <c r="G167" i="3"/>
  <c r="E167" i="3"/>
  <c r="P166" i="3"/>
  <c r="O166" i="3"/>
  <c r="N166" i="3"/>
  <c r="G166" i="3"/>
  <c r="E166" i="3"/>
  <c r="P165" i="3"/>
  <c r="O165" i="3"/>
  <c r="N165" i="3"/>
  <c r="G165" i="3"/>
  <c r="E165" i="3"/>
  <c r="P164" i="3"/>
  <c r="O164" i="3"/>
  <c r="N164" i="3"/>
  <c r="G164" i="3"/>
  <c r="E164" i="3"/>
  <c r="P163" i="3"/>
  <c r="O163" i="3"/>
  <c r="N163" i="3"/>
  <c r="G163" i="3"/>
  <c r="E163" i="3"/>
  <c r="P162" i="3"/>
  <c r="O162" i="3"/>
  <c r="N162" i="3"/>
  <c r="G162" i="3"/>
  <c r="E162" i="3"/>
  <c r="P161" i="3"/>
  <c r="O161" i="3"/>
  <c r="N161" i="3"/>
  <c r="G161" i="3"/>
  <c r="E161" i="3"/>
  <c r="P160" i="3"/>
  <c r="O160" i="3"/>
  <c r="N160" i="3"/>
  <c r="G160" i="3"/>
  <c r="E160" i="3"/>
  <c r="P159" i="3"/>
  <c r="O159" i="3"/>
  <c r="N159" i="3"/>
  <c r="G159" i="3"/>
  <c r="E159" i="3"/>
  <c r="P158" i="3"/>
  <c r="O158" i="3"/>
  <c r="N158" i="3"/>
  <c r="G158" i="3"/>
  <c r="E158" i="3"/>
  <c r="P157" i="3"/>
  <c r="O157" i="3"/>
  <c r="N157" i="3"/>
  <c r="G157" i="3"/>
  <c r="E157" i="3"/>
  <c r="P156" i="3"/>
  <c r="O156" i="3"/>
  <c r="N156" i="3"/>
  <c r="G156" i="3"/>
  <c r="E156" i="3"/>
  <c r="P155" i="3"/>
  <c r="O155" i="3"/>
  <c r="N155" i="3"/>
  <c r="G155" i="3"/>
  <c r="E155" i="3"/>
  <c r="P154" i="3"/>
  <c r="O154" i="3"/>
  <c r="N154" i="3"/>
  <c r="G154" i="3"/>
  <c r="E154" i="3"/>
  <c r="P153" i="3"/>
  <c r="O153" i="3"/>
  <c r="N153" i="3"/>
  <c r="G153" i="3"/>
  <c r="E153" i="3"/>
  <c r="P152" i="3"/>
  <c r="O152" i="3"/>
  <c r="N152" i="3"/>
  <c r="G152" i="3"/>
  <c r="E152" i="3"/>
  <c r="P151" i="3"/>
  <c r="O151" i="3"/>
  <c r="N151" i="3"/>
  <c r="G151" i="3"/>
  <c r="E151" i="3"/>
  <c r="P150" i="3"/>
  <c r="O150" i="3"/>
  <c r="N150" i="3"/>
  <c r="G150" i="3"/>
  <c r="E150" i="3"/>
  <c r="P149" i="3"/>
  <c r="O149" i="3"/>
  <c r="N149" i="3"/>
  <c r="G149" i="3"/>
  <c r="E149" i="3"/>
  <c r="P148" i="3"/>
  <c r="O148" i="3"/>
  <c r="N148" i="3"/>
  <c r="G148" i="3"/>
  <c r="E148" i="3"/>
  <c r="P147" i="3"/>
  <c r="O147" i="3"/>
  <c r="N147" i="3"/>
  <c r="G147" i="3"/>
  <c r="E147" i="3"/>
  <c r="P146" i="3"/>
  <c r="O146" i="3"/>
  <c r="N146" i="3"/>
  <c r="G146" i="3"/>
  <c r="E146" i="3"/>
  <c r="P145" i="3"/>
  <c r="O145" i="3"/>
  <c r="N145" i="3"/>
  <c r="G145" i="3"/>
  <c r="E145" i="3"/>
  <c r="P144" i="3"/>
  <c r="O144" i="3"/>
  <c r="N144" i="3"/>
  <c r="G144" i="3"/>
  <c r="E144" i="3"/>
  <c r="P143" i="3"/>
  <c r="O143" i="3"/>
  <c r="N143" i="3"/>
  <c r="G143" i="3"/>
  <c r="E143" i="3"/>
  <c r="P142" i="3"/>
  <c r="O142" i="3"/>
  <c r="N142" i="3"/>
  <c r="G142" i="3"/>
  <c r="E142" i="3"/>
  <c r="P141" i="3"/>
  <c r="O141" i="3"/>
  <c r="N141" i="3"/>
  <c r="G141" i="3"/>
  <c r="E141" i="3"/>
  <c r="P140" i="3"/>
  <c r="O140" i="3"/>
  <c r="N140" i="3"/>
  <c r="G140" i="3"/>
  <c r="E140" i="3"/>
  <c r="P139" i="3"/>
  <c r="O139" i="3"/>
  <c r="N139" i="3"/>
  <c r="G139" i="3"/>
  <c r="E139" i="3"/>
  <c r="P138" i="3"/>
  <c r="O138" i="3"/>
  <c r="N138" i="3"/>
  <c r="G138" i="3"/>
  <c r="E138" i="3"/>
  <c r="P137" i="3"/>
  <c r="O137" i="3"/>
  <c r="N137" i="3"/>
  <c r="G137" i="3"/>
  <c r="E137" i="3"/>
  <c r="P136" i="3"/>
  <c r="O136" i="3"/>
  <c r="N136" i="3"/>
  <c r="G136" i="3"/>
  <c r="E136" i="3"/>
  <c r="P135" i="3"/>
  <c r="O135" i="3"/>
  <c r="N135" i="3"/>
  <c r="G135" i="3"/>
  <c r="E135" i="3"/>
  <c r="P134" i="3"/>
  <c r="O134" i="3"/>
  <c r="N134" i="3"/>
  <c r="G134" i="3"/>
  <c r="E134" i="3"/>
  <c r="P133" i="3"/>
  <c r="O133" i="3"/>
  <c r="N133" i="3"/>
  <c r="G133" i="3"/>
  <c r="E133" i="3"/>
  <c r="P132" i="3"/>
  <c r="O132" i="3"/>
  <c r="N132" i="3"/>
  <c r="G132" i="3"/>
  <c r="E132" i="3"/>
  <c r="P131" i="3"/>
  <c r="O131" i="3"/>
  <c r="N131" i="3"/>
  <c r="G131" i="3"/>
  <c r="E131" i="3"/>
  <c r="P130" i="3"/>
  <c r="O130" i="3"/>
  <c r="N130" i="3"/>
  <c r="G130" i="3"/>
  <c r="E130" i="3"/>
  <c r="P129" i="3"/>
  <c r="O129" i="3"/>
  <c r="N129" i="3"/>
  <c r="G129" i="3"/>
  <c r="E129" i="3"/>
  <c r="P128" i="3"/>
  <c r="O128" i="3"/>
  <c r="N128" i="3"/>
  <c r="G128" i="3"/>
  <c r="E128" i="3"/>
  <c r="P127" i="3"/>
  <c r="O127" i="3"/>
  <c r="N127" i="3"/>
  <c r="G127" i="3"/>
  <c r="E127" i="3"/>
  <c r="P126" i="3"/>
  <c r="O126" i="3"/>
  <c r="N126" i="3"/>
  <c r="G126" i="3"/>
  <c r="E126" i="3"/>
  <c r="P125" i="3"/>
  <c r="O125" i="3"/>
  <c r="N125" i="3"/>
  <c r="G125" i="3"/>
  <c r="E125" i="3"/>
  <c r="P124" i="3"/>
  <c r="O124" i="3"/>
  <c r="N124" i="3"/>
  <c r="G124" i="3"/>
  <c r="E124" i="3"/>
  <c r="P123" i="3"/>
  <c r="O123" i="3"/>
  <c r="N123" i="3"/>
  <c r="G123" i="3"/>
  <c r="E123" i="3"/>
  <c r="P122" i="3"/>
  <c r="O122" i="3"/>
  <c r="N122" i="3"/>
  <c r="G122" i="3"/>
  <c r="E122" i="3"/>
  <c r="P121" i="3"/>
  <c r="O121" i="3"/>
  <c r="N121" i="3"/>
  <c r="G121" i="3"/>
  <c r="E121" i="3"/>
  <c r="P120" i="3"/>
  <c r="O120" i="3"/>
  <c r="N120" i="3"/>
  <c r="G120" i="3"/>
  <c r="E120" i="3"/>
  <c r="P119" i="3"/>
  <c r="O119" i="3"/>
  <c r="N119" i="3"/>
  <c r="G119" i="3"/>
  <c r="E119" i="3"/>
  <c r="P118" i="3"/>
  <c r="O118" i="3"/>
  <c r="N118" i="3"/>
  <c r="G118" i="3"/>
  <c r="E118" i="3"/>
  <c r="P117" i="3"/>
  <c r="O117" i="3"/>
  <c r="N117" i="3"/>
  <c r="G117" i="3"/>
  <c r="E117" i="3"/>
  <c r="P116" i="3"/>
  <c r="O116" i="3"/>
  <c r="N116" i="3"/>
  <c r="G116" i="3"/>
  <c r="E116" i="3"/>
  <c r="P115" i="3"/>
  <c r="O115" i="3"/>
  <c r="N115" i="3"/>
  <c r="G115" i="3"/>
  <c r="E115" i="3"/>
  <c r="P114" i="3"/>
  <c r="O114" i="3"/>
  <c r="N114" i="3"/>
  <c r="G114" i="3"/>
  <c r="E114" i="3"/>
  <c r="P113" i="3"/>
  <c r="O113" i="3"/>
  <c r="N113" i="3"/>
  <c r="G113" i="3"/>
  <c r="E113" i="3"/>
  <c r="P112" i="3"/>
  <c r="O112" i="3"/>
  <c r="N112" i="3"/>
  <c r="G112" i="3"/>
  <c r="E112" i="3"/>
  <c r="P111" i="3"/>
  <c r="O111" i="3"/>
  <c r="N111" i="3"/>
  <c r="G111" i="3"/>
  <c r="E111" i="3"/>
  <c r="P110" i="3"/>
  <c r="O110" i="3"/>
  <c r="N110" i="3"/>
  <c r="G110" i="3"/>
  <c r="E110" i="3"/>
  <c r="P109" i="3"/>
  <c r="O109" i="3"/>
  <c r="N109" i="3"/>
  <c r="G109" i="3"/>
  <c r="E109" i="3"/>
  <c r="P108" i="3"/>
  <c r="O108" i="3"/>
  <c r="N108" i="3"/>
  <c r="G108" i="3"/>
  <c r="E108" i="3"/>
  <c r="P107" i="3"/>
  <c r="O107" i="3"/>
  <c r="N107" i="3"/>
  <c r="G107" i="3"/>
  <c r="E107" i="3"/>
  <c r="P106" i="3"/>
  <c r="O106" i="3"/>
  <c r="N106" i="3"/>
  <c r="G106" i="3"/>
  <c r="E106" i="3"/>
  <c r="P105" i="3"/>
  <c r="O105" i="3"/>
  <c r="N105" i="3"/>
  <c r="G105" i="3"/>
  <c r="E105" i="3"/>
  <c r="P104" i="3"/>
  <c r="O104" i="3"/>
  <c r="N104" i="3"/>
  <c r="G104" i="3"/>
  <c r="E104" i="3"/>
  <c r="P103" i="3"/>
  <c r="O103" i="3"/>
  <c r="N103" i="3"/>
  <c r="G103" i="3"/>
  <c r="E103" i="3"/>
  <c r="P102" i="3"/>
  <c r="O102" i="3"/>
  <c r="N102" i="3"/>
  <c r="G102" i="3"/>
  <c r="E102" i="3"/>
  <c r="P101" i="3"/>
  <c r="O101" i="3"/>
  <c r="N101" i="3"/>
  <c r="G101" i="3"/>
  <c r="E101" i="3"/>
  <c r="P100" i="3"/>
  <c r="O100" i="3"/>
  <c r="N100" i="3"/>
  <c r="G100" i="3"/>
  <c r="E100" i="3"/>
  <c r="P99" i="3"/>
  <c r="O99" i="3"/>
  <c r="N99" i="3"/>
  <c r="G99" i="3"/>
  <c r="E99" i="3"/>
  <c r="P98" i="3"/>
  <c r="O98" i="3"/>
  <c r="N98" i="3"/>
  <c r="G98" i="3"/>
  <c r="E98" i="3"/>
  <c r="P97" i="3"/>
  <c r="O97" i="3"/>
  <c r="N97" i="3"/>
  <c r="G97" i="3"/>
  <c r="E97" i="3"/>
  <c r="P96" i="3"/>
  <c r="O96" i="3"/>
  <c r="N96" i="3"/>
  <c r="G96" i="3"/>
  <c r="E96" i="3"/>
  <c r="P95" i="3"/>
  <c r="O95" i="3"/>
  <c r="N95" i="3"/>
  <c r="G95" i="3"/>
  <c r="E95" i="3"/>
  <c r="P94" i="3"/>
  <c r="O94" i="3"/>
  <c r="N94" i="3"/>
  <c r="G94" i="3"/>
  <c r="E94" i="3"/>
  <c r="P93" i="3"/>
  <c r="O93" i="3"/>
  <c r="N93" i="3"/>
  <c r="G93" i="3"/>
  <c r="E93" i="3"/>
  <c r="P92" i="3"/>
  <c r="O92" i="3"/>
  <c r="N92" i="3"/>
  <c r="G92" i="3"/>
  <c r="E92" i="3"/>
  <c r="P91" i="3"/>
  <c r="O91" i="3"/>
  <c r="N91" i="3"/>
  <c r="G91" i="3"/>
  <c r="E91" i="3"/>
  <c r="P90" i="3"/>
  <c r="O90" i="3"/>
  <c r="N90" i="3"/>
  <c r="G90" i="3"/>
  <c r="E90" i="3"/>
  <c r="P89" i="3"/>
  <c r="O89" i="3"/>
  <c r="N89" i="3"/>
  <c r="G89" i="3"/>
  <c r="E89" i="3"/>
  <c r="P88" i="3"/>
  <c r="O88" i="3"/>
  <c r="N88" i="3"/>
  <c r="G88" i="3"/>
  <c r="E88" i="3"/>
  <c r="P87" i="3"/>
  <c r="O87" i="3"/>
  <c r="N87" i="3"/>
  <c r="G87" i="3"/>
  <c r="E87" i="3"/>
  <c r="P86" i="3"/>
  <c r="O86" i="3"/>
  <c r="N86" i="3"/>
  <c r="G86" i="3"/>
  <c r="E86" i="3"/>
  <c r="P85" i="3"/>
  <c r="O85" i="3"/>
  <c r="N85" i="3"/>
  <c r="G85" i="3"/>
  <c r="E85" i="3"/>
  <c r="P84" i="3"/>
  <c r="O84" i="3"/>
  <c r="N84" i="3"/>
  <c r="G84" i="3"/>
  <c r="E84" i="3"/>
  <c r="P83" i="3"/>
  <c r="O83" i="3"/>
  <c r="N83" i="3"/>
  <c r="G83" i="3"/>
  <c r="E83" i="3"/>
  <c r="P82" i="3"/>
  <c r="O82" i="3"/>
  <c r="N82" i="3"/>
  <c r="G82" i="3"/>
  <c r="E82" i="3"/>
  <c r="P81" i="3"/>
  <c r="O81" i="3"/>
  <c r="N81" i="3"/>
  <c r="G81" i="3"/>
  <c r="E81" i="3"/>
  <c r="P80" i="3"/>
  <c r="O80" i="3"/>
  <c r="N80" i="3"/>
  <c r="G80" i="3"/>
  <c r="E80" i="3"/>
  <c r="P79" i="3"/>
  <c r="O79" i="3"/>
  <c r="N79" i="3"/>
  <c r="G79" i="3"/>
  <c r="E79" i="3"/>
  <c r="P78" i="3"/>
  <c r="O78" i="3"/>
  <c r="N78" i="3"/>
  <c r="G78" i="3"/>
  <c r="E78" i="3"/>
  <c r="P77" i="3"/>
  <c r="O77" i="3"/>
  <c r="N77" i="3"/>
  <c r="G77" i="3"/>
  <c r="E77" i="3"/>
  <c r="P76" i="3"/>
  <c r="O76" i="3"/>
  <c r="N76" i="3"/>
  <c r="G76" i="3"/>
  <c r="E76" i="3"/>
  <c r="P75" i="3"/>
  <c r="O75" i="3"/>
  <c r="N75" i="3"/>
  <c r="G75" i="3"/>
  <c r="E75" i="3"/>
  <c r="P74" i="3"/>
  <c r="O74" i="3"/>
  <c r="N74" i="3"/>
  <c r="G74" i="3"/>
  <c r="E74" i="3"/>
  <c r="P73" i="3"/>
  <c r="O73" i="3"/>
  <c r="N73" i="3"/>
  <c r="G73" i="3"/>
  <c r="E73" i="3"/>
  <c r="P72" i="3"/>
  <c r="O72" i="3"/>
  <c r="N72" i="3"/>
  <c r="G72" i="3"/>
  <c r="E72" i="3"/>
  <c r="P71" i="3"/>
  <c r="O71" i="3"/>
  <c r="N71" i="3"/>
  <c r="G71" i="3"/>
  <c r="E71" i="3"/>
  <c r="P70" i="3"/>
  <c r="O70" i="3"/>
  <c r="N70" i="3"/>
  <c r="G70" i="3"/>
  <c r="E70" i="3"/>
  <c r="P69" i="3"/>
  <c r="O69" i="3"/>
  <c r="N69" i="3"/>
  <c r="G69" i="3"/>
  <c r="E69" i="3"/>
  <c r="P68" i="3"/>
  <c r="O68" i="3"/>
  <c r="N68" i="3"/>
  <c r="G68" i="3"/>
  <c r="E68" i="3"/>
  <c r="P67" i="3"/>
  <c r="O67" i="3"/>
  <c r="N67" i="3"/>
  <c r="G67" i="3"/>
  <c r="E67" i="3"/>
  <c r="P66" i="3"/>
  <c r="O66" i="3"/>
  <c r="N66" i="3"/>
  <c r="G66" i="3"/>
  <c r="E66" i="3"/>
  <c r="P65" i="3"/>
  <c r="O65" i="3"/>
  <c r="N65" i="3"/>
  <c r="G65" i="3"/>
  <c r="E65" i="3"/>
  <c r="P64" i="3"/>
  <c r="O64" i="3"/>
  <c r="N64" i="3"/>
  <c r="G64" i="3"/>
  <c r="E64" i="3"/>
  <c r="P63" i="3"/>
  <c r="O63" i="3"/>
  <c r="N63" i="3"/>
  <c r="G63" i="3"/>
  <c r="E63" i="3"/>
  <c r="P62" i="3"/>
  <c r="O62" i="3"/>
  <c r="N62" i="3"/>
  <c r="G62" i="3"/>
  <c r="E62" i="3"/>
  <c r="P61" i="3"/>
  <c r="O61" i="3"/>
  <c r="N61" i="3"/>
  <c r="G61" i="3"/>
  <c r="E61" i="3"/>
  <c r="P60" i="3"/>
  <c r="O60" i="3"/>
  <c r="N60" i="3"/>
  <c r="G60" i="3"/>
  <c r="E60" i="3"/>
  <c r="P59" i="3"/>
  <c r="O59" i="3"/>
  <c r="N59" i="3"/>
  <c r="G59" i="3"/>
  <c r="E59" i="3"/>
  <c r="P58" i="3"/>
  <c r="O58" i="3"/>
  <c r="N58" i="3"/>
  <c r="G58" i="3"/>
  <c r="E58" i="3"/>
  <c r="P57" i="3"/>
  <c r="O57" i="3"/>
  <c r="N57" i="3"/>
  <c r="G57" i="3"/>
  <c r="E57" i="3"/>
  <c r="P56" i="3"/>
  <c r="O56" i="3"/>
  <c r="N56" i="3"/>
  <c r="G56" i="3"/>
  <c r="E56" i="3"/>
  <c r="P55" i="3"/>
  <c r="O55" i="3"/>
  <c r="N55" i="3"/>
  <c r="G55" i="3"/>
  <c r="E55" i="3"/>
  <c r="P54" i="3"/>
  <c r="O54" i="3"/>
  <c r="N54" i="3"/>
  <c r="G54" i="3"/>
  <c r="E54" i="3"/>
  <c r="P53" i="3"/>
  <c r="O53" i="3"/>
  <c r="N53" i="3"/>
  <c r="G53" i="3"/>
  <c r="E53" i="3"/>
  <c r="P52" i="3"/>
  <c r="O52" i="3"/>
  <c r="N52" i="3"/>
  <c r="G52" i="3"/>
  <c r="E52" i="3"/>
  <c r="P51" i="3"/>
  <c r="O51" i="3"/>
  <c r="N51" i="3"/>
  <c r="G51" i="3"/>
  <c r="E51" i="3"/>
  <c r="P50" i="3"/>
  <c r="O50" i="3"/>
  <c r="N50" i="3"/>
  <c r="G50" i="3"/>
  <c r="E50" i="3"/>
  <c r="P49" i="3"/>
  <c r="O49" i="3"/>
  <c r="N49" i="3"/>
  <c r="G49" i="3"/>
  <c r="E49" i="3"/>
  <c r="P48" i="3"/>
  <c r="O48" i="3"/>
  <c r="N48" i="3"/>
  <c r="G48" i="3"/>
  <c r="E48" i="3"/>
  <c r="P47" i="3"/>
  <c r="O47" i="3"/>
  <c r="N47" i="3"/>
  <c r="G47" i="3"/>
  <c r="E47" i="3"/>
  <c r="P46" i="3"/>
  <c r="O46" i="3"/>
  <c r="N46" i="3"/>
  <c r="G46" i="3"/>
  <c r="E46" i="3"/>
  <c r="P45" i="3"/>
  <c r="O45" i="3"/>
  <c r="N45" i="3"/>
  <c r="G45" i="3"/>
  <c r="E45" i="3"/>
  <c r="P44" i="3"/>
  <c r="O44" i="3"/>
  <c r="N44" i="3"/>
  <c r="G44" i="3"/>
  <c r="E44" i="3"/>
  <c r="P43" i="3"/>
  <c r="O43" i="3"/>
  <c r="N43" i="3"/>
  <c r="G43" i="3"/>
  <c r="E43" i="3"/>
  <c r="P42" i="3"/>
  <c r="O42" i="3"/>
  <c r="N42" i="3"/>
  <c r="G42" i="3"/>
  <c r="E42" i="3"/>
  <c r="P41" i="3"/>
  <c r="O41" i="3"/>
  <c r="N41" i="3"/>
  <c r="G41" i="3"/>
  <c r="E41" i="3"/>
  <c r="P40" i="3"/>
  <c r="O40" i="3"/>
  <c r="N40" i="3"/>
  <c r="G40" i="3"/>
  <c r="E40" i="3"/>
  <c r="P39" i="3"/>
  <c r="O39" i="3"/>
  <c r="N39" i="3"/>
  <c r="G39" i="3"/>
  <c r="E39" i="3"/>
  <c r="P38" i="3"/>
  <c r="O38" i="3"/>
  <c r="N38" i="3"/>
  <c r="G38" i="3"/>
  <c r="E38" i="3"/>
  <c r="P37" i="3"/>
  <c r="O37" i="3"/>
  <c r="N37" i="3"/>
  <c r="G37" i="3"/>
  <c r="E37" i="3"/>
  <c r="P36" i="3"/>
  <c r="O36" i="3"/>
  <c r="N36" i="3"/>
  <c r="G36" i="3"/>
  <c r="E36" i="3"/>
  <c r="P35" i="3"/>
  <c r="O35" i="3"/>
  <c r="N35" i="3"/>
  <c r="G35" i="3"/>
  <c r="E35" i="3"/>
  <c r="P34" i="3"/>
  <c r="O34" i="3"/>
  <c r="N34" i="3"/>
  <c r="G34" i="3"/>
  <c r="E34" i="3"/>
  <c r="P33" i="3"/>
  <c r="O33" i="3"/>
  <c r="N33" i="3"/>
  <c r="G33" i="3"/>
  <c r="E33" i="3"/>
  <c r="P32" i="3"/>
  <c r="O32" i="3"/>
  <c r="N32" i="3"/>
  <c r="G32" i="3"/>
  <c r="E32" i="3"/>
  <c r="P31" i="3"/>
  <c r="O31" i="3"/>
  <c r="N31" i="3"/>
  <c r="G31" i="3"/>
  <c r="E31" i="3"/>
  <c r="P30" i="3"/>
  <c r="O30" i="3"/>
  <c r="N30" i="3"/>
  <c r="G30" i="3"/>
  <c r="E30" i="3"/>
  <c r="P29" i="3"/>
  <c r="O29" i="3"/>
  <c r="N29" i="3"/>
  <c r="G29" i="3"/>
  <c r="E29" i="3"/>
  <c r="P28" i="3"/>
  <c r="O28" i="3"/>
  <c r="N28" i="3"/>
  <c r="G28" i="3"/>
  <c r="E28" i="3"/>
  <c r="P27" i="3"/>
  <c r="O27" i="3"/>
  <c r="N27" i="3"/>
  <c r="G27" i="3"/>
  <c r="E27" i="3"/>
  <c r="P26" i="3"/>
  <c r="O26" i="3"/>
  <c r="N26" i="3"/>
  <c r="G26" i="3"/>
  <c r="E26" i="3"/>
  <c r="P25" i="3"/>
  <c r="O25" i="3"/>
  <c r="N25" i="3"/>
  <c r="G25" i="3"/>
  <c r="E25" i="3"/>
  <c r="P24" i="3"/>
  <c r="O24" i="3"/>
  <c r="N24" i="3"/>
  <c r="G24" i="3"/>
  <c r="E24" i="3"/>
  <c r="P23" i="3"/>
  <c r="O23" i="3"/>
  <c r="N23" i="3"/>
  <c r="G23" i="3"/>
  <c r="E23" i="3"/>
  <c r="P22" i="3"/>
  <c r="O22" i="3"/>
  <c r="N22" i="3"/>
  <c r="G22" i="3"/>
  <c r="E22" i="3"/>
  <c r="P21" i="3"/>
  <c r="O21" i="3"/>
  <c r="N21" i="3"/>
  <c r="G21" i="3"/>
  <c r="E21" i="3"/>
  <c r="P20" i="3"/>
  <c r="O20" i="3"/>
  <c r="N20" i="3"/>
  <c r="G20" i="3"/>
  <c r="E20" i="3"/>
  <c r="P19" i="3"/>
  <c r="O19" i="3"/>
  <c r="N19" i="3"/>
  <c r="G19" i="3"/>
  <c r="E19" i="3"/>
  <c r="P18" i="3"/>
  <c r="O18" i="3"/>
  <c r="N18" i="3"/>
  <c r="G18" i="3"/>
  <c r="E18" i="3"/>
  <c r="P17" i="3"/>
  <c r="O17" i="3"/>
  <c r="N17" i="3"/>
  <c r="G17" i="3"/>
  <c r="E17" i="3"/>
  <c r="P16" i="3"/>
  <c r="O16" i="3"/>
  <c r="N16" i="3"/>
  <c r="G16" i="3"/>
  <c r="E16" i="3"/>
  <c r="P15" i="3"/>
  <c r="O15" i="3"/>
  <c r="N15" i="3"/>
  <c r="G15" i="3"/>
  <c r="E15" i="3"/>
  <c r="P14" i="3"/>
  <c r="O14" i="3"/>
  <c r="N14" i="3"/>
  <c r="G14" i="3"/>
  <c r="E14" i="3"/>
  <c r="P13" i="3"/>
  <c r="O13" i="3"/>
  <c r="N13" i="3"/>
  <c r="G13" i="3"/>
  <c r="E13" i="3"/>
  <c r="P12" i="3"/>
  <c r="O12" i="3"/>
  <c r="N12" i="3"/>
  <c r="G12" i="3"/>
  <c r="E12" i="3"/>
  <c r="P11" i="3"/>
  <c r="O11" i="3"/>
  <c r="N11" i="3"/>
  <c r="G11" i="3"/>
  <c r="E11" i="3"/>
  <c r="P10" i="3"/>
  <c r="O10" i="3"/>
  <c r="N10" i="3"/>
  <c r="G10" i="3"/>
  <c r="E10" i="3"/>
  <c r="P9" i="3"/>
  <c r="O9" i="3"/>
  <c r="N9" i="3"/>
  <c r="G9" i="3"/>
  <c r="E9" i="3"/>
  <c r="P8" i="3"/>
  <c r="O8" i="3"/>
  <c r="N8" i="3"/>
  <c r="G8" i="3"/>
  <c r="E8" i="3"/>
  <c r="P7" i="3"/>
  <c r="O7" i="3"/>
  <c r="N7" i="3"/>
  <c r="G7" i="3"/>
  <c r="E7" i="3"/>
  <c r="P6" i="3"/>
  <c r="O6" i="3"/>
  <c r="N6" i="3"/>
  <c r="G6" i="3"/>
  <c r="E6" i="3"/>
  <c r="P5" i="3"/>
  <c r="O5" i="3"/>
  <c r="N5" i="3"/>
  <c r="G5" i="3"/>
  <c r="E5" i="3"/>
  <c r="P4" i="3"/>
  <c r="O4" i="3"/>
  <c r="N4" i="3"/>
  <c r="G4" i="3"/>
  <c r="E4" i="3"/>
  <c r="P3" i="3"/>
  <c r="O3" i="3"/>
  <c r="N3" i="3"/>
  <c r="G3" i="3"/>
  <c r="E3" i="3"/>
  <c r="P2" i="3"/>
  <c r="O2" i="3"/>
  <c r="N2" i="3"/>
  <c r="G2" i="3"/>
  <c r="E2" i="3"/>
  <c r="P431" i="1"/>
  <c r="O431" i="1"/>
  <c r="N431" i="1"/>
  <c r="P430" i="1"/>
  <c r="O430" i="1"/>
  <c r="N430" i="1"/>
  <c r="P429" i="1"/>
  <c r="O429" i="1"/>
  <c r="N429" i="1"/>
  <c r="P428" i="1"/>
  <c r="O428" i="1"/>
  <c r="N428" i="1"/>
  <c r="P427" i="1"/>
  <c r="O427" i="1"/>
  <c r="N427" i="1"/>
  <c r="P426" i="1"/>
  <c r="O426" i="1"/>
  <c r="N426" i="1"/>
  <c r="P425" i="1"/>
  <c r="O425" i="1"/>
  <c r="N425" i="1"/>
  <c r="P424" i="1"/>
  <c r="O424" i="1"/>
  <c r="N424" i="1"/>
  <c r="P423" i="1"/>
  <c r="O423" i="1"/>
  <c r="N423" i="1"/>
  <c r="P422" i="1"/>
  <c r="O422" i="1"/>
  <c r="N422" i="1"/>
  <c r="P421" i="1"/>
  <c r="O421" i="1"/>
  <c r="N421" i="1"/>
  <c r="P420" i="1"/>
  <c r="O420" i="1"/>
  <c r="N420" i="1"/>
  <c r="P419" i="1"/>
  <c r="O419" i="1"/>
  <c r="N419" i="1"/>
  <c r="P418" i="1"/>
  <c r="O418" i="1"/>
  <c r="N418" i="1"/>
  <c r="P417" i="1"/>
  <c r="O417" i="1"/>
  <c r="N417" i="1"/>
  <c r="P416" i="1"/>
  <c r="O416" i="1"/>
  <c r="N416" i="1"/>
  <c r="P415" i="1"/>
  <c r="O415" i="1"/>
  <c r="N415" i="1"/>
  <c r="P414" i="1"/>
  <c r="O414" i="1"/>
  <c r="N414" i="1"/>
  <c r="P413" i="1"/>
  <c r="O413" i="1"/>
  <c r="N413" i="1"/>
  <c r="P412" i="1"/>
  <c r="O412" i="1"/>
  <c r="N412" i="1"/>
  <c r="P411" i="1"/>
  <c r="O411" i="1"/>
  <c r="N411" i="1"/>
  <c r="P410" i="1"/>
  <c r="O410" i="1"/>
  <c r="N410" i="1"/>
  <c r="P409" i="1"/>
  <c r="O409" i="1"/>
  <c r="N409" i="1"/>
  <c r="P408" i="1"/>
  <c r="O408" i="1"/>
  <c r="N408" i="1"/>
  <c r="P407" i="1"/>
  <c r="O407" i="1"/>
  <c r="N407" i="1"/>
  <c r="P406" i="1"/>
  <c r="O406" i="1"/>
  <c r="N406" i="1"/>
  <c r="P405" i="1"/>
  <c r="O405" i="1"/>
  <c r="N405" i="1"/>
  <c r="P404" i="1"/>
  <c r="O404" i="1"/>
  <c r="N404" i="1"/>
  <c r="P403" i="1"/>
  <c r="O403" i="1"/>
  <c r="N403" i="1"/>
  <c r="P402" i="1"/>
  <c r="O402" i="1"/>
  <c r="N402" i="1"/>
  <c r="P401" i="1"/>
  <c r="O401" i="1"/>
  <c r="N401" i="1"/>
  <c r="P400" i="1"/>
  <c r="O400" i="1"/>
  <c r="N400" i="1"/>
  <c r="P399" i="1"/>
  <c r="O399" i="1"/>
  <c r="N399" i="1"/>
  <c r="P398" i="1"/>
  <c r="O398" i="1"/>
  <c r="N398" i="1"/>
  <c r="P397" i="1"/>
  <c r="O397" i="1"/>
  <c r="N397" i="1"/>
  <c r="P396" i="1"/>
  <c r="O396" i="1"/>
  <c r="N396" i="1"/>
  <c r="P395" i="1"/>
  <c r="O395" i="1"/>
  <c r="N395" i="1"/>
  <c r="P394" i="1"/>
  <c r="O394" i="1"/>
  <c r="N394" i="1"/>
  <c r="P393" i="1"/>
  <c r="O393" i="1"/>
  <c r="N393" i="1"/>
  <c r="P392" i="1"/>
  <c r="O392" i="1"/>
  <c r="N392" i="1"/>
  <c r="P391" i="1"/>
  <c r="O391" i="1"/>
  <c r="N391" i="1"/>
  <c r="P390" i="1"/>
  <c r="O390" i="1"/>
  <c r="N390" i="1"/>
  <c r="P389" i="1"/>
  <c r="O389" i="1"/>
  <c r="N389" i="1"/>
  <c r="P388" i="1"/>
  <c r="O388" i="1"/>
  <c r="N388" i="1"/>
  <c r="P387" i="1"/>
  <c r="O387" i="1"/>
  <c r="N387" i="1"/>
  <c r="P386" i="1"/>
  <c r="O386" i="1"/>
  <c r="N386" i="1"/>
  <c r="P385" i="1"/>
  <c r="O385" i="1"/>
  <c r="N385" i="1"/>
  <c r="P384" i="1"/>
  <c r="O384" i="1"/>
  <c r="N384" i="1"/>
  <c r="P383" i="1"/>
  <c r="O383" i="1"/>
  <c r="N383" i="1"/>
  <c r="P382" i="1"/>
  <c r="O382" i="1"/>
  <c r="N382" i="1"/>
  <c r="P381" i="1"/>
  <c r="O381" i="1"/>
  <c r="N381" i="1"/>
  <c r="P380" i="1"/>
  <c r="O380" i="1"/>
  <c r="N380" i="1"/>
  <c r="P379" i="1"/>
  <c r="O379" i="1"/>
  <c r="N379" i="1"/>
  <c r="P378" i="1"/>
  <c r="O378" i="1"/>
  <c r="N378" i="1"/>
  <c r="P377" i="1"/>
  <c r="O377" i="1"/>
  <c r="N377" i="1"/>
  <c r="P376" i="1"/>
  <c r="O376" i="1"/>
  <c r="N376" i="1"/>
  <c r="P375" i="1"/>
  <c r="O375" i="1"/>
  <c r="N375" i="1"/>
  <c r="P374" i="1"/>
  <c r="O374" i="1"/>
  <c r="N374" i="1"/>
  <c r="P373" i="1"/>
  <c r="O373" i="1"/>
  <c r="N373" i="1"/>
  <c r="P372" i="1"/>
  <c r="O372" i="1"/>
  <c r="N372" i="1"/>
  <c r="P371" i="1"/>
  <c r="O371" i="1"/>
  <c r="N371" i="1"/>
  <c r="P370" i="1"/>
  <c r="O370" i="1"/>
  <c r="N370" i="1"/>
  <c r="P369" i="1"/>
  <c r="O369" i="1"/>
  <c r="N369" i="1"/>
  <c r="P368" i="1"/>
  <c r="O368" i="1"/>
  <c r="N368" i="1"/>
  <c r="P367" i="1"/>
  <c r="O367" i="1"/>
  <c r="N367" i="1"/>
  <c r="P366" i="1"/>
  <c r="O366" i="1"/>
  <c r="N366" i="1"/>
  <c r="P365" i="1"/>
  <c r="O365" i="1"/>
  <c r="N365" i="1"/>
  <c r="P364" i="1"/>
  <c r="O364" i="1"/>
  <c r="N364" i="1"/>
  <c r="P363" i="1"/>
  <c r="O363" i="1"/>
  <c r="N363" i="1"/>
  <c r="P362" i="1"/>
  <c r="O362" i="1"/>
  <c r="N362" i="1"/>
  <c r="P361" i="1"/>
  <c r="O361" i="1"/>
  <c r="N361" i="1"/>
  <c r="P360" i="1"/>
  <c r="O360" i="1"/>
  <c r="N360" i="1"/>
  <c r="P359" i="1"/>
  <c r="O359" i="1"/>
  <c r="N359" i="1"/>
  <c r="P358" i="1"/>
  <c r="O358" i="1"/>
  <c r="N358" i="1"/>
  <c r="P357" i="1"/>
  <c r="O357" i="1"/>
  <c r="N357" i="1"/>
  <c r="P356" i="1"/>
  <c r="O356" i="1"/>
  <c r="N356" i="1"/>
  <c r="P355" i="1"/>
  <c r="O355" i="1"/>
  <c r="N355" i="1"/>
  <c r="P354" i="1"/>
  <c r="O354" i="1"/>
  <c r="N354" i="1"/>
  <c r="P353" i="1"/>
  <c r="O353" i="1"/>
  <c r="N353" i="1"/>
  <c r="P352" i="1"/>
  <c r="O352" i="1"/>
  <c r="N352" i="1"/>
  <c r="P351" i="1"/>
  <c r="O351" i="1"/>
  <c r="N351" i="1"/>
  <c r="P350" i="1"/>
  <c r="O350" i="1"/>
  <c r="N350" i="1"/>
  <c r="P349" i="1"/>
  <c r="O349" i="1"/>
  <c r="N349" i="1"/>
  <c r="P348" i="1"/>
  <c r="O348" i="1"/>
  <c r="N348" i="1"/>
  <c r="P347" i="1"/>
  <c r="O347" i="1"/>
  <c r="N347" i="1"/>
  <c r="P346" i="1"/>
  <c r="O346" i="1"/>
  <c r="N346" i="1"/>
  <c r="P345" i="1"/>
  <c r="O345" i="1"/>
  <c r="N345" i="1"/>
  <c r="P344" i="1"/>
  <c r="O344" i="1"/>
  <c r="N344" i="1"/>
  <c r="P343" i="1"/>
  <c r="O343" i="1"/>
  <c r="N343" i="1"/>
  <c r="P342" i="1"/>
  <c r="O342" i="1"/>
  <c r="N342" i="1"/>
  <c r="P341" i="1"/>
  <c r="O341" i="1"/>
  <c r="N341" i="1"/>
  <c r="P340" i="1"/>
  <c r="O340" i="1"/>
  <c r="N340" i="1"/>
  <c r="P339" i="1"/>
  <c r="O339" i="1"/>
  <c r="N339" i="1"/>
  <c r="P338" i="1"/>
  <c r="O338" i="1"/>
  <c r="N338" i="1"/>
  <c r="P337" i="1"/>
  <c r="O337" i="1"/>
  <c r="N337" i="1"/>
  <c r="P336" i="1"/>
  <c r="O336" i="1"/>
  <c r="N336" i="1"/>
  <c r="P335" i="1"/>
  <c r="O335" i="1"/>
  <c r="N335" i="1"/>
  <c r="P334" i="1"/>
  <c r="O334" i="1"/>
  <c r="N334" i="1"/>
  <c r="P333" i="1"/>
  <c r="O333" i="1"/>
  <c r="N333" i="1"/>
  <c r="P332" i="1"/>
  <c r="O332" i="1"/>
  <c r="N332" i="1"/>
  <c r="P331" i="1"/>
  <c r="O331" i="1"/>
  <c r="N331" i="1"/>
  <c r="P330" i="1"/>
  <c r="O330" i="1"/>
  <c r="N330" i="1"/>
  <c r="P329" i="1"/>
  <c r="O329" i="1"/>
  <c r="N329" i="1"/>
  <c r="P328" i="1"/>
  <c r="O328" i="1"/>
  <c r="N328" i="1"/>
  <c r="P327" i="1"/>
  <c r="O327" i="1"/>
  <c r="N327" i="1"/>
  <c r="P326" i="1"/>
  <c r="O326" i="1"/>
  <c r="N326" i="1"/>
  <c r="P325" i="1"/>
  <c r="O325" i="1"/>
  <c r="N325" i="1"/>
  <c r="P324" i="1"/>
  <c r="O324" i="1"/>
  <c r="N324" i="1"/>
  <c r="P323" i="1"/>
  <c r="O323" i="1"/>
  <c r="N323" i="1"/>
  <c r="P322" i="1"/>
  <c r="O322" i="1"/>
  <c r="N322" i="1"/>
  <c r="P321" i="1"/>
  <c r="O321" i="1"/>
  <c r="N321" i="1"/>
  <c r="P320" i="1"/>
  <c r="O320" i="1"/>
  <c r="N320" i="1"/>
  <c r="P319" i="1"/>
  <c r="O319" i="1"/>
  <c r="N319" i="1"/>
  <c r="P318" i="1"/>
  <c r="O318" i="1"/>
  <c r="N318" i="1"/>
  <c r="P317" i="1"/>
  <c r="O317" i="1"/>
  <c r="N317" i="1"/>
  <c r="P316" i="1"/>
  <c r="O316" i="1"/>
  <c r="N316" i="1"/>
  <c r="P315" i="1"/>
  <c r="O315" i="1"/>
  <c r="N315" i="1"/>
  <c r="P314" i="1"/>
  <c r="O314" i="1"/>
  <c r="N314" i="1"/>
  <c r="P313" i="1"/>
  <c r="O313" i="1"/>
  <c r="N313" i="1"/>
  <c r="P312" i="1"/>
  <c r="O312" i="1"/>
  <c r="N312" i="1"/>
  <c r="P311" i="1"/>
  <c r="O311" i="1"/>
  <c r="N311" i="1"/>
  <c r="P310" i="1"/>
  <c r="O310" i="1"/>
  <c r="N310" i="1"/>
  <c r="P309" i="1"/>
  <c r="O309" i="1"/>
  <c r="N309" i="1"/>
  <c r="P308" i="1"/>
  <c r="O308" i="1"/>
  <c r="N308" i="1"/>
  <c r="P307" i="1"/>
  <c r="O307" i="1"/>
  <c r="N307" i="1"/>
  <c r="P306" i="1"/>
  <c r="O306" i="1"/>
  <c r="N306" i="1"/>
  <c r="P305" i="1"/>
  <c r="O305" i="1"/>
  <c r="N305" i="1"/>
  <c r="P304" i="1"/>
  <c r="O304" i="1"/>
  <c r="N304" i="1"/>
  <c r="P303" i="1"/>
  <c r="O303" i="1"/>
  <c r="N303" i="1"/>
  <c r="P302" i="1"/>
  <c r="O302" i="1"/>
  <c r="N302" i="1"/>
  <c r="P301" i="1"/>
  <c r="O301" i="1"/>
  <c r="N301" i="1"/>
  <c r="P300" i="1"/>
  <c r="O300" i="1"/>
  <c r="N300" i="1"/>
  <c r="P299" i="1"/>
  <c r="O299" i="1"/>
  <c r="N299" i="1"/>
  <c r="P298" i="1"/>
  <c r="O298" i="1"/>
  <c r="N298" i="1"/>
  <c r="P297" i="1"/>
  <c r="O297" i="1"/>
  <c r="N297" i="1"/>
  <c r="P296" i="1"/>
  <c r="O296" i="1"/>
  <c r="N296" i="1"/>
  <c r="P295" i="1"/>
  <c r="O295" i="1"/>
  <c r="N295" i="1"/>
  <c r="P294" i="1"/>
  <c r="O294" i="1"/>
  <c r="N294" i="1"/>
  <c r="P293" i="1"/>
  <c r="O293" i="1"/>
  <c r="N293" i="1"/>
  <c r="P292" i="1"/>
  <c r="O292" i="1"/>
  <c r="N292" i="1"/>
  <c r="P291" i="1"/>
  <c r="O291" i="1"/>
  <c r="N291" i="1"/>
  <c r="P290" i="1"/>
  <c r="O290" i="1"/>
  <c r="N290" i="1"/>
  <c r="P289" i="1"/>
  <c r="O289" i="1"/>
  <c r="N289" i="1"/>
  <c r="P288" i="1"/>
  <c r="O288" i="1"/>
  <c r="N288" i="1"/>
  <c r="P287" i="1"/>
  <c r="O287" i="1"/>
  <c r="N287" i="1"/>
  <c r="P286" i="1"/>
  <c r="O286" i="1"/>
  <c r="N286" i="1"/>
  <c r="P285" i="1"/>
  <c r="O285" i="1"/>
  <c r="N285" i="1"/>
  <c r="P284" i="1"/>
  <c r="O284" i="1"/>
  <c r="N284" i="1"/>
  <c r="P283" i="1"/>
  <c r="O283" i="1"/>
  <c r="N283" i="1"/>
  <c r="P282" i="1"/>
  <c r="O282" i="1"/>
  <c r="N282" i="1"/>
  <c r="P281" i="1"/>
  <c r="O281" i="1"/>
  <c r="N281" i="1"/>
  <c r="P280" i="1"/>
  <c r="O280" i="1"/>
  <c r="N280" i="1"/>
  <c r="P279" i="1"/>
  <c r="O279" i="1"/>
  <c r="N279" i="1"/>
  <c r="P278" i="1"/>
  <c r="O278" i="1"/>
  <c r="N278" i="1"/>
  <c r="P277" i="1"/>
  <c r="O277" i="1"/>
  <c r="N277" i="1"/>
  <c r="P276" i="1"/>
  <c r="O276" i="1"/>
  <c r="N276" i="1"/>
  <c r="P275" i="1"/>
  <c r="O275" i="1"/>
  <c r="N275" i="1"/>
  <c r="P274" i="1"/>
  <c r="O274" i="1"/>
  <c r="N274" i="1"/>
  <c r="P273" i="1"/>
  <c r="O273" i="1"/>
  <c r="N273" i="1"/>
  <c r="P272" i="1"/>
  <c r="O272" i="1"/>
  <c r="N272" i="1"/>
  <c r="P271" i="1"/>
  <c r="O271" i="1"/>
  <c r="N271" i="1"/>
  <c r="P270" i="1"/>
  <c r="O270" i="1"/>
  <c r="N270" i="1"/>
  <c r="P269" i="1"/>
  <c r="O269" i="1"/>
  <c r="N269" i="1"/>
  <c r="P268" i="1"/>
  <c r="O268" i="1"/>
  <c r="N268" i="1"/>
  <c r="P267" i="1"/>
  <c r="O267" i="1"/>
  <c r="N267" i="1"/>
  <c r="P266" i="1"/>
  <c r="O266" i="1"/>
  <c r="N266" i="1"/>
  <c r="P265" i="1"/>
  <c r="O265" i="1"/>
  <c r="N265" i="1"/>
  <c r="P264" i="1"/>
  <c r="O264" i="1"/>
  <c r="N264" i="1"/>
  <c r="P263" i="1"/>
  <c r="O263" i="1"/>
  <c r="N263" i="1"/>
  <c r="P262" i="1"/>
  <c r="O262" i="1"/>
  <c r="N262" i="1"/>
  <c r="P261" i="1"/>
  <c r="O261" i="1"/>
  <c r="N261" i="1"/>
  <c r="P260" i="1"/>
  <c r="O260" i="1"/>
  <c r="N260" i="1"/>
  <c r="P259" i="1"/>
  <c r="O259" i="1"/>
  <c r="N259" i="1"/>
  <c r="P258" i="1"/>
  <c r="O258" i="1"/>
  <c r="N258" i="1"/>
  <c r="P257" i="1"/>
  <c r="O257" i="1"/>
  <c r="N257" i="1"/>
  <c r="P256" i="1"/>
  <c r="O256" i="1"/>
  <c r="N256" i="1"/>
  <c r="P255" i="1"/>
  <c r="O255" i="1"/>
  <c r="N255" i="1"/>
  <c r="P254" i="1"/>
  <c r="O254" i="1"/>
  <c r="N254" i="1"/>
  <c r="P253" i="1"/>
  <c r="O253" i="1"/>
  <c r="N253" i="1"/>
  <c r="P252" i="1"/>
  <c r="O252" i="1"/>
  <c r="N252" i="1"/>
  <c r="P251" i="1"/>
  <c r="O251" i="1"/>
  <c r="N251" i="1"/>
  <c r="P250" i="1"/>
  <c r="O250" i="1"/>
  <c r="N250" i="1"/>
  <c r="P249" i="1"/>
  <c r="O249" i="1"/>
  <c r="N249" i="1"/>
  <c r="P248" i="1"/>
  <c r="O248" i="1"/>
  <c r="N248" i="1"/>
  <c r="P247" i="1"/>
  <c r="O247" i="1"/>
  <c r="N247" i="1"/>
  <c r="P246" i="1"/>
  <c r="O246" i="1"/>
  <c r="N246" i="1"/>
  <c r="P245" i="1"/>
  <c r="O245" i="1"/>
  <c r="N245" i="1"/>
  <c r="P244" i="1"/>
  <c r="O244" i="1"/>
  <c r="N244" i="1"/>
  <c r="P243" i="1"/>
  <c r="O243" i="1"/>
  <c r="N243" i="1"/>
  <c r="P242" i="1"/>
  <c r="O242" i="1"/>
  <c r="N242" i="1"/>
  <c r="P241" i="1"/>
  <c r="O241" i="1"/>
  <c r="N241" i="1"/>
  <c r="P240" i="1"/>
  <c r="O240" i="1"/>
  <c r="N240" i="1"/>
  <c r="P239" i="1"/>
  <c r="O239" i="1"/>
  <c r="N239" i="1"/>
  <c r="P238" i="1"/>
  <c r="O238" i="1"/>
  <c r="N238" i="1"/>
  <c r="P237" i="1"/>
  <c r="O237" i="1"/>
  <c r="N237" i="1"/>
  <c r="P236" i="1"/>
  <c r="O236" i="1"/>
  <c r="N236" i="1"/>
  <c r="P235" i="1"/>
  <c r="O235" i="1"/>
  <c r="N235" i="1"/>
  <c r="P234" i="1"/>
  <c r="O234" i="1"/>
  <c r="N234" i="1"/>
  <c r="P233" i="1"/>
  <c r="O233" i="1"/>
  <c r="N233" i="1"/>
  <c r="P232" i="1"/>
  <c r="O232" i="1"/>
  <c r="N232" i="1"/>
  <c r="P231" i="1"/>
  <c r="O231" i="1"/>
  <c r="N231" i="1"/>
  <c r="P230" i="1"/>
  <c r="O230" i="1"/>
  <c r="N230" i="1"/>
  <c r="P229" i="1"/>
  <c r="O229" i="1"/>
  <c r="N229" i="1"/>
  <c r="P228" i="1"/>
  <c r="O228" i="1"/>
  <c r="N228" i="1"/>
  <c r="P227" i="1"/>
  <c r="O227" i="1"/>
  <c r="N227" i="1"/>
  <c r="P226" i="1"/>
  <c r="O226" i="1"/>
  <c r="N226" i="1"/>
  <c r="P225" i="1"/>
  <c r="O225" i="1"/>
  <c r="N225" i="1"/>
  <c r="P224" i="1"/>
  <c r="O224" i="1"/>
  <c r="N224" i="1"/>
  <c r="P223" i="1"/>
  <c r="O223" i="1"/>
  <c r="N223" i="1"/>
  <c r="P222" i="1"/>
  <c r="O222" i="1"/>
  <c r="N222" i="1"/>
  <c r="P221" i="1"/>
  <c r="O221" i="1"/>
  <c r="N221" i="1"/>
  <c r="P220" i="1"/>
  <c r="O220" i="1"/>
  <c r="N220" i="1"/>
  <c r="P219" i="1"/>
  <c r="O219" i="1"/>
  <c r="N219" i="1"/>
  <c r="P218" i="1"/>
  <c r="O218" i="1"/>
  <c r="N218" i="1"/>
  <c r="P217" i="1"/>
  <c r="O217" i="1"/>
  <c r="N217" i="1"/>
  <c r="P216" i="1"/>
  <c r="O216" i="1"/>
  <c r="N216" i="1"/>
  <c r="P215" i="1"/>
  <c r="O215" i="1"/>
  <c r="N215" i="1"/>
  <c r="P214" i="1"/>
  <c r="O214" i="1"/>
  <c r="N214" i="1"/>
  <c r="P213" i="1"/>
  <c r="O213" i="1"/>
  <c r="N213" i="1"/>
  <c r="P212" i="1"/>
  <c r="O212" i="1"/>
  <c r="N212" i="1"/>
  <c r="P211" i="1"/>
  <c r="O211" i="1"/>
  <c r="N211" i="1"/>
  <c r="P210" i="1"/>
  <c r="O210" i="1"/>
  <c r="N210" i="1"/>
  <c r="P209" i="1"/>
  <c r="O209" i="1"/>
  <c r="N209" i="1"/>
  <c r="P208" i="1"/>
  <c r="O208" i="1"/>
  <c r="N208" i="1"/>
  <c r="P207" i="1"/>
  <c r="O207" i="1"/>
  <c r="N207" i="1"/>
  <c r="P206" i="1"/>
  <c r="O206" i="1"/>
  <c r="N206" i="1"/>
  <c r="P205" i="1"/>
  <c r="O205" i="1"/>
  <c r="N205" i="1"/>
  <c r="P204" i="1"/>
  <c r="O204" i="1"/>
  <c r="N204" i="1"/>
  <c r="P203" i="1"/>
  <c r="O203" i="1"/>
  <c r="N203" i="1"/>
  <c r="P202" i="1"/>
  <c r="O202" i="1"/>
  <c r="N202" i="1"/>
  <c r="P201" i="1"/>
  <c r="O201" i="1"/>
  <c r="N201" i="1"/>
  <c r="P200" i="1"/>
  <c r="O200" i="1"/>
  <c r="N200" i="1"/>
  <c r="P199" i="1"/>
  <c r="O199" i="1"/>
  <c r="N199" i="1"/>
  <c r="P198" i="1"/>
  <c r="O198" i="1"/>
  <c r="N198" i="1"/>
  <c r="P197" i="1"/>
  <c r="O197" i="1"/>
  <c r="N197" i="1"/>
  <c r="P196" i="1"/>
  <c r="O196" i="1"/>
  <c r="N196" i="1"/>
  <c r="P195" i="1"/>
  <c r="O195" i="1"/>
  <c r="N195" i="1"/>
  <c r="P194" i="1"/>
  <c r="O194" i="1"/>
  <c r="N194" i="1"/>
  <c r="P193" i="1"/>
  <c r="O193" i="1"/>
  <c r="N193" i="1"/>
  <c r="P192" i="1"/>
  <c r="O192" i="1"/>
  <c r="N192" i="1"/>
  <c r="P191" i="1"/>
  <c r="O191" i="1"/>
  <c r="N191" i="1"/>
  <c r="P190" i="1"/>
  <c r="O190" i="1"/>
  <c r="N190" i="1"/>
  <c r="P189" i="1"/>
  <c r="O189" i="1"/>
  <c r="N189" i="1"/>
  <c r="P188" i="1"/>
  <c r="O188" i="1"/>
  <c r="N188" i="1"/>
  <c r="P187" i="1"/>
  <c r="O187" i="1"/>
  <c r="N187" i="1"/>
  <c r="P186" i="1"/>
  <c r="O186" i="1"/>
  <c r="N186" i="1"/>
  <c r="P185" i="1"/>
  <c r="O185" i="1"/>
  <c r="N185" i="1"/>
  <c r="P184" i="1"/>
  <c r="O184" i="1"/>
  <c r="N184" i="1"/>
  <c r="P183" i="1"/>
  <c r="O183" i="1"/>
  <c r="N183" i="1"/>
  <c r="P182" i="1"/>
  <c r="O182" i="1"/>
  <c r="N182" i="1"/>
  <c r="P181" i="1"/>
  <c r="O181" i="1"/>
  <c r="N181" i="1"/>
  <c r="P180" i="1"/>
  <c r="O180" i="1"/>
  <c r="N180" i="1"/>
  <c r="P179" i="1"/>
  <c r="O179" i="1"/>
  <c r="N179" i="1"/>
  <c r="P178" i="1"/>
  <c r="O178" i="1"/>
  <c r="N178" i="1"/>
  <c r="P177" i="1"/>
  <c r="O177" i="1"/>
  <c r="N177" i="1"/>
  <c r="P176" i="1"/>
  <c r="O176" i="1"/>
  <c r="N176" i="1"/>
  <c r="P175" i="1"/>
  <c r="O175" i="1"/>
  <c r="N175" i="1"/>
  <c r="P174" i="1"/>
  <c r="O174" i="1"/>
  <c r="N174" i="1"/>
  <c r="P173" i="1"/>
  <c r="O173" i="1"/>
  <c r="N173" i="1"/>
  <c r="P172" i="1"/>
  <c r="O172" i="1"/>
  <c r="N172" i="1"/>
  <c r="P171" i="1"/>
  <c r="O171" i="1"/>
  <c r="N171" i="1"/>
  <c r="P170" i="1"/>
  <c r="O170" i="1"/>
  <c r="N170" i="1"/>
  <c r="P169" i="1"/>
  <c r="O169" i="1"/>
  <c r="N169" i="1"/>
  <c r="P168" i="1"/>
  <c r="O168" i="1"/>
  <c r="N168" i="1"/>
  <c r="P167" i="1"/>
  <c r="O167" i="1"/>
  <c r="N167" i="1"/>
  <c r="P166" i="1"/>
  <c r="O166" i="1"/>
  <c r="N166" i="1"/>
  <c r="P165" i="1"/>
  <c r="O165" i="1"/>
  <c r="N165" i="1"/>
  <c r="P164" i="1"/>
  <c r="O164" i="1"/>
  <c r="N164" i="1"/>
  <c r="P163" i="1"/>
  <c r="O163" i="1"/>
  <c r="N163" i="1"/>
  <c r="P162" i="1"/>
  <c r="O162" i="1"/>
  <c r="N162" i="1"/>
  <c r="P161" i="1"/>
  <c r="O161" i="1"/>
  <c r="N161" i="1"/>
  <c r="P160" i="1"/>
  <c r="O160" i="1"/>
  <c r="N160" i="1"/>
  <c r="P159" i="1"/>
  <c r="O159" i="1"/>
  <c r="N159" i="1"/>
  <c r="P158" i="1"/>
  <c r="O158" i="1"/>
  <c r="N158" i="1"/>
  <c r="P157" i="1"/>
  <c r="O157" i="1"/>
  <c r="N157" i="1"/>
  <c r="P156" i="1"/>
  <c r="O156" i="1"/>
  <c r="N156" i="1"/>
  <c r="P155" i="1"/>
  <c r="O155" i="1"/>
  <c r="N155" i="1"/>
  <c r="P154" i="1"/>
  <c r="O154" i="1"/>
  <c r="N154" i="1"/>
  <c r="P153" i="1"/>
  <c r="O153" i="1"/>
  <c r="N153" i="1"/>
  <c r="P152" i="1"/>
  <c r="O152" i="1"/>
  <c r="N152" i="1"/>
  <c r="P151" i="1"/>
  <c r="O151" i="1"/>
  <c r="N151" i="1"/>
  <c r="P150" i="1"/>
  <c r="O150" i="1"/>
  <c r="N150" i="1"/>
  <c r="P149" i="1"/>
  <c r="O149" i="1"/>
  <c r="N149" i="1"/>
  <c r="P148" i="1"/>
  <c r="O148" i="1"/>
  <c r="N148" i="1"/>
  <c r="P147" i="1"/>
  <c r="O147" i="1"/>
  <c r="N147" i="1"/>
  <c r="P146" i="1"/>
  <c r="O146" i="1"/>
  <c r="N146" i="1"/>
  <c r="P145" i="1"/>
  <c r="O145" i="1"/>
  <c r="N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P139" i="1"/>
  <c r="O139" i="1"/>
  <c r="N139" i="1"/>
  <c r="P138" i="1"/>
  <c r="O138" i="1"/>
  <c r="N138" i="1"/>
  <c r="P137" i="1"/>
  <c r="O137" i="1"/>
  <c r="N137" i="1"/>
  <c r="P136" i="1"/>
  <c r="O136" i="1"/>
  <c r="N136" i="1"/>
  <c r="P135" i="1"/>
  <c r="O135" i="1"/>
  <c r="N135" i="1"/>
  <c r="P134" i="1"/>
  <c r="O134" i="1"/>
  <c r="N134" i="1"/>
  <c r="P133" i="1"/>
  <c r="O133" i="1"/>
  <c r="N133" i="1"/>
  <c r="P132" i="1"/>
  <c r="O132" i="1"/>
  <c r="N132" i="1"/>
  <c r="P131" i="1"/>
  <c r="O131" i="1"/>
  <c r="N131" i="1"/>
  <c r="P130" i="1"/>
  <c r="O130" i="1"/>
  <c r="N130" i="1"/>
  <c r="P129" i="1"/>
  <c r="O129" i="1"/>
  <c r="N129" i="1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P121" i="1"/>
  <c r="O121" i="1"/>
  <c r="N121" i="1"/>
  <c r="P120" i="1"/>
  <c r="O120" i="1"/>
  <c r="N120" i="1"/>
  <c r="P119" i="1"/>
  <c r="O119" i="1"/>
  <c r="N119" i="1"/>
  <c r="P118" i="1"/>
  <c r="O118" i="1"/>
  <c r="N118" i="1"/>
  <c r="P117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P105" i="1"/>
  <c r="O105" i="1"/>
  <c r="N105" i="1"/>
  <c r="P104" i="1"/>
  <c r="O104" i="1"/>
  <c r="N104" i="1"/>
  <c r="P103" i="1"/>
  <c r="O103" i="1"/>
  <c r="N103" i="1"/>
  <c r="P102" i="1"/>
  <c r="O102" i="1"/>
  <c r="N102" i="1"/>
  <c r="P101" i="1"/>
  <c r="O101" i="1"/>
  <c r="N101" i="1"/>
  <c r="P100" i="1"/>
  <c r="O100" i="1"/>
  <c r="N100" i="1"/>
  <c r="P99" i="1"/>
  <c r="O99" i="1"/>
  <c r="N99" i="1"/>
  <c r="P98" i="1"/>
  <c r="O98" i="1"/>
  <c r="N98" i="1"/>
  <c r="P97" i="1"/>
  <c r="O97" i="1"/>
  <c r="N97" i="1"/>
  <c r="P96" i="1"/>
  <c r="O96" i="1"/>
  <c r="N96" i="1"/>
  <c r="P95" i="1"/>
  <c r="O95" i="1"/>
  <c r="N95" i="1"/>
  <c r="P94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P77" i="1"/>
  <c r="O77" i="1"/>
  <c r="N77" i="1"/>
  <c r="P76" i="1"/>
  <c r="O76" i="1"/>
  <c r="N76" i="1"/>
  <c r="P75" i="1"/>
  <c r="O75" i="1"/>
  <c r="N75" i="1"/>
  <c r="P74" i="1"/>
  <c r="O74" i="1"/>
  <c r="N74" i="1"/>
  <c r="P73" i="1"/>
  <c r="O73" i="1"/>
  <c r="N73" i="1"/>
  <c r="P72" i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P67" i="1"/>
  <c r="O67" i="1"/>
  <c r="N67" i="1"/>
  <c r="P66" i="1"/>
  <c r="O66" i="1"/>
  <c r="N66" i="1"/>
  <c r="P65" i="1"/>
  <c r="O65" i="1"/>
  <c r="N65" i="1"/>
  <c r="P64" i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P55" i="1"/>
  <c r="O55" i="1"/>
  <c r="N55" i="1"/>
  <c r="P54" i="1"/>
  <c r="O54" i="1"/>
  <c r="N54" i="1"/>
  <c r="P53" i="1"/>
  <c r="O53" i="1"/>
  <c r="N53" i="1"/>
  <c r="P52" i="1"/>
  <c r="O52" i="1"/>
  <c r="N52" i="1"/>
  <c r="P51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P43" i="1"/>
  <c r="O43" i="1"/>
  <c r="N43" i="1"/>
  <c r="P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  <c r="H418" i="1" l="1"/>
  <c r="J414" i="1"/>
  <c r="H408" i="1"/>
  <c r="H404" i="1"/>
  <c r="H384" i="1"/>
  <c r="H379" i="1"/>
  <c r="H364" i="1"/>
  <c r="H358" i="1"/>
  <c r="H349" i="1"/>
  <c r="H348" i="1"/>
  <c r="J339" i="1"/>
  <c r="H335" i="1"/>
  <c r="E3" i="1"/>
  <c r="E4" i="1"/>
  <c r="D4" i="1" s="1"/>
  <c r="E5" i="1"/>
  <c r="E6" i="1"/>
  <c r="E7" i="1"/>
  <c r="D7" i="1" s="1"/>
  <c r="E8" i="1"/>
  <c r="D8" i="1" s="1"/>
  <c r="E9" i="1"/>
  <c r="E10" i="1"/>
  <c r="D10" i="1" s="1"/>
  <c r="E11" i="1"/>
  <c r="E12" i="1"/>
  <c r="D12" i="1" s="1"/>
  <c r="E13" i="1"/>
  <c r="E14" i="1"/>
  <c r="E15" i="1"/>
  <c r="E16" i="1"/>
  <c r="D16" i="1" s="1"/>
  <c r="E17" i="1"/>
  <c r="E18" i="1"/>
  <c r="D18" i="1" s="1"/>
  <c r="E19" i="1"/>
  <c r="E20" i="1"/>
  <c r="D20" i="1" s="1"/>
  <c r="E21" i="1"/>
  <c r="E22" i="1"/>
  <c r="E23" i="1"/>
  <c r="D23" i="1" s="1"/>
  <c r="E24" i="1"/>
  <c r="D24" i="1" s="1"/>
  <c r="E25" i="1"/>
  <c r="E26" i="1"/>
  <c r="D26" i="1" s="1"/>
  <c r="E27" i="1"/>
  <c r="E28" i="1"/>
  <c r="D28" i="1" s="1"/>
  <c r="E29" i="1"/>
  <c r="E30" i="1"/>
  <c r="E31" i="1"/>
  <c r="D31" i="1" s="1"/>
  <c r="E32" i="1"/>
  <c r="D32" i="1" s="1"/>
  <c r="E33" i="1"/>
  <c r="E34" i="1"/>
  <c r="D34" i="1" s="1"/>
  <c r="E35" i="1"/>
  <c r="E36" i="1"/>
  <c r="D36" i="1" s="1"/>
  <c r="E37" i="1"/>
  <c r="E38" i="1"/>
  <c r="E39" i="1"/>
  <c r="D39" i="1" s="1"/>
  <c r="E40" i="1"/>
  <c r="D40" i="1" s="1"/>
  <c r="E41" i="1"/>
  <c r="E42" i="1"/>
  <c r="D42" i="1" s="1"/>
  <c r="E43" i="1"/>
  <c r="E44" i="1"/>
  <c r="D44" i="1" s="1"/>
  <c r="E45" i="1"/>
  <c r="E46" i="1"/>
  <c r="E47" i="1"/>
  <c r="D47" i="1" s="1"/>
  <c r="E48" i="1"/>
  <c r="D48" i="1" s="1"/>
  <c r="E49" i="1"/>
  <c r="E50" i="1"/>
  <c r="D50" i="1" s="1"/>
  <c r="E51" i="1"/>
  <c r="E52" i="1"/>
  <c r="D52" i="1" s="1"/>
  <c r="E53" i="1"/>
  <c r="E54" i="1"/>
  <c r="E55" i="1"/>
  <c r="D55" i="1" s="1"/>
  <c r="E56" i="1"/>
  <c r="D56" i="1" s="1"/>
  <c r="E57" i="1"/>
  <c r="E58" i="1"/>
  <c r="D58" i="1" s="1"/>
  <c r="E59" i="1"/>
  <c r="E60" i="1"/>
  <c r="D60" i="1" s="1"/>
  <c r="E61" i="1"/>
  <c r="E62" i="1"/>
  <c r="E63" i="1"/>
  <c r="E64" i="1"/>
  <c r="D64" i="1" s="1"/>
  <c r="E65" i="1"/>
  <c r="E66" i="1"/>
  <c r="D66" i="1" s="1"/>
  <c r="E67" i="1"/>
  <c r="E68" i="1"/>
  <c r="D68" i="1" s="1"/>
  <c r="E69" i="1"/>
  <c r="E70" i="1"/>
  <c r="E71" i="1"/>
  <c r="D71" i="1" s="1"/>
  <c r="E72" i="1"/>
  <c r="D72" i="1" s="1"/>
  <c r="E73" i="1"/>
  <c r="E74" i="1"/>
  <c r="D74" i="1" s="1"/>
  <c r="E75" i="1"/>
  <c r="E76" i="1"/>
  <c r="D76" i="1" s="1"/>
  <c r="E77" i="1"/>
  <c r="E78" i="1"/>
  <c r="E79" i="1"/>
  <c r="D79" i="1" s="1"/>
  <c r="E80" i="1"/>
  <c r="D80" i="1" s="1"/>
  <c r="E81" i="1"/>
  <c r="E82" i="1"/>
  <c r="D82" i="1" s="1"/>
  <c r="E83" i="1"/>
  <c r="E84" i="1"/>
  <c r="D84" i="1" s="1"/>
  <c r="E85" i="1"/>
  <c r="E86" i="1"/>
  <c r="E87" i="1"/>
  <c r="D87" i="1" s="1"/>
  <c r="E88" i="1"/>
  <c r="D88" i="1" s="1"/>
  <c r="E89" i="1"/>
  <c r="E90" i="1"/>
  <c r="D90" i="1" s="1"/>
  <c r="E91" i="1"/>
  <c r="E92" i="1"/>
  <c r="D92" i="1" s="1"/>
  <c r="E93" i="1"/>
  <c r="E94" i="1"/>
  <c r="E95" i="1"/>
  <c r="D95" i="1" s="1"/>
  <c r="E96" i="1"/>
  <c r="D96" i="1" s="1"/>
  <c r="E97" i="1"/>
  <c r="E98" i="1"/>
  <c r="D98" i="1" s="1"/>
  <c r="E99" i="1"/>
  <c r="E100" i="1"/>
  <c r="D100" i="1" s="1"/>
  <c r="E101" i="1"/>
  <c r="E102" i="1"/>
  <c r="E103" i="1"/>
  <c r="D103" i="1" s="1"/>
  <c r="E104" i="1"/>
  <c r="D104" i="1" s="1"/>
  <c r="E105" i="1"/>
  <c r="E106" i="1"/>
  <c r="D106" i="1" s="1"/>
  <c r="E107" i="1"/>
  <c r="E108" i="1"/>
  <c r="D108" i="1" s="1"/>
  <c r="E109" i="1"/>
  <c r="E110" i="1"/>
  <c r="E111" i="1"/>
  <c r="D111" i="1" s="1"/>
  <c r="E112" i="1"/>
  <c r="D112" i="1" s="1"/>
  <c r="E113" i="1"/>
  <c r="E114" i="1"/>
  <c r="D114" i="1" s="1"/>
  <c r="E115" i="1"/>
  <c r="E116" i="1"/>
  <c r="D116" i="1" s="1"/>
  <c r="E117" i="1"/>
  <c r="E118" i="1"/>
  <c r="E119" i="1"/>
  <c r="D119" i="1" s="1"/>
  <c r="E120" i="1"/>
  <c r="D120" i="1" s="1"/>
  <c r="E121" i="1"/>
  <c r="E122" i="1"/>
  <c r="D122" i="1" s="1"/>
  <c r="E123" i="1"/>
  <c r="E124" i="1"/>
  <c r="D124" i="1" s="1"/>
  <c r="E125" i="1"/>
  <c r="E126" i="1"/>
  <c r="E127" i="1"/>
  <c r="D127" i="1" s="1"/>
  <c r="E128" i="1"/>
  <c r="D128" i="1" s="1"/>
  <c r="E129" i="1"/>
  <c r="E130" i="1"/>
  <c r="D130" i="1" s="1"/>
  <c r="E131" i="1"/>
  <c r="E132" i="1"/>
  <c r="D132" i="1" s="1"/>
  <c r="E133" i="1"/>
  <c r="E134" i="1"/>
  <c r="E135" i="1"/>
  <c r="D135" i="1" s="1"/>
  <c r="E136" i="1"/>
  <c r="D136" i="1" s="1"/>
  <c r="E137" i="1"/>
  <c r="E138" i="1"/>
  <c r="D138" i="1" s="1"/>
  <c r="E139" i="1"/>
  <c r="E140" i="1"/>
  <c r="D140" i="1" s="1"/>
  <c r="E141" i="1"/>
  <c r="E142" i="1"/>
  <c r="E143" i="1"/>
  <c r="D143" i="1" s="1"/>
  <c r="E144" i="1"/>
  <c r="D144" i="1" s="1"/>
  <c r="E145" i="1"/>
  <c r="E146" i="1"/>
  <c r="D146" i="1" s="1"/>
  <c r="E147" i="1"/>
  <c r="E148" i="1"/>
  <c r="D148" i="1" s="1"/>
  <c r="E149" i="1"/>
  <c r="E150" i="1"/>
  <c r="E151" i="1"/>
  <c r="E152" i="1"/>
  <c r="E153" i="1"/>
  <c r="E154" i="1"/>
  <c r="D154" i="1" s="1"/>
  <c r="E155" i="1"/>
  <c r="E156" i="1"/>
  <c r="D156" i="1" s="1"/>
  <c r="E157" i="1"/>
  <c r="E158" i="1"/>
  <c r="E159" i="1"/>
  <c r="D159" i="1" s="1"/>
  <c r="E160" i="1"/>
  <c r="D160" i="1" s="1"/>
  <c r="E161" i="1"/>
  <c r="E162" i="1"/>
  <c r="D162" i="1" s="1"/>
  <c r="E163" i="1"/>
  <c r="E164" i="1"/>
  <c r="D164" i="1" s="1"/>
  <c r="E165" i="1"/>
  <c r="E166" i="1"/>
  <c r="E167" i="1"/>
  <c r="D167" i="1" s="1"/>
  <c r="E168" i="1"/>
  <c r="D168" i="1" s="1"/>
  <c r="E169" i="1"/>
  <c r="E170" i="1"/>
  <c r="D170" i="1" s="1"/>
  <c r="E171" i="1"/>
  <c r="E172" i="1"/>
  <c r="D172" i="1" s="1"/>
  <c r="E173" i="1"/>
  <c r="E174" i="1"/>
  <c r="E175" i="1"/>
  <c r="D175" i="1" s="1"/>
  <c r="E176" i="1"/>
  <c r="D176" i="1" s="1"/>
  <c r="E177" i="1"/>
  <c r="E178" i="1"/>
  <c r="D178" i="1" s="1"/>
  <c r="E179" i="1"/>
  <c r="E180" i="1"/>
  <c r="D180" i="1" s="1"/>
  <c r="E181" i="1"/>
  <c r="E182" i="1"/>
  <c r="E183" i="1"/>
  <c r="D183" i="1" s="1"/>
  <c r="E184" i="1"/>
  <c r="D184" i="1" s="1"/>
  <c r="E185" i="1"/>
  <c r="E186" i="1"/>
  <c r="D186" i="1" s="1"/>
  <c r="E187" i="1"/>
  <c r="E188" i="1"/>
  <c r="D188" i="1" s="1"/>
  <c r="E189" i="1"/>
  <c r="E190" i="1"/>
  <c r="E191" i="1"/>
  <c r="D191" i="1" s="1"/>
  <c r="E192" i="1"/>
  <c r="D192" i="1" s="1"/>
  <c r="E193" i="1"/>
  <c r="E194" i="1"/>
  <c r="D194" i="1" s="1"/>
  <c r="E195" i="1"/>
  <c r="E196" i="1"/>
  <c r="D196" i="1" s="1"/>
  <c r="E197" i="1"/>
  <c r="E198" i="1"/>
  <c r="E199" i="1"/>
  <c r="D199" i="1" s="1"/>
  <c r="E200" i="1"/>
  <c r="E201" i="1"/>
  <c r="E202" i="1"/>
  <c r="D202" i="1" s="1"/>
  <c r="E203" i="1"/>
  <c r="E204" i="1"/>
  <c r="D204" i="1" s="1"/>
  <c r="E205" i="1"/>
  <c r="E206" i="1"/>
  <c r="E207" i="1"/>
  <c r="D207" i="1" s="1"/>
  <c r="E208" i="1"/>
  <c r="D208" i="1" s="1"/>
  <c r="E209" i="1"/>
  <c r="E210" i="1"/>
  <c r="D210" i="1" s="1"/>
  <c r="E211" i="1"/>
  <c r="E212" i="1"/>
  <c r="D212" i="1" s="1"/>
  <c r="E213" i="1"/>
  <c r="E214" i="1"/>
  <c r="E215" i="1"/>
  <c r="D215" i="1" s="1"/>
  <c r="E216" i="1"/>
  <c r="D216" i="1" s="1"/>
  <c r="E217" i="1"/>
  <c r="E218" i="1"/>
  <c r="D218" i="1" s="1"/>
  <c r="E219" i="1"/>
  <c r="E220" i="1"/>
  <c r="D220" i="1" s="1"/>
  <c r="E221" i="1"/>
  <c r="E222" i="1"/>
  <c r="E223" i="1"/>
  <c r="D223" i="1" s="1"/>
  <c r="E224" i="1"/>
  <c r="D224" i="1" s="1"/>
  <c r="E225" i="1"/>
  <c r="E226" i="1"/>
  <c r="D226" i="1" s="1"/>
  <c r="E227" i="1"/>
  <c r="E228" i="1"/>
  <c r="D228" i="1" s="1"/>
  <c r="E229" i="1"/>
  <c r="E230" i="1"/>
  <c r="E231" i="1"/>
  <c r="D231" i="1" s="1"/>
  <c r="E232" i="1"/>
  <c r="D232" i="1" s="1"/>
  <c r="E233" i="1"/>
  <c r="E234" i="1"/>
  <c r="D234" i="1" s="1"/>
  <c r="E235" i="1"/>
  <c r="E236" i="1"/>
  <c r="D236" i="1" s="1"/>
  <c r="E237" i="1"/>
  <c r="E238" i="1"/>
  <c r="E239" i="1"/>
  <c r="D239" i="1" s="1"/>
  <c r="E240" i="1"/>
  <c r="D240" i="1" s="1"/>
  <c r="E241" i="1"/>
  <c r="E242" i="1"/>
  <c r="D242" i="1" s="1"/>
  <c r="E243" i="1"/>
  <c r="E244" i="1"/>
  <c r="D244" i="1" s="1"/>
  <c r="E245" i="1"/>
  <c r="E246" i="1"/>
  <c r="E247" i="1"/>
  <c r="D247" i="1" s="1"/>
  <c r="E248" i="1"/>
  <c r="D248" i="1" s="1"/>
  <c r="E249" i="1"/>
  <c r="E250" i="1"/>
  <c r="D250" i="1" s="1"/>
  <c r="E251" i="1"/>
  <c r="E252" i="1"/>
  <c r="D252" i="1" s="1"/>
  <c r="E253" i="1"/>
  <c r="E254" i="1"/>
  <c r="E255" i="1"/>
  <c r="E256" i="1"/>
  <c r="D256" i="1" s="1"/>
  <c r="E257" i="1"/>
  <c r="E258" i="1"/>
  <c r="D258" i="1" s="1"/>
  <c r="E259" i="1"/>
  <c r="E260" i="1"/>
  <c r="D260" i="1" s="1"/>
  <c r="E261" i="1"/>
  <c r="E262" i="1"/>
  <c r="E263" i="1"/>
  <c r="D263" i="1" s="1"/>
  <c r="E264" i="1"/>
  <c r="D264" i="1" s="1"/>
  <c r="E265" i="1"/>
  <c r="E266" i="1"/>
  <c r="D266" i="1" s="1"/>
  <c r="E267" i="1"/>
  <c r="E268" i="1"/>
  <c r="D268" i="1" s="1"/>
  <c r="E269" i="1"/>
  <c r="E270" i="1"/>
  <c r="E271" i="1"/>
  <c r="D271" i="1" s="1"/>
  <c r="E272" i="1"/>
  <c r="D272" i="1" s="1"/>
  <c r="E273" i="1"/>
  <c r="E274" i="1"/>
  <c r="D274" i="1" s="1"/>
  <c r="E275" i="1"/>
  <c r="E276" i="1"/>
  <c r="D276" i="1" s="1"/>
  <c r="E277" i="1"/>
  <c r="E278" i="1"/>
  <c r="E279" i="1"/>
  <c r="D279" i="1" s="1"/>
  <c r="E280" i="1"/>
  <c r="D280" i="1" s="1"/>
  <c r="E281" i="1"/>
  <c r="E282" i="1"/>
  <c r="D282" i="1" s="1"/>
  <c r="E283" i="1"/>
  <c r="E284" i="1"/>
  <c r="D284" i="1" s="1"/>
  <c r="E285" i="1"/>
  <c r="E286" i="1"/>
  <c r="E287" i="1"/>
  <c r="D287" i="1" s="1"/>
  <c r="E288" i="1"/>
  <c r="D288" i="1" s="1"/>
  <c r="E289" i="1"/>
  <c r="E290" i="1"/>
  <c r="D290" i="1" s="1"/>
  <c r="E291" i="1"/>
  <c r="E292" i="1"/>
  <c r="D292" i="1" s="1"/>
  <c r="E293" i="1"/>
  <c r="E294" i="1"/>
  <c r="E295" i="1"/>
  <c r="D295" i="1" s="1"/>
  <c r="E296" i="1"/>
  <c r="D296" i="1" s="1"/>
  <c r="E297" i="1"/>
  <c r="E298" i="1"/>
  <c r="D298" i="1" s="1"/>
  <c r="E299" i="1"/>
  <c r="E300" i="1"/>
  <c r="D300" i="1" s="1"/>
  <c r="E301" i="1"/>
  <c r="E302" i="1"/>
  <c r="E303" i="1"/>
  <c r="D303" i="1" s="1"/>
  <c r="E304" i="1"/>
  <c r="D304" i="1" s="1"/>
  <c r="E305" i="1"/>
  <c r="E306" i="1"/>
  <c r="D306" i="1" s="1"/>
  <c r="E307" i="1"/>
  <c r="E308" i="1"/>
  <c r="D308" i="1" s="1"/>
  <c r="E309" i="1"/>
  <c r="E310" i="1"/>
  <c r="E311" i="1"/>
  <c r="D311" i="1" s="1"/>
  <c r="E312" i="1"/>
  <c r="D312" i="1" s="1"/>
  <c r="E313" i="1"/>
  <c r="E314" i="1"/>
  <c r="D314" i="1" s="1"/>
  <c r="E315" i="1"/>
  <c r="E316" i="1"/>
  <c r="D316" i="1" s="1"/>
  <c r="E317" i="1"/>
  <c r="E318" i="1"/>
  <c r="E319" i="1"/>
  <c r="D319" i="1" s="1"/>
  <c r="E320" i="1"/>
  <c r="D320" i="1" s="1"/>
  <c r="E321" i="1"/>
  <c r="E322" i="1"/>
  <c r="D322" i="1" s="1"/>
  <c r="E323" i="1"/>
  <c r="E324" i="1"/>
  <c r="D324" i="1" s="1"/>
  <c r="E325" i="1"/>
  <c r="E326" i="1"/>
  <c r="E327" i="1"/>
  <c r="D327" i="1" s="1"/>
  <c r="E328" i="1"/>
  <c r="D328" i="1" s="1"/>
  <c r="E329" i="1"/>
  <c r="E330" i="1"/>
  <c r="D330" i="1" s="1"/>
  <c r="E331" i="1"/>
  <c r="E332" i="1"/>
  <c r="D332" i="1" s="1"/>
  <c r="E333" i="1"/>
  <c r="E334" i="1"/>
  <c r="E335" i="1"/>
  <c r="E336" i="1"/>
  <c r="D336" i="1" s="1"/>
  <c r="E337" i="1"/>
  <c r="E338" i="1"/>
  <c r="D338" i="1" s="1"/>
  <c r="E339" i="1"/>
  <c r="E340" i="1"/>
  <c r="D340" i="1" s="1"/>
  <c r="E341" i="1"/>
  <c r="E342" i="1"/>
  <c r="E343" i="1"/>
  <c r="D343" i="1" s="1"/>
  <c r="E344" i="1"/>
  <c r="D344" i="1" s="1"/>
  <c r="E345" i="1"/>
  <c r="E346" i="1"/>
  <c r="D346" i="1" s="1"/>
  <c r="E347" i="1"/>
  <c r="E348" i="1"/>
  <c r="D348" i="1" s="1"/>
  <c r="E349" i="1"/>
  <c r="E350" i="1"/>
  <c r="E351" i="1"/>
  <c r="D351" i="1" s="1"/>
  <c r="E352" i="1"/>
  <c r="D352" i="1" s="1"/>
  <c r="E353" i="1"/>
  <c r="E354" i="1"/>
  <c r="D354" i="1" s="1"/>
  <c r="E355" i="1"/>
  <c r="E356" i="1"/>
  <c r="D356" i="1" s="1"/>
  <c r="E357" i="1"/>
  <c r="E358" i="1"/>
  <c r="E359" i="1"/>
  <c r="D359" i="1" s="1"/>
  <c r="E360" i="1"/>
  <c r="D360" i="1" s="1"/>
  <c r="E361" i="1"/>
  <c r="E362" i="1"/>
  <c r="D362" i="1" s="1"/>
  <c r="E363" i="1"/>
  <c r="E364" i="1"/>
  <c r="D364" i="1" s="1"/>
  <c r="E365" i="1"/>
  <c r="E366" i="1"/>
  <c r="E367" i="1"/>
  <c r="D367" i="1" s="1"/>
  <c r="E368" i="1"/>
  <c r="D368" i="1" s="1"/>
  <c r="E369" i="1"/>
  <c r="E370" i="1"/>
  <c r="D370" i="1" s="1"/>
  <c r="E371" i="1"/>
  <c r="E372" i="1"/>
  <c r="D372" i="1" s="1"/>
  <c r="E373" i="1"/>
  <c r="E374" i="1"/>
  <c r="E375" i="1"/>
  <c r="D375" i="1" s="1"/>
  <c r="E376" i="1"/>
  <c r="D376" i="1" s="1"/>
  <c r="E377" i="1"/>
  <c r="E378" i="1"/>
  <c r="D378" i="1" s="1"/>
  <c r="E379" i="1"/>
  <c r="E380" i="1"/>
  <c r="D380" i="1" s="1"/>
  <c r="E381" i="1"/>
  <c r="E382" i="1"/>
  <c r="E383" i="1"/>
  <c r="D383" i="1" s="1"/>
  <c r="E384" i="1"/>
  <c r="D384" i="1" s="1"/>
  <c r="E385" i="1"/>
  <c r="E386" i="1"/>
  <c r="D386" i="1" s="1"/>
  <c r="E387" i="1"/>
  <c r="E388" i="1"/>
  <c r="D388" i="1" s="1"/>
  <c r="E389" i="1"/>
  <c r="E390" i="1"/>
  <c r="E391" i="1"/>
  <c r="D391" i="1" s="1"/>
  <c r="E392" i="1"/>
  <c r="D392" i="1" s="1"/>
  <c r="E393" i="1"/>
  <c r="E394" i="1"/>
  <c r="D394" i="1" s="1"/>
  <c r="E395" i="1"/>
  <c r="E396" i="1"/>
  <c r="D396" i="1" s="1"/>
  <c r="E397" i="1"/>
  <c r="E398" i="1"/>
  <c r="E399" i="1"/>
  <c r="D399" i="1" s="1"/>
  <c r="E400" i="1"/>
  <c r="D400" i="1" s="1"/>
  <c r="E401" i="1"/>
  <c r="E402" i="1"/>
  <c r="D402" i="1" s="1"/>
  <c r="E403" i="1"/>
  <c r="E404" i="1"/>
  <c r="D404" i="1" s="1"/>
  <c r="E405" i="1"/>
  <c r="E406" i="1"/>
  <c r="E407" i="1"/>
  <c r="D407" i="1" s="1"/>
  <c r="E408" i="1"/>
  <c r="D408" i="1" s="1"/>
  <c r="E409" i="1"/>
  <c r="E410" i="1"/>
  <c r="D410" i="1" s="1"/>
  <c r="E411" i="1"/>
  <c r="E412" i="1"/>
  <c r="D412" i="1" s="1"/>
  <c r="E413" i="1"/>
  <c r="E414" i="1"/>
  <c r="E415" i="1"/>
  <c r="D415" i="1" s="1"/>
  <c r="E416" i="1"/>
  <c r="D416" i="1" s="1"/>
  <c r="E417" i="1"/>
  <c r="E418" i="1"/>
  <c r="D418" i="1" s="1"/>
  <c r="E419" i="1"/>
  <c r="E420" i="1"/>
  <c r="D420" i="1" s="1"/>
  <c r="E421" i="1"/>
  <c r="E422" i="1"/>
  <c r="E423" i="1"/>
  <c r="D423" i="1" s="1"/>
  <c r="E424" i="1"/>
  <c r="D424" i="1" s="1"/>
  <c r="E425" i="1"/>
  <c r="E426" i="1"/>
  <c r="D426" i="1" s="1"/>
  <c r="E427" i="1"/>
  <c r="E428" i="1"/>
  <c r="D428" i="1" s="1"/>
  <c r="E429" i="1"/>
  <c r="E430" i="1"/>
  <c r="E431" i="1"/>
  <c r="D431" i="1" s="1"/>
  <c r="E2" i="1"/>
  <c r="D2" i="1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" i="2"/>
  <c r="K3" i="2"/>
  <c r="K4" i="2"/>
  <c r="K5" i="2"/>
  <c r="AC5" i="2" s="1"/>
  <c r="K6" i="2"/>
  <c r="K7" i="2"/>
  <c r="K8" i="2"/>
  <c r="K9" i="2"/>
  <c r="K10" i="2"/>
  <c r="AC10" i="2" s="1"/>
  <c r="K11" i="2"/>
  <c r="K12" i="2"/>
  <c r="K13" i="2"/>
  <c r="AC13" i="2" s="1"/>
  <c r="K14" i="2"/>
  <c r="K15" i="2"/>
  <c r="K16" i="2"/>
  <c r="K17" i="2"/>
  <c r="K18" i="2"/>
  <c r="AC18" i="2" s="1"/>
  <c r="K19" i="2"/>
  <c r="K20" i="2"/>
  <c r="K21" i="2"/>
  <c r="AC21" i="2" s="1"/>
  <c r="K22" i="2"/>
  <c r="K23" i="2"/>
  <c r="K24" i="2"/>
  <c r="K25" i="2"/>
  <c r="K26" i="2"/>
  <c r="AC26" i="2" s="1"/>
  <c r="K27" i="2"/>
  <c r="K28" i="2"/>
  <c r="K29" i="2"/>
  <c r="AC29" i="2" s="1"/>
  <c r="K30" i="2"/>
  <c r="K31" i="2"/>
  <c r="K32" i="2"/>
  <c r="K33" i="2"/>
  <c r="K34" i="2"/>
  <c r="AC34" i="2" s="1"/>
  <c r="K35" i="2"/>
  <c r="K36" i="2"/>
  <c r="K37" i="2"/>
  <c r="AC37" i="2" s="1"/>
  <c r="K38" i="2"/>
  <c r="K39" i="2"/>
  <c r="K40" i="2"/>
  <c r="K41" i="2"/>
  <c r="K42" i="2"/>
  <c r="AC42" i="2" s="1"/>
  <c r="K43" i="2"/>
  <c r="K44" i="2"/>
  <c r="K45" i="2"/>
  <c r="AC45" i="2" s="1"/>
  <c r="K46" i="2"/>
  <c r="K47" i="2"/>
  <c r="K48" i="2"/>
  <c r="K49" i="2"/>
  <c r="K50" i="2"/>
  <c r="AC50" i="2" s="1"/>
  <c r="K51" i="2"/>
  <c r="K52" i="2"/>
  <c r="K53" i="2"/>
  <c r="AC53" i="2" s="1"/>
  <c r="K54" i="2"/>
  <c r="K55" i="2"/>
  <c r="K56" i="2"/>
  <c r="K57" i="2"/>
  <c r="K58" i="2"/>
  <c r="AC58" i="2" s="1"/>
  <c r="K59" i="2"/>
  <c r="K60" i="2"/>
  <c r="K61" i="2"/>
  <c r="AC61" i="2" s="1"/>
  <c r="K62" i="2"/>
  <c r="K63" i="2"/>
  <c r="K64" i="2"/>
  <c r="K65" i="2"/>
  <c r="K66" i="2"/>
  <c r="AC66" i="2" s="1"/>
  <c r="K67" i="2"/>
  <c r="K68" i="2"/>
  <c r="K69" i="2"/>
  <c r="AC69" i="2" s="1"/>
  <c r="K70" i="2"/>
  <c r="K71" i="2"/>
  <c r="K72" i="2"/>
  <c r="K73" i="2"/>
  <c r="K74" i="2"/>
  <c r="AC74" i="2" s="1"/>
  <c r="K75" i="2"/>
  <c r="K76" i="2"/>
  <c r="K77" i="2"/>
  <c r="AC77" i="2" s="1"/>
  <c r="K78" i="2"/>
  <c r="K79" i="2"/>
  <c r="K80" i="2"/>
  <c r="K81" i="2"/>
  <c r="K82" i="2"/>
  <c r="AC82" i="2" s="1"/>
  <c r="K83" i="2"/>
  <c r="K84" i="2"/>
  <c r="K85" i="2"/>
  <c r="AC85" i="2" s="1"/>
  <c r="K86" i="2"/>
  <c r="K87" i="2"/>
  <c r="K88" i="2"/>
  <c r="K89" i="2"/>
  <c r="K90" i="2"/>
  <c r="AC90" i="2" s="1"/>
  <c r="K91" i="2"/>
  <c r="K92" i="2"/>
  <c r="K93" i="2"/>
  <c r="AC93" i="2" s="1"/>
  <c r="K94" i="2"/>
  <c r="K95" i="2"/>
  <c r="K96" i="2"/>
  <c r="K97" i="2"/>
  <c r="K98" i="2"/>
  <c r="AC98" i="2" s="1"/>
  <c r="K99" i="2"/>
  <c r="K100" i="2"/>
  <c r="K101" i="2"/>
  <c r="AC101" i="2" s="1"/>
  <c r="K102" i="2"/>
  <c r="K103" i="2"/>
  <c r="K104" i="2"/>
  <c r="K105" i="2"/>
  <c r="K106" i="2"/>
  <c r="AC106" i="2" s="1"/>
  <c r="K107" i="2"/>
  <c r="K108" i="2"/>
  <c r="K109" i="2"/>
  <c r="AC109" i="2" s="1"/>
  <c r="K110" i="2"/>
  <c r="K111" i="2"/>
  <c r="K112" i="2"/>
  <c r="K113" i="2"/>
  <c r="K114" i="2"/>
  <c r="AC114" i="2" s="1"/>
  <c r="K115" i="2"/>
  <c r="K116" i="2"/>
  <c r="K117" i="2"/>
  <c r="AC117" i="2" s="1"/>
  <c r="K118" i="2"/>
  <c r="K119" i="2"/>
  <c r="K120" i="2"/>
  <c r="K121" i="2"/>
  <c r="K122" i="2"/>
  <c r="AC122" i="2" s="1"/>
  <c r="K123" i="2"/>
  <c r="K124" i="2"/>
  <c r="K125" i="2"/>
  <c r="AC125" i="2" s="1"/>
  <c r="K126" i="2"/>
  <c r="K127" i="2"/>
  <c r="K128" i="2"/>
  <c r="K129" i="2"/>
  <c r="K130" i="2"/>
  <c r="AC130" i="2" s="1"/>
  <c r="K131" i="2"/>
  <c r="K132" i="2"/>
  <c r="K133" i="2"/>
  <c r="AC133" i="2" s="1"/>
  <c r="K134" i="2"/>
  <c r="K135" i="2"/>
  <c r="K136" i="2"/>
  <c r="K137" i="2"/>
  <c r="K138" i="2"/>
  <c r="AC138" i="2" s="1"/>
  <c r="K139" i="2"/>
  <c r="K140" i="2"/>
  <c r="K141" i="2"/>
  <c r="AC141" i="2" s="1"/>
  <c r="K142" i="2"/>
  <c r="K143" i="2"/>
  <c r="K144" i="2"/>
  <c r="K145" i="2"/>
  <c r="K146" i="2"/>
  <c r="AC146" i="2" s="1"/>
  <c r="K147" i="2"/>
  <c r="K148" i="2"/>
  <c r="K149" i="2"/>
  <c r="AC149" i="2" s="1"/>
  <c r="K150" i="2"/>
  <c r="K151" i="2"/>
  <c r="K152" i="2"/>
  <c r="K153" i="2"/>
  <c r="K154" i="2"/>
  <c r="AC154" i="2" s="1"/>
  <c r="K155" i="2"/>
  <c r="K156" i="2"/>
  <c r="K157" i="2"/>
  <c r="AC157" i="2" s="1"/>
  <c r="K158" i="2"/>
  <c r="K159" i="2"/>
  <c r="K160" i="2"/>
  <c r="K161" i="2"/>
  <c r="K162" i="2"/>
  <c r="AC162" i="2" s="1"/>
  <c r="K163" i="2"/>
  <c r="K164" i="2"/>
  <c r="K165" i="2"/>
  <c r="AC165" i="2" s="1"/>
  <c r="K166" i="2"/>
  <c r="K167" i="2"/>
  <c r="K168" i="2"/>
  <c r="K169" i="2"/>
  <c r="K170" i="2"/>
  <c r="AC170" i="2" s="1"/>
  <c r="K171" i="2"/>
  <c r="K172" i="2"/>
  <c r="K173" i="2"/>
  <c r="AC173" i="2" s="1"/>
  <c r="K174" i="2"/>
  <c r="K175" i="2"/>
  <c r="K176" i="2"/>
  <c r="K177" i="2"/>
  <c r="K178" i="2"/>
  <c r="AC178" i="2" s="1"/>
  <c r="K179" i="2"/>
  <c r="K180" i="2"/>
  <c r="K181" i="2"/>
  <c r="AC181" i="2" s="1"/>
  <c r="K182" i="2"/>
  <c r="K183" i="2"/>
  <c r="K184" i="2"/>
  <c r="K185" i="2"/>
  <c r="K186" i="2"/>
  <c r="AC186" i="2" s="1"/>
  <c r="K187" i="2"/>
  <c r="K188" i="2"/>
  <c r="K189" i="2"/>
  <c r="AC189" i="2" s="1"/>
  <c r="K190" i="2"/>
  <c r="K191" i="2"/>
  <c r="K192" i="2"/>
  <c r="K193" i="2"/>
  <c r="K194" i="2"/>
  <c r="AC194" i="2" s="1"/>
  <c r="K195" i="2"/>
  <c r="K196" i="2"/>
  <c r="K197" i="2"/>
  <c r="AC197" i="2" s="1"/>
  <c r="K198" i="2"/>
  <c r="K199" i="2"/>
  <c r="K200" i="2"/>
  <c r="K201" i="2"/>
  <c r="K202" i="2"/>
  <c r="AC202" i="2" s="1"/>
  <c r="K203" i="2"/>
  <c r="K204" i="2"/>
  <c r="K205" i="2"/>
  <c r="AC205" i="2" s="1"/>
  <c r="K206" i="2"/>
  <c r="K207" i="2"/>
  <c r="K208" i="2"/>
  <c r="K209" i="2"/>
  <c r="K210" i="2"/>
  <c r="AC210" i="2" s="1"/>
  <c r="K211" i="2"/>
  <c r="K212" i="2"/>
  <c r="K213" i="2"/>
  <c r="AC213" i="2" s="1"/>
  <c r="K214" i="2"/>
  <c r="K215" i="2"/>
  <c r="K216" i="2"/>
  <c r="K217" i="2"/>
  <c r="K218" i="2"/>
  <c r="AC218" i="2" s="1"/>
  <c r="K219" i="2"/>
  <c r="K220" i="2"/>
  <c r="K221" i="2"/>
  <c r="AC221" i="2" s="1"/>
  <c r="K222" i="2"/>
  <c r="K223" i="2"/>
  <c r="K224" i="2"/>
  <c r="K225" i="2"/>
  <c r="K226" i="2"/>
  <c r="AC226" i="2" s="1"/>
  <c r="K227" i="2"/>
  <c r="K228" i="2"/>
  <c r="K229" i="2"/>
  <c r="AC229" i="2" s="1"/>
  <c r="K230" i="2"/>
  <c r="K231" i="2"/>
  <c r="K232" i="2"/>
  <c r="K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2" i="1"/>
  <c r="D3" i="1"/>
  <c r="D5" i="1"/>
  <c r="D6" i="1"/>
  <c r="D9" i="1"/>
  <c r="D11" i="1"/>
  <c r="D13" i="1"/>
  <c r="D14" i="1"/>
  <c r="D15" i="1"/>
  <c r="D17" i="1"/>
  <c r="D19" i="1"/>
  <c r="D21" i="1"/>
  <c r="D22" i="1"/>
  <c r="D25" i="1"/>
  <c r="D27" i="1"/>
  <c r="D29" i="1"/>
  <c r="D30" i="1"/>
  <c r="D33" i="1"/>
  <c r="D35" i="1"/>
  <c r="D37" i="1"/>
  <c r="D38" i="1"/>
  <c r="D41" i="1"/>
  <c r="D43" i="1"/>
  <c r="D45" i="1"/>
  <c r="D46" i="1"/>
  <c r="D49" i="1"/>
  <c r="D51" i="1"/>
  <c r="D53" i="1"/>
  <c r="D54" i="1"/>
  <c r="D57" i="1"/>
  <c r="D59" i="1"/>
  <c r="D61" i="1"/>
  <c r="D62" i="1"/>
  <c r="D63" i="1"/>
  <c r="D65" i="1"/>
  <c r="D67" i="1"/>
  <c r="D69" i="1"/>
  <c r="D70" i="1"/>
  <c r="D73" i="1"/>
  <c r="D75" i="1"/>
  <c r="D77" i="1"/>
  <c r="D78" i="1"/>
  <c r="D81" i="1"/>
  <c r="D83" i="1"/>
  <c r="D85" i="1"/>
  <c r="D86" i="1"/>
  <c r="D89" i="1"/>
  <c r="D91" i="1"/>
  <c r="D93" i="1"/>
  <c r="D94" i="1"/>
  <c r="D97" i="1"/>
  <c r="D99" i="1"/>
  <c r="D101" i="1"/>
  <c r="D102" i="1"/>
  <c r="D105" i="1"/>
  <c r="D107" i="1"/>
  <c r="D109" i="1"/>
  <c r="D110" i="1"/>
  <c r="D113" i="1"/>
  <c r="D115" i="1"/>
  <c r="D117" i="1"/>
  <c r="D118" i="1"/>
  <c r="D121" i="1"/>
  <c r="D123" i="1"/>
  <c r="D125" i="1"/>
  <c r="D126" i="1"/>
  <c r="D129" i="1"/>
  <c r="D131" i="1"/>
  <c r="D133" i="1"/>
  <c r="D134" i="1"/>
  <c r="D137" i="1"/>
  <c r="D139" i="1"/>
  <c r="D141" i="1"/>
  <c r="D142" i="1"/>
  <c r="D145" i="1"/>
  <c r="D147" i="1"/>
  <c r="D149" i="1"/>
  <c r="D150" i="1"/>
  <c r="D151" i="1"/>
  <c r="D152" i="1"/>
  <c r="D153" i="1"/>
  <c r="D155" i="1"/>
  <c r="D157" i="1"/>
  <c r="D158" i="1"/>
  <c r="D161" i="1"/>
  <c r="D163" i="1"/>
  <c r="D165" i="1"/>
  <c r="D166" i="1"/>
  <c r="D169" i="1"/>
  <c r="D171" i="1"/>
  <c r="D173" i="1"/>
  <c r="D174" i="1"/>
  <c r="D177" i="1"/>
  <c r="D179" i="1"/>
  <c r="D181" i="1"/>
  <c r="D182" i="1"/>
  <c r="D185" i="1"/>
  <c r="D187" i="1"/>
  <c r="D189" i="1"/>
  <c r="D190" i="1"/>
  <c r="D193" i="1"/>
  <c r="D195" i="1"/>
  <c r="D197" i="1"/>
  <c r="D198" i="1"/>
  <c r="D200" i="1"/>
  <c r="D201" i="1"/>
  <c r="D203" i="1"/>
  <c r="D205" i="1"/>
  <c r="D206" i="1"/>
  <c r="D209" i="1"/>
  <c r="D211" i="1"/>
  <c r="D213" i="1"/>
  <c r="D214" i="1"/>
  <c r="D217" i="1"/>
  <c r="D219" i="1"/>
  <c r="D221" i="1"/>
  <c r="D222" i="1"/>
  <c r="D225" i="1"/>
  <c r="D227" i="1"/>
  <c r="D229" i="1"/>
  <c r="D230" i="1"/>
  <c r="D233" i="1"/>
  <c r="D235" i="1"/>
  <c r="D237" i="1"/>
  <c r="D238" i="1"/>
  <c r="D241" i="1"/>
  <c r="D243" i="1"/>
  <c r="D245" i="1"/>
  <c r="D246" i="1"/>
  <c r="D249" i="1"/>
  <c r="D251" i="1"/>
  <c r="D253" i="1"/>
  <c r="D254" i="1"/>
  <c r="D255" i="1"/>
  <c r="D257" i="1"/>
  <c r="D259" i="1"/>
  <c r="D261" i="1"/>
  <c r="D262" i="1"/>
  <c r="D265" i="1"/>
  <c r="D267" i="1"/>
  <c r="D269" i="1"/>
  <c r="D270" i="1"/>
  <c r="D273" i="1"/>
  <c r="D275" i="1"/>
  <c r="D277" i="1"/>
  <c r="D278" i="1"/>
  <c r="D281" i="1"/>
  <c r="D283" i="1"/>
  <c r="D285" i="1"/>
  <c r="D286" i="1"/>
  <c r="D289" i="1"/>
  <c r="D291" i="1"/>
  <c r="D293" i="1"/>
  <c r="D294" i="1"/>
  <c r="D297" i="1"/>
  <c r="D299" i="1"/>
  <c r="D301" i="1"/>
  <c r="D302" i="1"/>
  <c r="D305" i="1"/>
  <c r="D307" i="1"/>
  <c r="D309" i="1"/>
  <c r="D310" i="1"/>
  <c r="D313" i="1"/>
  <c r="D315" i="1"/>
  <c r="D317" i="1"/>
  <c r="D318" i="1"/>
  <c r="D321" i="1"/>
  <c r="D323" i="1"/>
  <c r="D325" i="1"/>
  <c r="D326" i="1"/>
  <c r="D329" i="1"/>
  <c r="D331" i="1"/>
  <c r="D333" i="1"/>
  <c r="D334" i="1"/>
  <c r="D335" i="1"/>
  <c r="D337" i="1"/>
  <c r="D339" i="1"/>
  <c r="D341" i="1"/>
  <c r="D342" i="1"/>
  <c r="D345" i="1"/>
  <c r="D347" i="1"/>
  <c r="D349" i="1"/>
  <c r="D350" i="1"/>
  <c r="D353" i="1"/>
  <c r="D355" i="1"/>
  <c r="D357" i="1"/>
  <c r="D358" i="1"/>
  <c r="D361" i="1"/>
  <c r="D363" i="1"/>
  <c r="D365" i="1"/>
  <c r="D366" i="1"/>
  <c r="D369" i="1"/>
  <c r="D371" i="1"/>
  <c r="D373" i="1"/>
  <c r="D374" i="1"/>
  <c r="D377" i="1"/>
  <c r="D379" i="1"/>
  <c r="D381" i="1"/>
  <c r="D382" i="1"/>
  <c r="D385" i="1"/>
  <c r="D387" i="1"/>
  <c r="D389" i="1"/>
  <c r="D390" i="1"/>
  <c r="D393" i="1"/>
  <c r="D395" i="1"/>
  <c r="D397" i="1"/>
  <c r="D398" i="1"/>
  <c r="D401" i="1"/>
  <c r="D403" i="1"/>
  <c r="D405" i="1"/>
  <c r="D406" i="1"/>
  <c r="D409" i="1"/>
  <c r="D411" i="1"/>
  <c r="D413" i="1"/>
  <c r="D414" i="1"/>
  <c r="D417" i="1"/>
  <c r="D419" i="1"/>
  <c r="D421" i="1"/>
  <c r="D422" i="1"/>
  <c r="D425" i="1"/>
  <c r="D427" i="1"/>
  <c r="D429" i="1"/>
  <c r="D43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7" i="1"/>
  <c r="J338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7" i="1"/>
  <c r="H338" i="1"/>
  <c r="H340" i="1"/>
  <c r="H341" i="1"/>
  <c r="H342" i="1"/>
  <c r="H343" i="1"/>
  <c r="H345" i="1"/>
  <c r="H346" i="1"/>
  <c r="H347" i="1"/>
  <c r="H350" i="1"/>
  <c r="H351" i="1"/>
  <c r="H352" i="1"/>
  <c r="H353" i="1"/>
  <c r="H356" i="1"/>
  <c r="H357" i="1"/>
  <c r="H360" i="1"/>
  <c r="H361" i="1"/>
  <c r="H362" i="1"/>
  <c r="H363" i="1"/>
  <c r="H365" i="1"/>
  <c r="H366" i="1"/>
  <c r="H367" i="1"/>
  <c r="H368" i="1"/>
  <c r="H369" i="1"/>
  <c r="H370" i="1"/>
  <c r="H371" i="1"/>
  <c r="H372" i="1"/>
  <c r="H373" i="1"/>
  <c r="H374" i="1"/>
  <c r="H376" i="1"/>
  <c r="H377" i="1"/>
  <c r="H378" i="1"/>
  <c r="H380" i="1"/>
  <c r="H381" i="1"/>
  <c r="H382" i="1"/>
  <c r="H383" i="1"/>
  <c r="H385" i="1"/>
  <c r="H386" i="1"/>
  <c r="H387" i="1"/>
  <c r="H389" i="1"/>
  <c r="H390" i="1"/>
  <c r="H391" i="1"/>
  <c r="H392" i="1"/>
  <c r="H393" i="1"/>
  <c r="H395" i="1"/>
  <c r="H396" i="1"/>
  <c r="H397" i="1"/>
  <c r="H399" i="1"/>
  <c r="H400" i="1"/>
  <c r="H401" i="1"/>
  <c r="H402" i="1"/>
  <c r="H403" i="1"/>
  <c r="H405" i="1"/>
  <c r="H406" i="1"/>
  <c r="H407" i="1"/>
  <c r="H409" i="1"/>
  <c r="H410" i="1"/>
  <c r="H411" i="1"/>
  <c r="H412" i="1"/>
  <c r="H413" i="1"/>
  <c r="H415" i="1"/>
  <c r="H416" i="1"/>
  <c r="H417" i="1"/>
  <c r="H419" i="1"/>
  <c r="H420" i="1"/>
  <c r="H421" i="1"/>
  <c r="H422" i="1"/>
  <c r="H423" i="1"/>
  <c r="H425" i="1"/>
  <c r="H426" i="1"/>
  <c r="H427" i="1"/>
  <c r="H429" i="1"/>
  <c r="H430" i="1"/>
  <c r="H431" i="1"/>
  <c r="H2" i="1"/>
  <c r="AC2" i="2" l="1"/>
  <c r="AC225" i="2"/>
  <c r="AC217" i="2"/>
  <c r="AC209" i="2"/>
  <c r="AC201" i="2"/>
  <c r="AC193" i="2"/>
  <c r="AC185" i="2"/>
  <c r="AC177" i="2"/>
  <c r="AC169" i="2"/>
  <c r="AC161" i="2"/>
  <c r="AC153" i="2"/>
  <c r="AC145" i="2"/>
  <c r="AC137" i="2"/>
  <c r="AC129" i="2"/>
  <c r="AC121" i="2"/>
  <c r="AC113" i="2"/>
  <c r="AC105" i="2"/>
  <c r="AC97" i="2"/>
  <c r="AC89" i="2"/>
  <c r="AC81" i="2"/>
  <c r="AC73" i="2"/>
  <c r="AC65" i="2"/>
  <c r="AC57" i="2"/>
  <c r="AC49" i="2"/>
  <c r="AC41" i="2"/>
  <c r="AC33" i="2"/>
  <c r="AC25" i="2"/>
  <c r="AC17" i="2"/>
  <c r="AC9" i="2"/>
  <c r="AC230" i="2"/>
  <c r="AC222" i="2"/>
  <c r="AC214" i="2"/>
  <c r="AC206" i="2"/>
  <c r="AC198" i="2"/>
  <c r="AC190" i="2"/>
  <c r="AC182" i="2"/>
  <c r="AC174" i="2"/>
  <c r="AC166" i="2"/>
  <c r="AC158" i="2"/>
  <c r="AC150" i="2"/>
  <c r="AC142" i="2"/>
  <c r="AC134" i="2"/>
  <c r="AC126" i="2"/>
  <c r="AC118" i="2"/>
  <c r="AC110" i="2"/>
  <c r="AC102" i="2"/>
  <c r="AC94" i="2"/>
  <c r="AC86" i="2"/>
  <c r="AC78" i="2"/>
  <c r="AC70" i="2"/>
  <c r="AC62" i="2"/>
  <c r="AC54" i="2"/>
  <c r="AC46" i="2"/>
  <c r="AC38" i="2"/>
  <c r="AC30" i="2"/>
  <c r="AC22" i="2"/>
  <c r="AC14" i="2"/>
  <c r="AC6" i="2"/>
  <c r="AC227" i="2"/>
  <c r="AC219" i="2"/>
  <c r="AC211" i="2"/>
  <c r="AC203" i="2"/>
  <c r="AC195" i="2"/>
  <c r="AC187" i="2"/>
  <c r="AC179" i="2"/>
  <c r="AC171" i="2"/>
  <c r="AC163" i="2"/>
  <c r="AC155" i="2"/>
  <c r="AC147" i="2"/>
  <c r="AC139" i="2"/>
  <c r="AC131" i="2"/>
  <c r="AC123" i="2"/>
  <c r="AC115" i="2"/>
  <c r="AC107" i="2"/>
  <c r="AC99" i="2"/>
  <c r="AC91" i="2"/>
  <c r="AC83" i="2"/>
  <c r="AC75" i="2"/>
  <c r="AC67" i="2"/>
  <c r="AC59" i="2"/>
  <c r="AC51" i="2"/>
  <c r="AC43" i="2"/>
  <c r="AC35" i="2"/>
  <c r="AC27" i="2"/>
  <c r="AC19" i="2"/>
  <c r="AC11" i="2"/>
  <c r="AC3" i="2"/>
  <c r="AC231" i="2"/>
  <c r="AC223" i="2"/>
  <c r="AC215" i="2"/>
  <c r="AC207" i="2"/>
  <c r="AC199" i="2"/>
  <c r="AC191" i="2"/>
  <c r="AC183" i="2"/>
  <c r="AC175" i="2"/>
  <c r="AC167" i="2"/>
  <c r="AC159" i="2"/>
  <c r="AC151" i="2"/>
  <c r="AC143" i="2"/>
  <c r="AC135" i="2"/>
  <c r="AC127" i="2"/>
  <c r="AC119" i="2"/>
  <c r="AC111" i="2"/>
  <c r="AC103" i="2"/>
  <c r="AC95" i="2"/>
  <c r="AC87" i="2"/>
  <c r="AC79" i="2"/>
  <c r="AC71" i="2"/>
  <c r="AC63" i="2"/>
  <c r="AC55" i="2"/>
  <c r="AC47" i="2"/>
  <c r="AC39" i="2"/>
  <c r="AC31" i="2"/>
  <c r="AC23" i="2"/>
  <c r="AC15" i="2"/>
  <c r="AC7" i="2"/>
  <c r="AC232" i="2"/>
  <c r="AC216" i="2"/>
  <c r="AC184" i="2"/>
  <c r="AC168" i="2"/>
  <c r="AC136" i="2"/>
  <c r="AC112" i="2"/>
  <c r="AC96" i="2"/>
  <c r="AC80" i="2"/>
  <c r="AC48" i="2"/>
  <c r="AC24" i="2"/>
  <c r="AC8" i="2"/>
  <c r="AC224" i="2"/>
  <c r="AC208" i="2"/>
  <c r="AC176" i="2"/>
  <c r="AC160" i="2"/>
  <c r="AC128" i="2"/>
  <c r="AC104" i="2"/>
  <c r="AC88" i="2"/>
  <c r="AC72" i="2"/>
  <c r="AC40" i="2"/>
  <c r="AC32" i="2"/>
  <c r="AC16" i="2"/>
  <c r="AC120" i="2"/>
  <c r="AC192" i="2"/>
  <c r="AC144" i="2"/>
  <c r="AC64" i="2"/>
  <c r="AC200" i="2"/>
  <c r="AC152" i="2"/>
  <c r="AC56" i="2"/>
  <c r="AC228" i="2"/>
  <c r="AC220" i="2"/>
  <c r="AC212" i="2"/>
  <c r="AC204" i="2"/>
  <c r="AC196" i="2"/>
  <c r="AC188" i="2"/>
  <c r="AC180" i="2"/>
  <c r="AC172" i="2"/>
  <c r="AC164" i="2"/>
  <c r="AC156" i="2"/>
  <c r="AC148" i="2"/>
  <c r="AC140" i="2"/>
  <c r="AC132" i="2"/>
  <c r="AC124" i="2"/>
  <c r="AC116" i="2"/>
  <c r="AC108" i="2"/>
  <c r="AC100" i="2"/>
  <c r="AC92" i="2"/>
  <c r="AC84" i="2"/>
  <c r="AC76" i="2"/>
  <c r="AC68" i="2"/>
  <c r="AC60" i="2"/>
  <c r="AC52" i="2"/>
  <c r="AC44" i="2"/>
  <c r="AC36" i="2"/>
  <c r="AC28" i="2"/>
  <c r="AC20" i="2"/>
  <c r="AC12" i="2"/>
  <c r="AC4" i="2"/>
  <c r="H424" i="1"/>
  <c r="L424" i="1" s="1"/>
  <c r="H428" i="1"/>
  <c r="L428" i="1" s="1"/>
  <c r="L418" i="1"/>
  <c r="H414" i="1"/>
  <c r="L414" i="1" s="1"/>
  <c r="L404" i="1"/>
  <c r="L408" i="1"/>
  <c r="H398" i="1"/>
  <c r="L398" i="1" s="1"/>
  <c r="H394" i="1"/>
  <c r="L394" i="1" s="1"/>
  <c r="L384" i="1"/>
  <c r="H388" i="1"/>
  <c r="L388" i="1" s="1"/>
  <c r="H375" i="1"/>
  <c r="L375" i="1" s="1"/>
  <c r="L379" i="1"/>
  <c r="L364" i="1"/>
  <c r="H355" i="1"/>
  <c r="L355" i="1" s="1"/>
  <c r="H354" i="1"/>
  <c r="L354" i="1" s="1"/>
  <c r="H359" i="1"/>
  <c r="J359" i="1"/>
  <c r="H344" i="1"/>
  <c r="L344" i="1" s="1"/>
  <c r="L348" i="1"/>
  <c r="J336" i="1"/>
  <c r="H336" i="1"/>
  <c r="J340" i="1"/>
  <c r="L340" i="1" s="1"/>
  <c r="H339" i="1"/>
  <c r="L339" i="1" s="1"/>
  <c r="L335" i="1"/>
  <c r="L410" i="1"/>
  <c r="L386" i="1"/>
  <c r="L378" i="1"/>
  <c r="L370" i="1"/>
  <c r="L362" i="1"/>
  <c r="L346" i="1"/>
  <c r="L338" i="1"/>
  <c r="L330" i="1"/>
  <c r="L322" i="1"/>
  <c r="L314" i="1"/>
  <c r="L306" i="1"/>
  <c r="L298" i="1"/>
  <c r="L290" i="1"/>
  <c r="L282" i="1"/>
  <c r="L274" i="1"/>
  <c r="L266" i="1"/>
  <c r="L258" i="1"/>
  <c r="L250" i="1"/>
  <c r="L242" i="1"/>
  <c r="L234" i="1"/>
  <c r="L226" i="1"/>
  <c r="L218" i="1"/>
  <c r="L210" i="1"/>
  <c r="L202" i="1"/>
  <c r="L194" i="1"/>
  <c r="L186" i="1"/>
  <c r="L178" i="1"/>
  <c r="L170" i="1"/>
  <c r="L162" i="1"/>
  <c r="L154" i="1"/>
  <c r="L146" i="1"/>
  <c r="L138" i="1"/>
  <c r="L130" i="1"/>
  <c r="L122" i="1"/>
  <c r="L114" i="1"/>
  <c r="L106" i="1"/>
  <c r="L98" i="1"/>
  <c r="L90" i="1"/>
  <c r="L82" i="1"/>
  <c r="L74" i="1"/>
  <c r="L66" i="1"/>
  <c r="L58" i="1"/>
  <c r="L50" i="1"/>
  <c r="L42" i="1"/>
  <c r="L34" i="1"/>
  <c r="L26" i="1"/>
  <c r="L18" i="1"/>
  <c r="L10" i="1"/>
  <c r="L426" i="1"/>
  <c r="L402" i="1"/>
  <c r="L429" i="1"/>
  <c r="L421" i="1"/>
  <c r="L413" i="1"/>
  <c r="L405" i="1"/>
  <c r="L397" i="1"/>
  <c r="L389" i="1"/>
  <c r="L381" i="1"/>
  <c r="L373" i="1"/>
  <c r="L365" i="1"/>
  <c r="L357" i="1"/>
  <c r="L349" i="1"/>
  <c r="L341" i="1"/>
  <c r="L333" i="1"/>
  <c r="L325" i="1"/>
  <c r="L317" i="1"/>
  <c r="L309" i="1"/>
  <c r="L301" i="1"/>
  <c r="L293" i="1"/>
  <c r="L285" i="1"/>
  <c r="L277" i="1"/>
  <c r="L269" i="1"/>
  <c r="L261" i="1"/>
  <c r="L253" i="1"/>
  <c r="L245" i="1"/>
  <c r="L237" i="1"/>
  <c r="L229" i="1"/>
  <c r="L221" i="1"/>
  <c r="L213" i="1"/>
  <c r="L205" i="1"/>
  <c r="L197" i="1"/>
  <c r="L189" i="1"/>
  <c r="L181" i="1"/>
  <c r="L173" i="1"/>
  <c r="L165" i="1"/>
  <c r="L157" i="1"/>
  <c r="L149" i="1"/>
  <c r="L141" i="1"/>
  <c r="L133" i="1"/>
  <c r="L125" i="1"/>
  <c r="L117" i="1"/>
  <c r="L109" i="1"/>
  <c r="L101" i="1"/>
  <c r="L93" i="1"/>
  <c r="L85" i="1"/>
  <c r="L77" i="1"/>
  <c r="L69" i="1"/>
  <c r="L61" i="1"/>
  <c r="L53" i="1"/>
  <c r="L45" i="1"/>
  <c r="L37" i="1"/>
  <c r="L29" i="1"/>
  <c r="L21" i="1"/>
  <c r="L13" i="1"/>
  <c r="L5" i="1"/>
  <c r="L425" i="1"/>
  <c r="L417" i="1"/>
  <c r="L409" i="1"/>
  <c r="L401" i="1"/>
  <c r="L393" i="1"/>
  <c r="L385" i="1"/>
  <c r="L377" i="1"/>
  <c r="L369" i="1"/>
  <c r="L361" i="1"/>
  <c r="L353" i="1"/>
  <c r="L345" i="1"/>
  <c r="L337" i="1"/>
  <c r="L329" i="1"/>
  <c r="L321" i="1"/>
  <c r="L313" i="1"/>
  <c r="L305" i="1"/>
  <c r="L297" i="1"/>
  <c r="L289" i="1"/>
  <c r="L281" i="1"/>
  <c r="L273" i="1"/>
  <c r="L265" i="1"/>
  <c r="L257" i="1"/>
  <c r="L430" i="1"/>
  <c r="L422" i="1"/>
  <c r="L406" i="1"/>
  <c r="L390" i="1"/>
  <c r="L382" i="1"/>
  <c r="L374" i="1"/>
  <c r="L366" i="1"/>
  <c r="L358" i="1"/>
  <c r="L350" i="1"/>
  <c r="L342" i="1"/>
  <c r="L334" i="1"/>
  <c r="L326" i="1"/>
  <c r="L318" i="1"/>
  <c r="L310" i="1"/>
  <c r="L302" i="1"/>
  <c r="L294" i="1"/>
  <c r="L286" i="1"/>
  <c r="L278" i="1"/>
  <c r="L270" i="1"/>
  <c r="L262" i="1"/>
  <c r="L254" i="1"/>
  <c r="L246" i="1"/>
  <c r="L238" i="1"/>
  <c r="L230" i="1"/>
  <c r="L222" i="1"/>
  <c r="L214" i="1"/>
  <c r="L206" i="1"/>
  <c r="L198" i="1"/>
  <c r="L190" i="1"/>
  <c r="L182" i="1"/>
  <c r="L174" i="1"/>
  <c r="L166" i="1"/>
  <c r="L158" i="1"/>
  <c r="L150" i="1"/>
  <c r="L142" i="1"/>
  <c r="L134" i="1"/>
  <c r="L126" i="1"/>
  <c r="L118" i="1"/>
  <c r="L110" i="1"/>
  <c r="L102" i="1"/>
  <c r="L94" i="1"/>
  <c r="L86" i="1"/>
  <c r="L78" i="1"/>
  <c r="L70" i="1"/>
  <c r="L62" i="1"/>
  <c r="L54" i="1"/>
  <c r="L46" i="1"/>
  <c r="L38" i="1"/>
  <c r="L30" i="1"/>
  <c r="L22" i="1"/>
  <c r="L14" i="1"/>
  <c r="L6" i="1"/>
  <c r="L420" i="1"/>
  <c r="L412" i="1"/>
  <c r="L396" i="1"/>
  <c r="L380" i="1"/>
  <c r="L372" i="1"/>
  <c r="L356" i="1"/>
  <c r="L332" i="1"/>
  <c r="L324" i="1"/>
  <c r="L316" i="1"/>
  <c r="L308" i="1"/>
  <c r="L300" i="1"/>
  <c r="L292" i="1"/>
  <c r="L284" i="1"/>
  <c r="L276" i="1"/>
  <c r="L268" i="1"/>
  <c r="L260" i="1"/>
  <c r="L252" i="1"/>
  <c r="L244" i="1"/>
  <c r="L236" i="1"/>
  <c r="L228" i="1"/>
  <c r="L220" i="1"/>
  <c r="L212" i="1"/>
  <c r="L204" i="1"/>
  <c r="L196" i="1"/>
  <c r="L188" i="1"/>
  <c r="L180" i="1"/>
  <c r="L172" i="1"/>
  <c r="L164" i="1"/>
  <c r="L156" i="1"/>
  <c r="L148" i="1"/>
  <c r="L140" i="1"/>
  <c r="L132" i="1"/>
  <c r="L124" i="1"/>
  <c r="L116" i="1"/>
  <c r="L108" i="1"/>
  <c r="L100" i="1"/>
  <c r="L92" i="1"/>
  <c r="L84" i="1"/>
  <c r="L76" i="1"/>
  <c r="L68" i="1"/>
  <c r="L60" i="1"/>
  <c r="L52" i="1"/>
  <c r="L44" i="1"/>
  <c r="L36" i="1"/>
  <c r="L28" i="1"/>
  <c r="L20" i="1"/>
  <c r="L12" i="1"/>
  <c r="L4" i="1"/>
  <c r="L427" i="1"/>
  <c r="L419" i="1"/>
  <c r="L411" i="1"/>
  <c r="L403" i="1"/>
  <c r="L395" i="1"/>
  <c r="L387" i="1"/>
  <c r="L371" i="1"/>
  <c r="L363" i="1"/>
  <c r="L347" i="1"/>
  <c r="L331" i="1"/>
  <c r="L323" i="1"/>
  <c r="L315" i="1"/>
  <c r="L307" i="1"/>
  <c r="L299" i="1"/>
  <c r="L291" i="1"/>
  <c r="L283" i="1"/>
  <c r="L275" i="1"/>
  <c r="L267" i="1"/>
  <c r="L259" i="1"/>
  <c r="L251" i="1"/>
  <c r="L243" i="1"/>
  <c r="L235" i="1"/>
  <c r="L227" i="1"/>
  <c r="L219" i="1"/>
  <c r="L211" i="1"/>
  <c r="L203" i="1"/>
  <c r="L195" i="1"/>
  <c r="L187" i="1"/>
  <c r="L179" i="1"/>
  <c r="L171" i="1"/>
  <c r="L163" i="1"/>
  <c r="L155" i="1"/>
  <c r="L147" i="1"/>
  <c r="L139" i="1"/>
  <c r="L131" i="1"/>
  <c r="L123" i="1"/>
  <c r="L115" i="1"/>
  <c r="L107" i="1"/>
  <c r="L99" i="1"/>
  <c r="L91" i="1"/>
  <c r="L83" i="1"/>
  <c r="L75" i="1"/>
  <c r="L67" i="1"/>
  <c r="L59" i="1"/>
  <c r="L51" i="1"/>
  <c r="L43" i="1"/>
  <c r="L35" i="1"/>
  <c r="L27" i="1"/>
  <c r="L19" i="1"/>
  <c r="L11" i="1"/>
  <c r="L3" i="1"/>
  <c r="L2" i="1"/>
  <c r="L416" i="1"/>
  <c r="L400" i="1"/>
  <c r="L392" i="1"/>
  <c r="L376" i="1"/>
  <c r="L368" i="1"/>
  <c r="L360" i="1"/>
  <c r="L352" i="1"/>
  <c r="L328" i="1"/>
  <c r="L320" i="1"/>
  <c r="L312" i="1"/>
  <c r="L304" i="1"/>
  <c r="L296" i="1"/>
  <c r="L288" i="1"/>
  <c r="L280" i="1"/>
  <c r="L272" i="1"/>
  <c r="L264" i="1"/>
  <c r="L256" i="1"/>
  <c r="L248" i="1"/>
  <c r="L240" i="1"/>
  <c r="L232" i="1"/>
  <c r="L224" i="1"/>
  <c r="L216" i="1"/>
  <c r="L208" i="1"/>
  <c r="L200" i="1"/>
  <c r="L192" i="1"/>
  <c r="L184" i="1"/>
  <c r="L176" i="1"/>
  <c r="L168" i="1"/>
  <c r="L160" i="1"/>
  <c r="L152" i="1"/>
  <c r="L144" i="1"/>
  <c r="L136" i="1"/>
  <c r="L128" i="1"/>
  <c r="L120" i="1"/>
  <c r="L112" i="1"/>
  <c r="L104" i="1"/>
  <c r="L96" i="1"/>
  <c r="L88" i="1"/>
  <c r="L80" i="1"/>
  <c r="L72" i="1"/>
  <c r="L64" i="1"/>
  <c r="L56" i="1"/>
  <c r="L48" i="1"/>
  <c r="L40" i="1"/>
  <c r="L32" i="1"/>
  <c r="L24" i="1"/>
  <c r="L16" i="1"/>
  <c r="L8" i="1"/>
  <c r="L249" i="1"/>
  <c r="L241" i="1"/>
  <c r="L233" i="1"/>
  <c r="L225" i="1"/>
  <c r="L217" i="1"/>
  <c r="L209" i="1"/>
  <c r="L201" i="1"/>
  <c r="L193" i="1"/>
  <c r="L185" i="1"/>
  <c r="L177" i="1"/>
  <c r="L169" i="1"/>
  <c r="L161" i="1"/>
  <c r="L153" i="1"/>
  <c r="L145" i="1"/>
  <c r="L137" i="1"/>
  <c r="L129" i="1"/>
  <c r="L121" i="1"/>
  <c r="L113" i="1"/>
  <c r="L105" i="1"/>
  <c r="L97" i="1"/>
  <c r="L89" i="1"/>
  <c r="L81" i="1"/>
  <c r="L73" i="1"/>
  <c r="L65" i="1"/>
  <c r="L57" i="1"/>
  <c r="L49" i="1"/>
  <c r="L41" i="1"/>
  <c r="L33" i="1"/>
  <c r="L25" i="1"/>
  <c r="L17" i="1"/>
  <c r="L9" i="1"/>
  <c r="L431" i="1"/>
  <c r="L423" i="1"/>
  <c r="L415" i="1"/>
  <c r="L407" i="1"/>
  <c r="L399" i="1"/>
  <c r="L391" i="1"/>
  <c r="L383" i="1"/>
  <c r="L367" i="1"/>
  <c r="L351" i="1"/>
  <c r="L343" i="1"/>
  <c r="L327" i="1"/>
  <c r="L319" i="1"/>
  <c r="L311" i="1"/>
  <c r="L303" i="1"/>
  <c r="L295" i="1"/>
  <c r="L287" i="1"/>
  <c r="L279" i="1"/>
  <c r="L271" i="1"/>
  <c r="L263" i="1"/>
  <c r="L255" i="1"/>
  <c r="L247" i="1"/>
  <c r="L239" i="1"/>
  <c r="L231" i="1"/>
  <c r="L223" i="1"/>
  <c r="L215" i="1"/>
  <c r="L207" i="1"/>
  <c r="L199" i="1"/>
  <c r="L191" i="1"/>
  <c r="L183" i="1"/>
  <c r="L175" i="1"/>
  <c r="L167" i="1"/>
  <c r="L159" i="1"/>
  <c r="L151" i="1"/>
  <c r="L143" i="1"/>
  <c r="L135" i="1"/>
  <c r="L127" i="1"/>
  <c r="L119" i="1"/>
  <c r="L111" i="1"/>
  <c r="L103" i="1"/>
  <c r="L95" i="1"/>
  <c r="L87" i="1"/>
  <c r="L79" i="1"/>
  <c r="L71" i="1"/>
  <c r="L63" i="1"/>
  <c r="L55" i="1"/>
  <c r="L47" i="1"/>
  <c r="L39" i="1"/>
  <c r="L31" i="1"/>
  <c r="L23" i="1"/>
  <c r="L15" i="1"/>
  <c r="L7" i="1"/>
  <c r="L359" i="1" l="1"/>
  <c r="L336" i="1"/>
</calcChain>
</file>

<file path=xl/sharedStrings.xml><?xml version="1.0" encoding="utf-8"?>
<sst xmlns="http://schemas.openxmlformats.org/spreadsheetml/2006/main" count="1431" uniqueCount="48">
  <si>
    <t>element</t>
  </si>
  <si>
    <t>It</t>
  </si>
  <si>
    <t>If</t>
  </si>
  <si>
    <t>E</t>
  </si>
  <si>
    <t>G</t>
  </si>
  <si>
    <t>x1</t>
  </si>
  <si>
    <t>x2</t>
  </si>
  <si>
    <t>y1</t>
  </si>
  <si>
    <t>x</t>
  </si>
  <si>
    <t>y2</t>
  </si>
  <si>
    <t>d</t>
  </si>
  <si>
    <t>node</t>
  </si>
  <si>
    <t>y</t>
  </si>
  <si>
    <t>resx</t>
  </si>
  <si>
    <t>resy</t>
  </si>
  <si>
    <t>resz</t>
  </si>
  <si>
    <t>A</t>
  </si>
  <si>
    <t>mxp</t>
  </si>
  <si>
    <t>myp</t>
  </si>
  <si>
    <t>fzp</t>
  </si>
  <si>
    <t>mxs</t>
  </si>
  <si>
    <t>mys</t>
  </si>
  <si>
    <t>fzs</t>
  </si>
  <si>
    <t>node_i</t>
  </si>
  <si>
    <t>node_j</t>
  </si>
  <si>
    <t>z</t>
  </si>
  <si>
    <t>k_rx</t>
  </si>
  <si>
    <t>k_ry</t>
  </si>
  <si>
    <t>k_z</t>
  </si>
  <si>
    <t>NODE</t>
  </si>
  <si>
    <t>RES</t>
  </si>
  <si>
    <t>N,</t>
  </si>
  <si>
    <t>D,</t>
  </si>
  <si>
    <t>F,</t>
  </si>
  <si>
    <t>FY,</t>
  </si>
  <si>
    <t>ELEMENT</t>
  </si>
  <si>
    <t>N</t>
  </si>
  <si>
    <t>i</t>
  </si>
  <si>
    <t>j</t>
  </si>
  <si>
    <t>EN,</t>
  </si>
  <si>
    <t>NUM</t>
  </si>
  <si>
    <t>X</t>
  </si>
  <si>
    <t>Y</t>
  </si>
  <si>
    <t>Z</t>
  </si>
  <si>
    <t>UX</t>
  </si>
  <si>
    <t>UY</t>
  </si>
  <si>
    <t>UZ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</si>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</sst>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1"/>
      <color indexed="8"/>
      <name val="Verdana"/>
      <family val="2"/>
    </font>
    <font>
      <b/>
      <sz val="12"/>
      <color indexed="8"/>
      <name val="Verdana"/>
      <family val="2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1" fontId="3" fillId="0" borderId="0" xfId="0" applyNumberFormat="1" applyFont="1" applyAlignment="1">
      <alignment horizontal="left"/>
    </xf>
    <xf numFmtId="1" fontId="3" fillId="0" borderId="0" xfId="0" applyNumberFormat="1" applyFont="1"/>
    <xf numFmtId="164" fontId="3" fillId="0" borderId="0" xfId="0" applyNumberFormat="1" applyFont="1"/>
    <xf numFmtId="0" fontId="3" fillId="0" borderId="0" xfId="0" applyFont="1"/>
    <xf numFmtId="2" fontId="3" fillId="0" borderId="0" xfId="0" applyNumberFormat="1" applyFont="1"/>
    <xf numFmtId="11" fontId="2" fillId="0" borderId="0" xfId="0" applyNumberFormat="1" applyFont="1"/>
    <xf numFmtId="2" fontId="2" fillId="0" borderId="0" xfId="0" applyNumberFormat="1" applyFont="1"/>
    <xf numFmtId="11" fontId="1" fillId="0" borderId="0" xfId="0" applyNumberFormat="1" applyFont="1"/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1" fontId="5" fillId="0" borderId="0" xfId="0" applyNumberFormat="1" applyFont="1" applyAlignment="1">
      <alignment horizontal="right"/>
    </xf>
    <xf numFmtId="0" fontId="5" fillId="0" borderId="0" xfId="0" applyFont="1"/>
    <xf numFmtId="165" fontId="5" fillId="0" borderId="0" xfId="0" applyNumberFormat="1" applyFont="1"/>
    <xf numFmtId="0" fontId="6" fillId="0" borderId="0" xfId="0" applyFont="1"/>
    <xf numFmtId="165" fontId="6" fillId="0" borderId="0" xfId="0" applyNumberFormat="1" applyFont="1"/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50A02-9706-43C0-87D7-0E3E1642E5A7}">
  <dimension ref="A1:AC232"/>
  <sheetViews>
    <sheetView tabSelected="1" zoomScale="70" zoomScaleNormal="70" workbookViewId="0"/>
  </sheetViews>
  <sheetFormatPr defaultColWidth="11.109375" defaultRowHeight="16.2" x14ac:dyDescent="0.3"/>
  <cols>
    <col min="1" max="2" width="11.109375" style="17"/>
    <col min="3" max="3" width="0" style="17" hidden="1" customWidth="1"/>
    <col min="4" max="7" width="11.109375" style="17"/>
    <col min="8" max="15" width="11.109375" style="18"/>
    <col min="16" max="21" width="11.109375" style="15"/>
    <col min="22" max="22" width="11.109375" style="15" customWidth="1"/>
    <col min="23" max="24" width="11.109375" style="17" customWidth="1"/>
    <col min="25" max="28" width="11.109375" style="17"/>
    <col min="29" max="29" width="11.109375" style="18"/>
    <col min="30" max="16384" width="11.109375" style="17"/>
  </cols>
  <sheetData>
    <row r="1" spans="1:29" s="19" customFormat="1" x14ac:dyDescent="0.3">
      <c r="A1" s="19" t="s">
        <v>11</v>
      </c>
      <c r="B1" s="19" t="s">
        <v>8</v>
      </c>
      <c r="C1" s="19" t="s">
        <v>12</v>
      </c>
      <c r="D1" s="19" t="s">
        <v>25</v>
      </c>
      <c r="E1" s="19" t="s">
        <v>13</v>
      </c>
      <c r="F1" s="19" t="s">
        <v>14</v>
      </c>
      <c r="G1" s="19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21</v>
      </c>
      <c r="N1" s="20" t="s">
        <v>22</v>
      </c>
      <c r="O1" s="20"/>
      <c r="P1" s="13" t="s">
        <v>36</v>
      </c>
      <c r="Q1" s="13" t="s">
        <v>40</v>
      </c>
      <c r="R1" s="13" t="s">
        <v>41</v>
      </c>
      <c r="S1" s="13" t="s">
        <v>42</v>
      </c>
      <c r="T1" s="13" t="s">
        <v>43</v>
      </c>
      <c r="U1" s="13" t="s">
        <v>30</v>
      </c>
      <c r="V1" s="13" t="s">
        <v>29</v>
      </c>
      <c r="W1" s="13" t="s">
        <v>44</v>
      </c>
      <c r="X1" s="13" t="s">
        <v>45</v>
      </c>
      <c r="Y1" s="13" t="s">
        <v>46</v>
      </c>
      <c r="Z1" s="13" t="s">
        <v>33</v>
      </c>
      <c r="AA1" s="13" t="s">
        <v>36</v>
      </c>
      <c r="AB1" s="13" t="s">
        <v>34</v>
      </c>
      <c r="AC1" s="14" t="s">
        <v>47</v>
      </c>
    </row>
    <row r="2" spans="1:29" x14ac:dyDescent="0.3">
      <c r="A2" s="17">
        <v>1</v>
      </c>
      <c r="B2" s="17">
        <v>0</v>
      </c>
      <c r="C2" s="17">
        <v>0</v>
      </c>
      <c r="D2" s="17">
        <v>300</v>
      </c>
      <c r="E2" s="17">
        <v>1</v>
      </c>
      <c r="F2" s="17">
        <v>1</v>
      </c>
      <c r="G2" s="17">
        <v>1</v>
      </c>
      <c r="H2" s="18">
        <v>900</v>
      </c>
      <c r="I2" s="18">
        <v>0</v>
      </c>
      <c r="J2" s="18">
        <v>0</v>
      </c>
      <c r="K2" s="18">
        <f t="shared" ref="K2:K65" si="0">-H2*4.25/10000</f>
        <v>-0.38250000000000001</v>
      </c>
      <c r="L2" s="18">
        <v>0</v>
      </c>
      <c r="M2" s="18">
        <v>0</v>
      </c>
      <c r="N2" s="18">
        <f t="shared" ref="N2:N65" si="1">-H2*2.5/10000</f>
        <v>-0.22500000000000001</v>
      </c>
      <c r="P2" s="15" t="s">
        <v>31</v>
      </c>
      <c r="Q2" s="15" t="str">
        <f t="shared" ref="Q2:Q65" si="2">A2&amp;","</f>
        <v>1,</v>
      </c>
      <c r="R2" s="15" t="str">
        <f t="shared" ref="R2:R65" si="3">B2&amp;","</f>
        <v>0,</v>
      </c>
      <c r="S2" s="15" t="str">
        <f t="shared" ref="S2:S65" si="4">C2&amp;","</f>
        <v>0,</v>
      </c>
      <c r="T2" s="16">
        <f t="shared" ref="T2:T65" si="5">D2</f>
        <v>300</v>
      </c>
      <c r="U2" s="16" t="s">
        <v>32</v>
      </c>
      <c r="V2" s="16" t="str">
        <f t="shared" ref="V2:V65" si="6">A2&amp;","</f>
        <v>1,</v>
      </c>
      <c r="W2" s="17" t="str">
        <f t="shared" ref="W2:W65" si="7">IF(E2=1,"UX","")</f>
        <v>UX</v>
      </c>
      <c r="X2" s="17" t="str">
        <f t="shared" ref="X2:X8" si="8">IF(F2=1,"UY","")</f>
        <v>UY</v>
      </c>
      <c r="Y2" s="17" t="str">
        <f t="shared" ref="Y2:Y22" si="9">IF(G2=1,"UY,","")</f>
        <v>UY,</v>
      </c>
      <c r="Z2" s="17" t="s">
        <v>33</v>
      </c>
      <c r="AA2" s="17" t="str">
        <f t="shared" ref="AA2:AA65" si="10">Q2</f>
        <v>1,</v>
      </c>
      <c r="AB2" s="17" t="s">
        <v>34</v>
      </c>
      <c r="AC2" s="18">
        <f t="shared" ref="AC2:AC65" si="11">-(1.4*K2+1.5*N2)</f>
        <v>0.873</v>
      </c>
    </row>
    <row r="3" spans="1:29" x14ac:dyDescent="0.3">
      <c r="A3" s="17">
        <v>2</v>
      </c>
      <c r="B3" s="17">
        <v>30</v>
      </c>
      <c r="C3" s="17">
        <v>0</v>
      </c>
      <c r="D3" s="17">
        <v>300</v>
      </c>
      <c r="E3" s="17">
        <v>0</v>
      </c>
      <c r="F3" s="17">
        <v>0</v>
      </c>
      <c r="G3" s="17">
        <v>1</v>
      </c>
      <c r="H3" s="18">
        <v>900</v>
      </c>
      <c r="I3" s="18">
        <v>0</v>
      </c>
      <c r="J3" s="18">
        <v>0</v>
      </c>
      <c r="K3" s="18">
        <f t="shared" si="0"/>
        <v>-0.38250000000000001</v>
      </c>
      <c r="L3" s="18">
        <v>0</v>
      </c>
      <c r="M3" s="18">
        <v>0</v>
      </c>
      <c r="N3" s="18">
        <f t="shared" si="1"/>
        <v>-0.22500000000000001</v>
      </c>
      <c r="P3" s="15" t="s">
        <v>31</v>
      </c>
      <c r="Q3" s="15" t="str">
        <f t="shared" si="2"/>
        <v>2,</v>
      </c>
      <c r="R3" s="15" t="str">
        <f t="shared" si="3"/>
        <v>30,</v>
      </c>
      <c r="S3" s="15" t="str">
        <f t="shared" si="4"/>
        <v>0,</v>
      </c>
      <c r="T3" s="16">
        <f t="shared" si="5"/>
        <v>300</v>
      </c>
      <c r="U3" s="16" t="s">
        <v>32</v>
      </c>
      <c r="V3" s="16" t="str">
        <f t="shared" si="6"/>
        <v>2,</v>
      </c>
      <c r="W3" s="17" t="str">
        <f t="shared" si="7"/>
        <v/>
      </c>
      <c r="X3" s="17" t="str">
        <f t="shared" si="8"/>
        <v/>
      </c>
      <c r="Y3" s="17" t="str">
        <f>IF(G3=1,"UY","")</f>
        <v>UY</v>
      </c>
      <c r="Z3" s="17" t="s">
        <v>33</v>
      </c>
      <c r="AA3" s="17" t="str">
        <f t="shared" si="10"/>
        <v>2,</v>
      </c>
      <c r="AB3" s="17" t="s">
        <v>34</v>
      </c>
      <c r="AC3" s="18">
        <f t="shared" si="11"/>
        <v>0.873</v>
      </c>
    </row>
    <row r="4" spans="1:29" x14ac:dyDescent="0.3">
      <c r="A4" s="17">
        <v>3</v>
      </c>
      <c r="B4" s="17">
        <v>60</v>
      </c>
      <c r="C4" s="17">
        <v>0</v>
      </c>
      <c r="D4" s="17">
        <v>300</v>
      </c>
      <c r="E4" s="17">
        <v>0</v>
      </c>
      <c r="F4" s="17">
        <v>0</v>
      </c>
      <c r="G4" s="17">
        <v>1</v>
      </c>
      <c r="H4" s="18">
        <v>900</v>
      </c>
      <c r="I4" s="18">
        <v>0</v>
      </c>
      <c r="J4" s="18">
        <v>0</v>
      </c>
      <c r="K4" s="18">
        <f t="shared" si="0"/>
        <v>-0.38250000000000001</v>
      </c>
      <c r="L4" s="18">
        <v>0</v>
      </c>
      <c r="M4" s="18">
        <v>0</v>
      </c>
      <c r="N4" s="18">
        <f t="shared" si="1"/>
        <v>-0.22500000000000001</v>
      </c>
      <c r="P4" s="15" t="s">
        <v>31</v>
      </c>
      <c r="Q4" s="15" t="str">
        <f t="shared" si="2"/>
        <v>3,</v>
      </c>
      <c r="R4" s="15" t="str">
        <f t="shared" si="3"/>
        <v>60,</v>
      </c>
      <c r="S4" s="15" t="str">
        <f t="shared" si="4"/>
        <v>0,</v>
      </c>
      <c r="T4" s="16">
        <f t="shared" si="5"/>
        <v>300</v>
      </c>
      <c r="U4" s="16" t="s">
        <v>32</v>
      </c>
      <c r="V4" s="16" t="str">
        <f t="shared" si="6"/>
        <v>3,</v>
      </c>
      <c r="W4" s="17" t="str">
        <f t="shared" si="7"/>
        <v/>
      </c>
      <c r="X4" s="17" t="str">
        <f t="shared" si="8"/>
        <v/>
      </c>
      <c r="Y4" s="17" t="str">
        <f t="shared" ref="Y4:Y21" si="12">IF(G4=1,"UY","")</f>
        <v>UY</v>
      </c>
      <c r="Z4" s="17" t="s">
        <v>33</v>
      </c>
      <c r="AA4" s="17" t="str">
        <f t="shared" si="10"/>
        <v>3,</v>
      </c>
      <c r="AB4" s="17" t="s">
        <v>34</v>
      </c>
      <c r="AC4" s="18">
        <f t="shared" si="11"/>
        <v>0.873</v>
      </c>
    </row>
    <row r="5" spans="1:29" x14ac:dyDescent="0.3">
      <c r="A5" s="17">
        <v>4</v>
      </c>
      <c r="B5" s="17">
        <v>90</v>
      </c>
      <c r="C5" s="17">
        <v>0</v>
      </c>
      <c r="D5" s="17">
        <v>300</v>
      </c>
      <c r="E5" s="17">
        <v>0</v>
      </c>
      <c r="F5" s="17">
        <v>0</v>
      </c>
      <c r="G5" s="17">
        <v>1</v>
      </c>
      <c r="H5" s="18">
        <v>900</v>
      </c>
      <c r="I5" s="18">
        <v>0</v>
      </c>
      <c r="J5" s="18">
        <v>0</v>
      </c>
      <c r="K5" s="18">
        <f t="shared" si="0"/>
        <v>-0.38250000000000001</v>
      </c>
      <c r="L5" s="18">
        <v>0</v>
      </c>
      <c r="M5" s="18">
        <v>0</v>
      </c>
      <c r="N5" s="18">
        <f t="shared" si="1"/>
        <v>-0.22500000000000001</v>
      </c>
      <c r="P5" s="15" t="s">
        <v>31</v>
      </c>
      <c r="Q5" s="15" t="str">
        <f t="shared" si="2"/>
        <v>4,</v>
      </c>
      <c r="R5" s="15" t="str">
        <f t="shared" si="3"/>
        <v>90,</v>
      </c>
      <c r="S5" s="15" t="str">
        <f t="shared" si="4"/>
        <v>0,</v>
      </c>
      <c r="T5" s="16">
        <f t="shared" si="5"/>
        <v>300</v>
      </c>
      <c r="U5" s="16" t="s">
        <v>32</v>
      </c>
      <c r="V5" s="16" t="str">
        <f t="shared" si="6"/>
        <v>4,</v>
      </c>
      <c r="W5" s="17" t="str">
        <f t="shared" si="7"/>
        <v/>
      </c>
      <c r="X5" s="17" t="str">
        <f t="shared" si="8"/>
        <v/>
      </c>
      <c r="Y5" s="17" t="str">
        <f t="shared" si="12"/>
        <v>UY</v>
      </c>
      <c r="Z5" s="17" t="s">
        <v>33</v>
      </c>
      <c r="AA5" s="17" t="str">
        <f t="shared" si="10"/>
        <v>4,</v>
      </c>
      <c r="AB5" s="17" t="s">
        <v>34</v>
      </c>
      <c r="AC5" s="18">
        <f t="shared" si="11"/>
        <v>0.873</v>
      </c>
    </row>
    <row r="6" spans="1:29" x14ac:dyDescent="0.3">
      <c r="A6" s="17">
        <v>5</v>
      </c>
      <c r="B6" s="17">
        <v>120</v>
      </c>
      <c r="C6" s="17">
        <v>0</v>
      </c>
      <c r="D6" s="17">
        <v>300</v>
      </c>
      <c r="E6" s="17">
        <v>0</v>
      </c>
      <c r="F6" s="17">
        <v>0</v>
      </c>
      <c r="G6" s="17">
        <v>1</v>
      </c>
      <c r="H6" s="18">
        <v>900</v>
      </c>
      <c r="I6" s="18">
        <v>0</v>
      </c>
      <c r="J6" s="18">
        <v>0</v>
      </c>
      <c r="K6" s="18">
        <f t="shared" si="0"/>
        <v>-0.38250000000000001</v>
      </c>
      <c r="L6" s="18">
        <v>0</v>
      </c>
      <c r="M6" s="18">
        <v>0</v>
      </c>
      <c r="N6" s="18">
        <f t="shared" si="1"/>
        <v>-0.22500000000000001</v>
      </c>
      <c r="P6" s="15" t="s">
        <v>31</v>
      </c>
      <c r="Q6" s="15" t="str">
        <f t="shared" si="2"/>
        <v>5,</v>
      </c>
      <c r="R6" s="15" t="str">
        <f t="shared" si="3"/>
        <v>120,</v>
      </c>
      <c r="S6" s="15" t="str">
        <f t="shared" si="4"/>
        <v>0,</v>
      </c>
      <c r="T6" s="16">
        <f t="shared" si="5"/>
        <v>300</v>
      </c>
      <c r="U6" s="16" t="s">
        <v>32</v>
      </c>
      <c r="V6" s="16" t="str">
        <f t="shared" si="6"/>
        <v>5,</v>
      </c>
      <c r="W6" s="17" t="str">
        <f t="shared" si="7"/>
        <v/>
      </c>
      <c r="X6" s="17" t="str">
        <f t="shared" si="8"/>
        <v/>
      </c>
      <c r="Y6" s="17" t="str">
        <f t="shared" si="12"/>
        <v>UY</v>
      </c>
      <c r="Z6" s="17" t="s">
        <v>33</v>
      </c>
      <c r="AA6" s="17" t="str">
        <f t="shared" si="10"/>
        <v>5,</v>
      </c>
      <c r="AB6" s="17" t="s">
        <v>34</v>
      </c>
      <c r="AC6" s="18">
        <f t="shared" si="11"/>
        <v>0.873</v>
      </c>
    </row>
    <row r="7" spans="1:29" x14ac:dyDescent="0.3">
      <c r="A7" s="17">
        <v>6</v>
      </c>
      <c r="B7" s="17">
        <v>150</v>
      </c>
      <c r="C7" s="17">
        <v>0</v>
      </c>
      <c r="D7" s="17">
        <v>300</v>
      </c>
      <c r="E7" s="17">
        <v>0</v>
      </c>
      <c r="F7" s="17">
        <v>0</v>
      </c>
      <c r="G7" s="17">
        <v>1</v>
      </c>
      <c r="H7" s="18">
        <v>900</v>
      </c>
      <c r="I7" s="18">
        <v>0</v>
      </c>
      <c r="J7" s="18">
        <v>0</v>
      </c>
      <c r="K7" s="18">
        <f t="shared" si="0"/>
        <v>-0.38250000000000001</v>
      </c>
      <c r="L7" s="18">
        <v>0</v>
      </c>
      <c r="M7" s="18">
        <v>0</v>
      </c>
      <c r="N7" s="18">
        <f t="shared" si="1"/>
        <v>-0.22500000000000001</v>
      </c>
      <c r="P7" s="15" t="s">
        <v>31</v>
      </c>
      <c r="Q7" s="15" t="str">
        <f t="shared" si="2"/>
        <v>6,</v>
      </c>
      <c r="R7" s="15" t="str">
        <f t="shared" si="3"/>
        <v>150,</v>
      </c>
      <c r="S7" s="15" t="str">
        <f t="shared" si="4"/>
        <v>0,</v>
      </c>
      <c r="T7" s="16">
        <f t="shared" si="5"/>
        <v>300</v>
      </c>
      <c r="U7" s="16" t="s">
        <v>32</v>
      </c>
      <c r="V7" s="16" t="str">
        <f t="shared" si="6"/>
        <v>6,</v>
      </c>
      <c r="W7" s="17" t="str">
        <f t="shared" si="7"/>
        <v/>
      </c>
      <c r="X7" s="17" t="str">
        <f t="shared" si="8"/>
        <v/>
      </c>
      <c r="Y7" s="17" t="str">
        <f t="shared" si="12"/>
        <v>UY</v>
      </c>
      <c r="Z7" s="17" t="s">
        <v>33</v>
      </c>
      <c r="AA7" s="17" t="str">
        <f t="shared" si="10"/>
        <v>6,</v>
      </c>
      <c r="AB7" s="17" t="s">
        <v>34</v>
      </c>
      <c r="AC7" s="18">
        <f t="shared" si="11"/>
        <v>0.873</v>
      </c>
    </row>
    <row r="8" spans="1:29" x14ac:dyDescent="0.3">
      <c r="A8" s="17">
        <v>7</v>
      </c>
      <c r="B8" s="17">
        <v>180</v>
      </c>
      <c r="C8" s="17">
        <v>0</v>
      </c>
      <c r="D8" s="17">
        <v>300</v>
      </c>
      <c r="E8" s="17">
        <v>0</v>
      </c>
      <c r="F8" s="17">
        <v>0</v>
      </c>
      <c r="G8" s="17">
        <v>1</v>
      </c>
      <c r="H8" s="18">
        <v>900</v>
      </c>
      <c r="I8" s="18">
        <v>0</v>
      </c>
      <c r="J8" s="18">
        <v>0</v>
      </c>
      <c r="K8" s="18">
        <f t="shared" si="0"/>
        <v>-0.38250000000000001</v>
      </c>
      <c r="L8" s="18">
        <v>0</v>
      </c>
      <c r="M8" s="18">
        <v>0</v>
      </c>
      <c r="N8" s="18">
        <f t="shared" si="1"/>
        <v>-0.22500000000000001</v>
      </c>
      <c r="P8" s="15" t="s">
        <v>31</v>
      </c>
      <c r="Q8" s="15" t="str">
        <f t="shared" si="2"/>
        <v>7,</v>
      </c>
      <c r="R8" s="15" t="str">
        <f t="shared" si="3"/>
        <v>180,</v>
      </c>
      <c r="S8" s="15" t="str">
        <f t="shared" si="4"/>
        <v>0,</v>
      </c>
      <c r="T8" s="16">
        <f t="shared" si="5"/>
        <v>300</v>
      </c>
      <c r="U8" s="16" t="s">
        <v>32</v>
      </c>
      <c r="V8" s="16" t="str">
        <f t="shared" si="6"/>
        <v>7,</v>
      </c>
      <c r="W8" s="17" t="str">
        <f t="shared" si="7"/>
        <v/>
      </c>
      <c r="X8" s="17" t="str">
        <f t="shared" si="8"/>
        <v/>
      </c>
      <c r="Y8" s="17" t="str">
        <f t="shared" si="12"/>
        <v>UY</v>
      </c>
      <c r="Z8" s="17" t="s">
        <v>33</v>
      </c>
      <c r="AA8" s="17" t="str">
        <f t="shared" si="10"/>
        <v>7,</v>
      </c>
      <c r="AB8" s="17" t="s">
        <v>34</v>
      </c>
      <c r="AC8" s="18">
        <f t="shared" si="11"/>
        <v>0.873</v>
      </c>
    </row>
    <row r="9" spans="1:29" x14ac:dyDescent="0.3">
      <c r="A9" s="17">
        <v>8</v>
      </c>
      <c r="B9" s="17">
        <v>210</v>
      </c>
      <c r="C9" s="17">
        <v>0</v>
      </c>
      <c r="D9" s="17">
        <v>300</v>
      </c>
      <c r="E9" s="17">
        <v>0</v>
      </c>
      <c r="F9" s="17">
        <v>0</v>
      </c>
      <c r="G9" s="17">
        <v>1</v>
      </c>
      <c r="H9" s="18">
        <v>900</v>
      </c>
      <c r="I9" s="18">
        <v>0</v>
      </c>
      <c r="J9" s="18">
        <v>0</v>
      </c>
      <c r="K9" s="18">
        <f t="shared" si="0"/>
        <v>-0.38250000000000001</v>
      </c>
      <c r="L9" s="18">
        <v>0</v>
      </c>
      <c r="M9" s="18">
        <v>0</v>
      </c>
      <c r="N9" s="18">
        <f t="shared" si="1"/>
        <v>-0.22500000000000001</v>
      </c>
      <c r="P9" s="15" t="s">
        <v>31</v>
      </c>
      <c r="Q9" s="15" t="str">
        <f t="shared" si="2"/>
        <v>8,</v>
      </c>
      <c r="R9" s="15" t="str">
        <f t="shared" si="3"/>
        <v>210,</v>
      </c>
      <c r="S9" s="15" t="str">
        <f t="shared" si="4"/>
        <v>0,</v>
      </c>
      <c r="T9" s="16">
        <f t="shared" si="5"/>
        <v>300</v>
      </c>
      <c r="U9" s="16" t="s">
        <v>32</v>
      </c>
      <c r="V9" s="16" t="str">
        <f t="shared" si="6"/>
        <v>8,</v>
      </c>
      <c r="W9" s="17" t="str">
        <f t="shared" si="7"/>
        <v/>
      </c>
      <c r="X9" s="17" t="str">
        <f>IF(F9=1,"UZ","")</f>
        <v/>
      </c>
      <c r="Y9" s="17" t="str">
        <f t="shared" si="12"/>
        <v>UY</v>
      </c>
      <c r="Z9" s="17" t="s">
        <v>33</v>
      </c>
      <c r="AA9" s="17" t="str">
        <f t="shared" si="10"/>
        <v>8,</v>
      </c>
      <c r="AB9" s="17" t="s">
        <v>34</v>
      </c>
      <c r="AC9" s="18">
        <f t="shared" si="11"/>
        <v>0.873</v>
      </c>
    </row>
    <row r="10" spans="1:29" x14ac:dyDescent="0.3">
      <c r="A10" s="17">
        <v>9</v>
      </c>
      <c r="B10" s="17">
        <v>240</v>
      </c>
      <c r="C10" s="17">
        <v>0</v>
      </c>
      <c r="D10" s="17">
        <v>300</v>
      </c>
      <c r="E10" s="17">
        <v>0</v>
      </c>
      <c r="F10" s="17">
        <v>0</v>
      </c>
      <c r="G10" s="17">
        <v>1</v>
      </c>
      <c r="H10" s="18">
        <v>900</v>
      </c>
      <c r="I10" s="18">
        <v>0</v>
      </c>
      <c r="J10" s="18">
        <v>0</v>
      </c>
      <c r="K10" s="18">
        <f t="shared" si="0"/>
        <v>-0.38250000000000001</v>
      </c>
      <c r="L10" s="18">
        <v>0</v>
      </c>
      <c r="M10" s="18">
        <v>0</v>
      </c>
      <c r="N10" s="18">
        <f t="shared" si="1"/>
        <v>-0.22500000000000001</v>
      </c>
      <c r="P10" s="15" t="s">
        <v>31</v>
      </c>
      <c r="Q10" s="15" t="str">
        <f t="shared" si="2"/>
        <v>9,</v>
      </c>
      <c r="R10" s="15" t="str">
        <f t="shared" si="3"/>
        <v>240,</v>
      </c>
      <c r="S10" s="15" t="str">
        <f t="shared" si="4"/>
        <v>0,</v>
      </c>
      <c r="T10" s="16">
        <f t="shared" si="5"/>
        <v>300</v>
      </c>
      <c r="U10" s="16" t="s">
        <v>32</v>
      </c>
      <c r="V10" s="16" t="str">
        <f t="shared" si="6"/>
        <v>9,</v>
      </c>
      <c r="W10" s="17" t="str">
        <f t="shared" si="7"/>
        <v/>
      </c>
      <c r="X10" s="17" t="str">
        <f>IF(F10=1,"UZ","")</f>
        <v/>
      </c>
      <c r="Y10" s="17" t="str">
        <f t="shared" si="12"/>
        <v>UY</v>
      </c>
      <c r="Z10" s="17" t="s">
        <v>33</v>
      </c>
      <c r="AA10" s="17" t="str">
        <f t="shared" si="10"/>
        <v>9,</v>
      </c>
      <c r="AB10" s="17" t="s">
        <v>34</v>
      </c>
      <c r="AC10" s="18">
        <f t="shared" si="11"/>
        <v>0.873</v>
      </c>
    </row>
    <row r="11" spans="1:29" x14ac:dyDescent="0.3">
      <c r="A11" s="17">
        <v>10</v>
      </c>
      <c r="B11" s="17">
        <v>270</v>
      </c>
      <c r="C11" s="17">
        <v>0</v>
      </c>
      <c r="D11" s="17">
        <v>300</v>
      </c>
      <c r="E11" s="17">
        <v>0</v>
      </c>
      <c r="F11" s="17">
        <v>0</v>
      </c>
      <c r="G11" s="17">
        <v>1</v>
      </c>
      <c r="H11" s="18">
        <v>900</v>
      </c>
      <c r="I11" s="18">
        <v>0</v>
      </c>
      <c r="J11" s="18">
        <v>0</v>
      </c>
      <c r="K11" s="18">
        <f t="shared" si="0"/>
        <v>-0.38250000000000001</v>
      </c>
      <c r="L11" s="18">
        <v>0</v>
      </c>
      <c r="M11" s="18">
        <v>0</v>
      </c>
      <c r="N11" s="18">
        <f t="shared" si="1"/>
        <v>-0.22500000000000001</v>
      </c>
      <c r="P11" s="15" t="s">
        <v>31</v>
      </c>
      <c r="Q11" s="15" t="str">
        <f t="shared" si="2"/>
        <v>10,</v>
      </c>
      <c r="R11" s="15" t="str">
        <f t="shared" si="3"/>
        <v>270,</v>
      </c>
      <c r="S11" s="15" t="str">
        <f t="shared" si="4"/>
        <v>0,</v>
      </c>
      <c r="T11" s="16">
        <f t="shared" si="5"/>
        <v>300</v>
      </c>
      <c r="U11" s="16" t="s">
        <v>32</v>
      </c>
      <c r="V11" s="16" t="str">
        <f t="shared" si="6"/>
        <v>10,</v>
      </c>
      <c r="W11" s="17" t="str">
        <f t="shared" si="7"/>
        <v/>
      </c>
      <c r="X11" s="17" t="str">
        <f>IF(F11=1,"UZ","")</f>
        <v/>
      </c>
      <c r="Y11" s="17" t="str">
        <f t="shared" si="12"/>
        <v>UY</v>
      </c>
      <c r="Z11" s="17" t="s">
        <v>33</v>
      </c>
      <c r="AA11" s="17" t="str">
        <f t="shared" si="10"/>
        <v>10,</v>
      </c>
      <c r="AB11" s="17" t="s">
        <v>34</v>
      </c>
      <c r="AC11" s="18">
        <f t="shared" si="11"/>
        <v>0.873</v>
      </c>
    </row>
    <row r="12" spans="1:29" x14ac:dyDescent="0.3">
      <c r="A12" s="17">
        <v>11</v>
      </c>
      <c r="B12" s="17">
        <v>300</v>
      </c>
      <c r="C12" s="17">
        <v>0</v>
      </c>
      <c r="D12" s="17">
        <v>300</v>
      </c>
      <c r="E12" s="17">
        <v>0</v>
      </c>
      <c r="F12" s="17">
        <v>0</v>
      </c>
      <c r="G12" s="17">
        <v>1</v>
      </c>
      <c r="H12" s="18">
        <v>900</v>
      </c>
      <c r="I12" s="18">
        <v>0</v>
      </c>
      <c r="J12" s="18">
        <v>0</v>
      </c>
      <c r="K12" s="18">
        <f t="shared" si="0"/>
        <v>-0.38250000000000001</v>
      </c>
      <c r="L12" s="18">
        <v>0</v>
      </c>
      <c r="M12" s="18">
        <v>0</v>
      </c>
      <c r="N12" s="18">
        <f t="shared" si="1"/>
        <v>-0.22500000000000001</v>
      </c>
      <c r="P12" s="15" t="s">
        <v>31</v>
      </c>
      <c r="Q12" s="15" t="str">
        <f t="shared" si="2"/>
        <v>11,</v>
      </c>
      <c r="R12" s="15" t="str">
        <f t="shared" si="3"/>
        <v>300,</v>
      </c>
      <c r="S12" s="15" t="str">
        <f t="shared" si="4"/>
        <v>0,</v>
      </c>
      <c r="T12" s="16">
        <f t="shared" si="5"/>
        <v>300</v>
      </c>
      <c r="U12" s="16" t="s">
        <v>32</v>
      </c>
      <c r="V12" s="16" t="str">
        <f t="shared" si="6"/>
        <v>11,</v>
      </c>
      <c r="W12" s="17" t="str">
        <f t="shared" si="7"/>
        <v/>
      </c>
      <c r="X12" s="17" t="str">
        <f t="shared" ref="X12:X28" si="13">IF(F12=1,"UY","")</f>
        <v/>
      </c>
      <c r="Y12" s="17" t="str">
        <f t="shared" si="12"/>
        <v>UY</v>
      </c>
      <c r="Z12" s="17" t="s">
        <v>33</v>
      </c>
      <c r="AA12" s="17" t="str">
        <f t="shared" si="10"/>
        <v>11,</v>
      </c>
      <c r="AB12" s="17" t="s">
        <v>34</v>
      </c>
      <c r="AC12" s="18">
        <f t="shared" si="11"/>
        <v>0.873</v>
      </c>
    </row>
    <row r="13" spans="1:29" x14ac:dyDescent="0.3">
      <c r="A13" s="17">
        <v>12</v>
      </c>
      <c r="B13" s="17">
        <v>330</v>
      </c>
      <c r="C13" s="17">
        <v>0</v>
      </c>
      <c r="D13" s="17">
        <v>300</v>
      </c>
      <c r="E13" s="17">
        <v>0</v>
      </c>
      <c r="F13" s="17">
        <v>0</v>
      </c>
      <c r="G13" s="17">
        <v>1</v>
      </c>
      <c r="H13" s="18">
        <v>900</v>
      </c>
      <c r="I13" s="18">
        <v>0</v>
      </c>
      <c r="J13" s="18">
        <v>0</v>
      </c>
      <c r="K13" s="18">
        <f t="shared" si="0"/>
        <v>-0.38250000000000001</v>
      </c>
      <c r="L13" s="18">
        <v>0</v>
      </c>
      <c r="M13" s="18">
        <v>0</v>
      </c>
      <c r="N13" s="18">
        <f t="shared" si="1"/>
        <v>-0.22500000000000001</v>
      </c>
      <c r="P13" s="15" t="s">
        <v>31</v>
      </c>
      <c r="Q13" s="15" t="str">
        <f t="shared" si="2"/>
        <v>12,</v>
      </c>
      <c r="R13" s="15" t="str">
        <f t="shared" si="3"/>
        <v>330,</v>
      </c>
      <c r="S13" s="15" t="str">
        <f t="shared" si="4"/>
        <v>0,</v>
      </c>
      <c r="T13" s="16">
        <f t="shared" si="5"/>
        <v>300</v>
      </c>
      <c r="U13" s="16" t="s">
        <v>32</v>
      </c>
      <c r="V13" s="16" t="str">
        <f t="shared" si="6"/>
        <v>12,</v>
      </c>
      <c r="W13" s="17" t="str">
        <f t="shared" si="7"/>
        <v/>
      </c>
      <c r="X13" s="17" t="str">
        <f t="shared" si="13"/>
        <v/>
      </c>
      <c r="Y13" s="17" t="str">
        <f t="shared" si="12"/>
        <v>UY</v>
      </c>
      <c r="Z13" s="17" t="s">
        <v>33</v>
      </c>
      <c r="AA13" s="17" t="str">
        <f t="shared" si="10"/>
        <v>12,</v>
      </c>
      <c r="AB13" s="17" t="s">
        <v>34</v>
      </c>
      <c r="AC13" s="18">
        <f t="shared" si="11"/>
        <v>0.873</v>
      </c>
    </row>
    <row r="14" spans="1:29" x14ac:dyDescent="0.3">
      <c r="A14" s="17">
        <v>13</v>
      </c>
      <c r="B14" s="17">
        <v>360</v>
      </c>
      <c r="C14" s="17">
        <v>0</v>
      </c>
      <c r="D14" s="17">
        <v>300</v>
      </c>
      <c r="E14" s="17">
        <v>0</v>
      </c>
      <c r="F14" s="17">
        <v>0</v>
      </c>
      <c r="G14" s="17">
        <v>1</v>
      </c>
      <c r="H14" s="18">
        <v>900</v>
      </c>
      <c r="I14" s="18">
        <v>0</v>
      </c>
      <c r="J14" s="18">
        <v>0</v>
      </c>
      <c r="K14" s="18">
        <f t="shared" si="0"/>
        <v>-0.38250000000000001</v>
      </c>
      <c r="L14" s="18">
        <v>0</v>
      </c>
      <c r="M14" s="18">
        <v>0</v>
      </c>
      <c r="N14" s="18">
        <f t="shared" si="1"/>
        <v>-0.22500000000000001</v>
      </c>
      <c r="P14" s="15" t="s">
        <v>31</v>
      </c>
      <c r="Q14" s="15" t="str">
        <f t="shared" si="2"/>
        <v>13,</v>
      </c>
      <c r="R14" s="15" t="str">
        <f t="shared" si="3"/>
        <v>360,</v>
      </c>
      <c r="S14" s="15" t="str">
        <f t="shared" si="4"/>
        <v>0,</v>
      </c>
      <c r="T14" s="16">
        <f t="shared" si="5"/>
        <v>300</v>
      </c>
      <c r="U14" s="16" t="s">
        <v>32</v>
      </c>
      <c r="V14" s="16" t="str">
        <f t="shared" si="6"/>
        <v>13,</v>
      </c>
      <c r="W14" s="17" t="str">
        <f t="shared" si="7"/>
        <v/>
      </c>
      <c r="X14" s="17" t="str">
        <f t="shared" si="13"/>
        <v/>
      </c>
      <c r="Y14" s="17" t="str">
        <f t="shared" si="12"/>
        <v>UY</v>
      </c>
      <c r="Z14" s="17" t="s">
        <v>33</v>
      </c>
      <c r="AA14" s="17" t="str">
        <f t="shared" si="10"/>
        <v>13,</v>
      </c>
      <c r="AB14" s="17" t="s">
        <v>34</v>
      </c>
      <c r="AC14" s="18">
        <f t="shared" si="11"/>
        <v>0.873</v>
      </c>
    </row>
    <row r="15" spans="1:29" x14ac:dyDescent="0.3">
      <c r="A15" s="17">
        <v>14</v>
      </c>
      <c r="B15" s="17">
        <v>390</v>
      </c>
      <c r="C15" s="17">
        <v>0</v>
      </c>
      <c r="D15" s="17">
        <v>300</v>
      </c>
      <c r="E15" s="17">
        <v>0</v>
      </c>
      <c r="F15" s="17">
        <v>0</v>
      </c>
      <c r="G15" s="17">
        <v>1</v>
      </c>
      <c r="H15" s="18">
        <v>900</v>
      </c>
      <c r="I15" s="18">
        <v>0</v>
      </c>
      <c r="J15" s="18">
        <v>0</v>
      </c>
      <c r="K15" s="18">
        <f t="shared" si="0"/>
        <v>-0.38250000000000001</v>
      </c>
      <c r="L15" s="18">
        <v>0</v>
      </c>
      <c r="M15" s="18">
        <v>0</v>
      </c>
      <c r="N15" s="18">
        <f t="shared" si="1"/>
        <v>-0.22500000000000001</v>
      </c>
      <c r="P15" s="15" t="s">
        <v>31</v>
      </c>
      <c r="Q15" s="15" t="str">
        <f t="shared" si="2"/>
        <v>14,</v>
      </c>
      <c r="R15" s="15" t="str">
        <f t="shared" si="3"/>
        <v>390,</v>
      </c>
      <c r="S15" s="15" t="str">
        <f t="shared" si="4"/>
        <v>0,</v>
      </c>
      <c r="T15" s="16">
        <f t="shared" si="5"/>
        <v>300</v>
      </c>
      <c r="U15" s="16" t="s">
        <v>32</v>
      </c>
      <c r="V15" s="16" t="str">
        <f t="shared" si="6"/>
        <v>14,</v>
      </c>
      <c r="W15" s="17" t="str">
        <f t="shared" si="7"/>
        <v/>
      </c>
      <c r="X15" s="17" t="str">
        <f t="shared" si="13"/>
        <v/>
      </c>
      <c r="Y15" s="17" t="str">
        <f t="shared" si="12"/>
        <v>UY</v>
      </c>
      <c r="Z15" s="17" t="s">
        <v>33</v>
      </c>
      <c r="AA15" s="17" t="str">
        <f t="shared" si="10"/>
        <v>14,</v>
      </c>
      <c r="AB15" s="17" t="s">
        <v>34</v>
      </c>
      <c r="AC15" s="18">
        <f t="shared" si="11"/>
        <v>0.873</v>
      </c>
    </row>
    <row r="16" spans="1:29" x14ac:dyDescent="0.3">
      <c r="A16" s="17">
        <v>15</v>
      </c>
      <c r="B16" s="17">
        <v>420</v>
      </c>
      <c r="C16" s="17">
        <v>0</v>
      </c>
      <c r="D16" s="17">
        <v>300</v>
      </c>
      <c r="E16" s="17">
        <v>0</v>
      </c>
      <c r="F16" s="17">
        <v>0</v>
      </c>
      <c r="G16" s="17">
        <v>1</v>
      </c>
      <c r="H16" s="18">
        <v>900</v>
      </c>
      <c r="I16" s="18">
        <v>0</v>
      </c>
      <c r="J16" s="18">
        <v>0</v>
      </c>
      <c r="K16" s="18">
        <f t="shared" si="0"/>
        <v>-0.38250000000000001</v>
      </c>
      <c r="L16" s="18">
        <v>0</v>
      </c>
      <c r="M16" s="18">
        <v>0</v>
      </c>
      <c r="N16" s="18">
        <f t="shared" si="1"/>
        <v>-0.22500000000000001</v>
      </c>
      <c r="P16" s="15" t="s">
        <v>31</v>
      </c>
      <c r="Q16" s="15" t="str">
        <f t="shared" si="2"/>
        <v>15,</v>
      </c>
      <c r="R16" s="15" t="str">
        <f t="shared" si="3"/>
        <v>420,</v>
      </c>
      <c r="S16" s="15" t="str">
        <f t="shared" si="4"/>
        <v>0,</v>
      </c>
      <c r="T16" s="16">
        <f t="shared" si="5"/>
        <v>300</v>
      </c>
      <c r="U16" s="16" t="s">
        <v>32</v>
      </c>
      <c r="V16" s="16" t="str">
        <f t="shared" si="6"/>
        <v>15,</v>
      </c>
      <c r="W16" s="17" t="str">
        <f t="shared" si="7"/>
        <v/>
      </c>
      <c r="X16" s="17" t="str">
        <f t="shared" si="13"/>
        <v/>
      </c>
      <c r="Y16" s="17" t="str">
        <f t="shared" si="12"/>
        <v>UY</v>
      </c>
      <c r="Z16" s="17" t="s">
        <v>33</v>
      </c>
      <c r="AA16" s="17" t="str">
        <f t="shared" si="10"/>
        <v>15,</v>
      </c>
      <c r="AB16" s="17" t="s">
        <v>34</v>
      </c>
      <c r="AC16" s="18">
        <f t="shared" si="11"/>
        <v>0.873</v>
      </c>
    </row>
    <row r="17" spans="1:29" x14ac:dyDescent="0.3">
      <c r="A17" s="17">
        <v>16</v>
      </c>
      <c r="B17" s="17">
        <v>450</v>
      </c>
      <c r="C17" s="17">
        <v>0</v>
      </c>
      <c r="D17" s="17">
        <v>300</v>
      </c>
      <c r="E17" s="17">
        <v>0</v>
      </c>
      <c r="F17" s="17">
        <v>0</v>
      </c>
      <c r="G17" s="17">
        <v>1</v>
      </c>
      <c r="H17" s="18">
        <v>900</v>
      </c>
      <c r="I17" s="18">
        <v>0</v>
      </c>
      <c r="J17" s="18">
        <v>0</v>
      </c>
      <c r="K17" s="18">
        <f t="shared" si="0"/>
        <v>-0.38250000000000001</v>
      </c>
      <c r="L17" s="18">
        <v>0</v>
      </c>
      <c r="M17" s="18">
        <v>0</v>
      </c>
      <c r="N17" s="18">
        <f t="shared" si="1"/>
        <v>-0.22500000000000001</v>
      </c>
      <c r="P17" s="15" t="s">
        <v>31</v>
      </c>
      <c r="Q17" s="15" t="str">
        <f t="shared" si="2"/>
        <v>16,</v>
      </c>
      <c r="R17" s="15" t="str">
        <f t="shared" si="3"/>
        <v>450,</v>
      </c>
      <c r="S17" s="15" t="str">
        <f t="shared" si="4"/>
        <v>0,</v>
      </c>
      <c r="T17" s="16">
        <f t="shared" si="5"/>
        <v>300</v>
      </c>
      <c r="U17" s="16" t="s">
        <v>32</v>
      </c>
      <c r="V17" s="16" t="str">
        <f t="shared" si="6"/>
        <v>16,</v>
      </c>
      <c r="W17" s="17" t="str">
        <f t="shared" si="7"/>
        <v/>
      </c>
      <c r="X17" s="17" t="str">
        <f t="shared" si="13"/>
        <v/>
      </c>
      <c r="Y17" s="17" t="str">
        <f t="shared" si="12"/>
        <v>UY</v>
      </c>
      <c r="Z17" s="17" t="s">
        <v>33</v>
      </c>
      <c r="AA17" s="17" t="str">
        <f t="shared" si="10"/>
        <v>16,</v>
      </c>
      <c r="AB17" s="17" t="s">
        <v>34</v>
      </c>
      <c r="AC17" s="18">
        <f t="shared" si="11"/>
        <v>0.873</v>
      </c>
    </row>
    <row r="18" spans="1:29" x14ac:dyDescent="0.3">
      <c r="A18" s="17">
        <v>17</v>
      </c>
      <c r="B18" s="17">
        <v>480</v>
      </c>
      <c r="C18" s="17">
        <v>0</v>
      </c>
      <c r="D18" s="17">
        <v>300</v>
      </c>
      <c r="E18" s="17">
        <v>0</v>
      </c>
      <c r="F18" s="17">
        <v>0</v>
      </c>
      <c r="G18" s="17">
        <v>1</v>
      </c>
      <c r="H18" s="18">
        <v>900</v>
      </c>
      <c r="I18" s="18">
        <v>0</v>
      </c>
      <c r="J18" s="18">
        <v>0</v>
      </c>
      <c r="K18" s="18">
        <f t="shared" si="0"/>
        <v>-0.38250000000000001</v>
      </c>
      <c r="L18" s="18">
        <v>0</v>
      </c>
      <c r="M18" s="18">
        <v>0</v>
      </c>
      <c r="N18" s="18">
        <f t="shared" si="1"/>
        <v>-0.22500000000000001</v>
      </c>
      <c r="P18" s="15" t="s">
        <v>31</v>
      </c>
      <c r="Q18" s="15" t="str">
        <f t="shared" si="2"/>
        <v>17,</v>
      </c>
      <c r="R18" s="15" t="str">
        <f t="shared" si="3"/>
        <v>480,</v>
      </c>
      <c r="S18" s="15" t="str">
        <f t="shared" si="4"/>
        <v>0,</v>
      </c>
      <c r="T18" s="16">
        <f t="shared" si="5"/>
        <v>300</v>
      </c>
      <c r="U18" s="16" t="s">
        <v>32</v>
      </c>
      <c r="V18" s="16" t="str">
        <f t="shared" si="6"/>
        <v>17,</v>
      </c>
      <c r="W18" s="17" t="str">
        <f t="shared" si="7"/>
        <v/>
      </c>
      <c r="X18" s="17" t="str">
        <f t="shared" si="13"/>
        <v/>
      </c>
      <c r="Y18" s="17" t="str">
        <f t="shared" si="12"/>
        <v>UY</v>
      </c>
      <c r="Z18" s="17" t="s">
        <v>33</v>
      </c>
      <c r="AA18" s="17" t="str">
        <f t="shared" si="10"/>
        <v>17,</v>
      </c>
      <c r="AB18" s="17" t="s">
        <v>34</v>
      </c>
      <c r="AC18" s="18">
        <f t="shared" si="11"/>
        <v>0.873</v>
      </c>
    </row>
    <row r="19" spans="1:29" x14ac:dyDescent="0.3">
      <c r="A19" s="17">
        <v>18</v>
      </c>
      <c r="B19" s="17">
        <v>509.99999999999994</v>
      </c>
      <c r="C19" s="17">
        <v>0</v>
      </c>
      <c r="D19" s="17">
        <v>300</v>
      </c>
      <c r="E19" s="17">
        <v>0</v>
      </c>
      <c r="F19" s="17">
        <v>0</v>
      </c>
      <c r="G19" s="17">
        <v>1</v>
      </c>
      <c r="H19" s="18">
        <v>900</v>
      </c>
      <c r="I19" s="18">
        <v>0</v>
      </c>
      <c r="J19" s="18">
        <v>0</v>
      </c>
      <c r="K19" s="18">
        <f t="shared" si="0"/>
        <v>-0.38250000000000001</v>
      </c>
      <c r="L19" s="18">
        <v>0</v>
      </c>
      <c r="M19" s="18">
        <v>0</v>
      </c>
      <c r="N19" s="18">
        <f t="shared" si="1"/>
        <v>-0.22500000000000001</v>
      </c>
      <c r="P19" s="15" t="s">
        <v>31</v>
      </c>
      <c r="Q19" s="15" t="str">
        <f t="shared" si="2"/>
        <v>18,</v>
      </c>
      <c r="R19" s="15" t="str">
        <f t="shared" si="3"/>
        <v>510,</v>
      </c>
      <c r="S19" s="15" t="str">
        <f t="shared" si="4"/>
        <v>0,</v>
      </c>
      <c r="T19" s="16">
        <f t="shared" si="5"/>
        <v>300</v>
      </c>
      <c r="U19" s="16" t="s">
        <v>32</v>
      </c>
      <c r="V19" s="16" t="str">
        <f t="shared" si="6"/>
        <v>18,</v>
      </c>
      <c r="W19" s="17" t="str">
        <f t="shared" si="7"/>
        <v/>
      </c>
      <c r="X19" s="17" t="str">
        <f t="shared" si="13"/>
        <v/>
      </c>
      <c r="Y19" s="17" t="str">
        <f t="shared" si="12"/>
        <v>UY</v>
      </c>
      <c r="Z19" s="17" t="s">
        <v>33</v>
      </c>
      <c r="AA19" s="17" t="str">
        <f t="shared" si="10"/>
        <v>18,</v>
      </c>
      <c r="AB19" s="17" t="s">
        <v>34</v>
      </c>
      <c r="AC19" s="18">
        <f t="shared" si="11"/>
        <v>0.873</v>
      </c>
    </row>
    <row r="20" spans="1:29" x14ac:dyDescent="0.3">
      <c r="A20" s="17">
        <v>19</v>
      </c>
      <c r="B20" s="17">
        <v>540</v>
      </c>
      <c r="C20" s="17">
        <v>0</v>
      </c>
      <c r="D20" s="17">
        <v>300</v>
      </c>
      <c r="E20" s="17">
        <v>0</v>
      </c>
      <c r="F20" s="17">
        <v>0</v>
      </c>
      <c r="G20" s="17">
        <v>1</v>
      </c>
      <c r="H20" s="18">
        <v>900</v>
      </c>
      <c r="I20" s="18">
        <v>0</v>
      </c>
      <c r="J20" s="18">
        <v>0</v>
      </c>
      <c r="K20" s="18">
        <f t="shared" si="0"/>
        <v>-0.38250000000000001</v>
      </c>
      <c r="L20" s="18">
        <v>0</v>
      </c>
      <c r="M20" s="18">
        <v>0</v>
      </c>
      <c r="N20" s="18">
        <f t="shared" si="1"/>
        <v>-0.22500000000000001</v>
      </c>
      <c r="P20" s="15" t="s">
        <v>31</v>
      </c>
      <c r="Q20" s="15" t="str">
        <f t="shared" si="2"/>
        <v>19,</v>
      </c>
      <c r="R20" s="15" t="str">
        <f t="shared" si="3"/>
        <v>540,</v>
      </c>
      <c r="S20" s="15" t="str">
        <f t="shared" si="4"/>
        <v>0,</v>
      </c>
      <c r="T20" s="16">
        <f t="shared" si="5"/>
        <v>300</v>
      </c>
      <c r="U20" s="16" t="s">
        <v>32</v>
      </c>
      <c r="V20" s="16" t="str">
        <f t="shared" si="6"/>
        <v>19,</v>
      </c>
      <c r="W20" s="17" t="str">
        <f t="shared" si="7"/>
        <v/>
      </c>
      <c r="X20" s="17" t="str">
        <f t="shared" si="13"/>
        <v/>
      </c>
      <c r="Y20" s="17" t="str">
        <f t="shared" si="12"/>
        <v>UY</v>
      </c>
      <c r="Z20" s="17" t="s">
        <v>33</v>
      </c>
      <c r="AA20" s="17" t="str">
        <f t="shared" si="10"/>
        <v>19,</v>
      </c>
      <c r="AB20" s="17" t="s">
        <v>34</v>
      </c>
      <c r="AC20" s="18">
        <f t="shared" si="11"/>
        <v>0.873</v>
      </c>
    </row>
    <row r="21" spans="1:29" x14ac:dyDescent="0.3">
      <c r="A21" s="17">
        <v>20</v>
      </c>
      <c r="B21" s="17">
        <v>570</v>
      </c>
      <c r="C21" s="17">
        <v>0</v>
      </c>
      <c r="D21" s="17">
        <v>300</v>
      </c>
      <c r="E21" s="17">
        <v>0</v>
      </c>
      <c r="F21" s="17">
        <v>0</v>
      </c>
      <c r="G21" s="17">
        <v>1</v>
      </c>
      <c r="H21" s="18">
        <v>900</v>
      </c>
      <c r="I21" s="18">
        <v>0</v>
      </c>
      <c r="J21" s="18">
        <v>0</v>
      </c>
      <c r="K21" s="18">
        <f t="shared" si="0"/>
        <v>-0.38250000000000001</v>
      </c>
      <c r="L21" s="18">
        <v>0</v>
      </c>
      <c r="M21" s="18">
        <v>0</v>
      </c>
      <c r="N21" s="18">
        <f t="shared" si="1"/>
        <v>-0.22500000000000001</v>
      </c>
      <c r="P21" s="15" t="s">
        <v>31</v>
      </c>
      <c r="Q21" s="15" t="str">
        <f t="shared" si="2"/>
        <v>20,</v>
      </c>
      <c r="R21" s="15" t="str">
        <f t="shared" si="3"/>
        <v>570,</v>
      </c>
      <c r="S21" s="15" t="str">
        <f t="shared" si="4"/>
        <v>0,</v>
      </c>
      <c r="T21" s="16">
        <f t="shared" si="5"/>
        <v>300</v>
      </c>
      <c r="U21" s="16" t="s">
        <v>32</v>
      </c>
      <c r="V21" s="16" t="str">
        <f t="shared" si="6"/>
        <v>20,</v>
      </c>
      <c r="W21" s="17" t="str">
        <f t="shared" si="7"/>
        <v/>
      </c>
      <c r="X21" s="17" t="str">
        <f t="shared" si="13"/>
        <v/>
      </c>
      <c r="Y21" s="17" t="str">
        <f t="shared" si="12"/>
        <v>UY</v>
      </c>
      <c r="Z21" s="17" t="s">
        <v>33</v>
      </c>
      <c r="AA21" s="17" t="str">
        <f t="shared" si="10"/>
        <v>20,</v>
      </c>
      <c r="AB21" s="17" t="s">
        <v>34</v>
      </c>
      <c r="AC21" s="18">
        <f t="shared" si="11"/>
        <v>0.873</v>
      </c>
    </row>
    <row r="22" spans="1:29" x14ac:dyDescent="0.3">
      <c r="A22" s="17">
        <v>21</v>
      </c>
      <c r="B22" s="17">
        <v>600</v>
      </c>
      <c r="C22" s="17">
        <v>0</v>
      </c>
      <c r="D22" s="17">
        <v>300</v>
      </c>
      <c r="E22" s="17">
        <v>1</v>
      </c>
      <c r="F22" s="17">
        <v>1</v>
      </c>
      <c r="G22" s="17">
        <v>1</v>
      </c>
      <c r="H22" s="18">
        <v>900</v>
      </c>
      <c r="I22" s="18">
        <v>0</v>
      </c>
      <c r="J22" s="18">
        <v>0</v>
      </c>
      <c r="K22" s="18">
        <f t="shared" si="0"/>
        <v>-0.38250000000000001</v>
      </c>
      <c r="L22" s="18">
        <v>0</v>
      </c>
      <c r="M22" s="18">
        <v>0</v>
      </c>
      <c r="N22" s="18">
        <f t="shared" si="1"/>
        <v>-0.22500000000000001</v>
      </c>
      <c r="P22" s="15" t="s">
        <v>31</v>
      </c>
      <c r="Q22" s="15" t="str">
        <f t="shared" si="2"/>
        <v>21,</v>
      </c>
      <c r="R22" s="15" t="str">
        <f t="shared" si="3"/>
        <v>600,</v>
      </c>
      <c r="S22" s="15" t="str">
        <f t="shared" si="4"/>
        <v>0,</v>
      </c>
      <c r="T22" s="16">
        <f t="shared" si="5"/>
        <v>300</v>
      </c>
      <c r="U22" s="16" t="s">
        <v>32</v>
      </c>
      <c r="V22" s="16" t="str">
        <f t="shared" si="6"/>
        <v>21,</v>
      </c>
      <c r="W22" s="17" t="str">
        <f t="shared" si="7"/>
        <v>UX</v>
      </c>
      <c r="X22" s="17" t="str">
        <f t="shared" si="13"/>
        <v>UY</v>
      </c>
      <c r="Y22" s="17" t="str">
        <f t="shared" si="9"/>
        <v>UY,</v>
      </c>
      <c r="Z22" s="17" t="s">
        <v>33</v>
      </c>
      <c r="AA22" s="17" t="str">
        <f t="shared" si="10"/>
        <v>21,</v>
      </c>
      <c r="AB22" s="17" t="s">
        <v>34</v>
      </c>
      <c r="AC22" s="18">
        <f t="shared" si="11"/>
        <v>0.873</v>
      </c>
    </row>
    <row r="23" spans="1:29" x14ac:dyDescent="0.3">
      <c r="A23" s="17">
        <v>22</v>
      </c>
      <c r="B23" s="17">
        <v>0</v>
      </c>
      <c r="C23" s="17">
        <v>0</v>
      </c>
      <c r="D23" s="17">
        <v>270</v>
      </c>
      <c r="E23" s="17">
        <v>0</v>
      </c>
      <c r="F23" s="17">
        <v>0</v>
      </c>
      <c r="G23" s="17">
        <v>1</v>
      </c>
      <c r="H23" s="18">
        <v>900</v>
      </c>
      <c r="I23" s="18">
        <v>0</v>
      </c>
      <c r="J23" s="18">
        <v>0</v>
      </c>
      <c r="K23" s="18">
        <f t="shared" si="0"/>
        <v>-0.38250000000000001</v>
      </c>
      <c r="L23" s="18">
        <v>0</v>
      </c>
      <c r="M23" s="18">
        <v>0</v>
      </c>
      <c r="N23" s="18">
        <f t="shared" si="1"/>
        <v>-0.22500000000000001</v>
      </c>
      <c r="P23" s="15" t="s">
        <v>31</v>
      </c>
      <c r="Q23" s="15" t="str">
        <f t="shared" si="2"/>
        <v>22,</v>
      </c>
      <c r="R23" s="15" t="str">
        <f t="shared" si="3"/>
        <v>0,</v>
      </c>
      <c r="S23" s="15" t="str">
        <f t="shared" si="4"/>
        <v>0,</v>
      </c>
      <c r="T23" s="16">
        <f t="shared" si="5"/>
        <v>270</v>
      </c>
      <c r="U23" s="16" t="s">
        <v>32</v>
      </c>
      <c r="V23" s="16" t="str">
        <f t="shared" si="6"/>
        <v>22,</v>
      </c>
      <c r="W23" s="17" t="str">
        <f t="shared" si="7"/>
        <v/>
      </c>
      <c r="X23" s="17" t="str">
        <f t="shared" si="13"/>
        <v/>
      </c>
      <c r="Y23" s="17" t="str">
        <f t="shared" ref="Y23:Y86" si="14">IF(G23=1,"UY","")</f>
        <v>UY</v>
      </c>
      <c r="Z23" s="17" t="s">
        <v>33</v>
      </c>
      <c r="AA23" s="17" t="str">
        <f t="shared" si="10"/>
        <v>22,</v>
      </c>
      <c r="AB23" s="17" t="s">
        <v>34</v>
      </c>
      <c r="AC23" s="18">
        <f t="shared" si="11"/>
        <v>0.873</v>
      </c>
    </row>
    <row r="24" spans="1:29" x14ac:dyDescent="0.3">
      <c r="A24" s="17">
        <v>23</v>
      </c>
      <c r="B24" s="17">
        <v>30</v>
      </c>
      <c r="C24" s="17">
        <v>0</v>
      </c>
      <c r="D24" s="17">
        <v>270</v>
      </c>
      <c r="H24" s="18">
        <v>900</v>
      </c>
      <c r="I24" s="18">
        <v>0</v>
      </c>
      <c r="J24" s="18">
        <v>0</v>
      </c>
      <c r="K24" s="18">
        <f t="shared" si="0"/>
        <v>-0.38250000000000001</v>
      </c>
      <c r="L24" s="18">
        <v>0</v>
      </c>
      <c r="M24" s="18">
        <v>0</v>
      </c>
      <c r="N24" s="18">
        <f t="shared" si="1"/>
        <v>-0.22500000000000001</v>
      </c>
      <c r="P24" s="15" t="s">
        <v>31</v>
      </c>
      <c r="Q24" s="15" t="str">
        <f t="shared" si="2"/>
        <v>23,</v>
      </c>
      <c r="R24" s="15" t="str">
        <f t="shared" si="3"/>
        <v>30,</v>
      </c>
      <c r="S24" s="15" t="str">
        <f t="shared" si="4"/>
        <v>0,</v>
      </c>
      <c r="T24" s="16">
        <f t="shared" si="5"/>
        <v>270</v>
      </c>
      <c r="U24" s="16" t="s">
        <v>32</v>
      </c>
      <c r="V24" s="16" t="str">
        <f t="shared" si="6"/>
        <v>23,</v>
      </c>
      <c r="W24" s="17" t="str">
        <f t="shared" si="7"/>
        <v/>
      </c>
      <c r="X24" s="17" t="str">
        <f t="shared" si="13"/>
        <v/>
      </c>
      <c r="Y24" s="17" t="str">
        <f t="shared" si="14"/>
        <v/>
      </c>
      <c r="Z24" s="17" t="s">
        <v>33</v>
      </c>
      <c r="AA24" s="17" t="str">
        <f t="shared" si="10"/>
        <v>23,</v>
      </c>
      <c r="AB24" s="17" t="s">
        <v>34</v>
      </c>
      <c r="AC24" s="18">
        <f t="shared" si="11"/>
        <v>0.873</v>
      </c>
    </row>
    <row r="25" spans="1:29" x14ac:dyDescent="0.3">
      <c r="A25" s="17">
        <v>24</v>
      </c>
      <c r="B25" s="17">
        <v>60</v>
      </c>
      <c r="C25" s="17">
        <v>0</v>
      </c>
      <c r="D25" s="17">
        <v>270</v>
      </c>
      <c r="H25" s="18">
        <v>900</v>
      </c>
      <c r="I25" s="18">
        <v>0</v>
      </c>
      <c r="J25" s="18">
        <v>0</v>
      </c>
      <c r="K25" s="18">
        <f t="shared" si="0"/>
        <v>-0.38250000000000001</v>
      </c>
      <c r="L25" s="18">
        <v>0</v>
      </c>
      <c r="M25" s="18">
        <v>0</v>
      </c>
      <c r="N25" s="18">
        <f t="shared" si="1"/>
        <v>-0.22500000000000001</v>
      </c>
      <c r="P25" s="15" t="s">
        <v>31</v>
      </c>
      <c r="Q25" s="15" t="str">
        <f t="shared" si="2"/>
        <v>24,</v>
      </c>
      <c r="R25" s="15" t="str">
        <f t="shared" si="3"/>
        <v>60,</v>
      </c>
      <c r="S25" s="15" t="str">
        <f t="shared" si="4"/>
        <v>0,</v>
      </c>
      <c r="T25" s="16">
        <f t="shared" si="5"/>
        <v>270</v>
      </c>
      <c r="U25" s="16" t="s">
        <v>32</v>
      </c>
      <c r="V25" s="16" t="str">
        <f t="shared" si="6"/>
        <v>24,</v>
      </c>
      <c r="W25" s="17" t="str">
        <f t="shared" si="7"/>
        <v/>
      </c>
      <c r="X25" s="17" t="str">
        <f t="shared" si="13"/>
        <v/>
      </c>
      <c r="Y25" s="17" t="str">
        <f t="shared" si="14"/>
        <v/>
      </c>
      <c r="Z25" s="17" t="s">
        <v>33</v>
      </c>
      <c r="AA25" s="17" t="str">
        <f t="shared" si="10"/>
        <v>24,</v>
      </c>
      <c r="AB25" s="17" t="s">
        <v>34</v>
      </c>
      <c r="AC25" s="18">
        <f t="shared" si="11"/>
        <v>0.873</v>
      </c>
    </row>
    <row r="26" spans="1:29" x14ac:dyDescent="0.3">
      <c r="A26" s="17">
        <v>25</v>
      </c>
      <c r="B26" s="17">
        <v>90</v>
      </c>
      <c r="C26" s="17">
        <v>0</v>
      </c>
      <c r="D26" s="17">
        <v>270</v>
      </c>
      <c r="H26" s="18">
        <v>900</v>
      </c>
      <c r="I26" s="18">
        <v>0</v>
      </c>
      <c r="J26" s="18">
        <v>0</v>
      </c>
      <c r="K26" s="18">
        <f t="shared" si="0"/>
        <v>-0.38250000000000001</v>
      </c>
      <c r="L26" s="18">
        <v>0</v>
      </c>
      <c r="M26" s="18">
        <v>0</v>
      </c>
      <c r="N26" s="18">
        <f t="shared" si="1"/>
        <v>-0.22500000000000001</v>
      </c>
      <c r="P26" s="15" t="s">
        <v>31</v>
      </c>
      <c r="Q26" s="15" t="str">
        <f t="shared" si="2"/>
        <v>25,</v>
      </c>
      <c r="R26" s="15" t="str">
        <f t="shared" si="3"/>
        <v>90,</v>
      </c>
      <c r="S26" s="15" t="str">
        <f t="shared" si="4"/>
        <v>0,</v>
      </c>
      <c r="T26" s="16">
        <f t="shared" si="5"/>
        <v>270</v>
      </c>
      <c r="U26" s="16" t="s">
        <v>32</v>
      </c>
      <c r="V26" s="16" t="str">
        <f t="shared" si="6"/>
        <v>25,</v>
      </c>
      <c r="W26" s="17" t="str">
        <f t="shared" si="7"/>
        <v/>
      </c>
      <c r="X26" s="17" t="str">
        <f t="shared" si="13"/>
        <v/>
      </c>
      <c r="Y26" s="17" t="str">
        <f t="shared" si="14"/>
        <v/>
      </c>
      <c r="Z26" s="17" t="s">
        <v>33</v>
      </c>
      <c r="AA26" s="17" t="str">
        <f t="shared" si="10"/>
        <v>25,</v>
      </c>
      <c r="AB26" s="17" t="s">
        <v>34</v>
      </c>
      <c r="AC26" s="18">
        <f t="shared" si="11"/>
        <v>0.873</v>
      </c>
    </row>
    <row r="27" spans="1:29" x14ac:dyDescent="0.3">
      <c r="A27" s="17">
        <v>26</v>
      </c>
      <c r="B27" s="17">
        <v>120</v>
      </c>
      <c r="C27" s="17">
        <v>0</v>
      </c>
      <c r="D27" s="17">
        <v>270</v>
      </c>
      <c r="H27" s="18">
        <v>900</v>
      </c>
      <c r="I27" s="18">
        <v>0</v>
      </c>
      <c r="J27" s="18">
        <v>0</v>
      </c>
      <c r="K27" s="18">
        <f t="shared" si="0"/>
        <v>-0.38250000000000001</v>
      </c>
      <c r="L27" s="18">
        <v>0</v>
      </c>
      <c r="M27" s="18">
        <v>0</v>
      </c>
      <c r="N27" s="18">
        <f t="shared" si="1"/>
        <v>-0.22500000000000001</v>
      </c>
      <c r="P27" s="15" t="s">
        <v>31</v>
      </c>
      <c r="Q27" s="15" t="str">
        <f t="shared" si="2"/>
        <v>26,</v>
      </c>
      <c r="R27" s="15" t="str">
        <f t="shared" si="3"/>
        <v>120,</v>
      </c>
      <c r="S27" s="15" t="str">
        <f t="shared" si="4"/>
        <v>0,</v>
      </c>
      <c r="T27" s="16">
        <f t="shared" si="5"/>
        <v>270</v>
      </c>
      <c r="U27" s="16" t="s">
        <v>32</v>
      </c>
      <c r="V27" s="16" t="str">
        <f t="shared" si="6"/>
        <v>26,</v>
      </c>
      <c r="W27" s="17" t="str">
        <f t="shared" si="7"/>
        <v/>
      </c>
      <c r="X27" s="17" t="str">
        <f t="shared" si="13"/>
        <v/>
      </c>
      <c r="Y27" s="17" t="str">
        <f t="shared" si="14"/>
        <v/>
      </c>
      <c r="Z27" s="17" t="s">
        <v>33</v>
      </c>
      <c r="AA27" s="17" t="str">
        <f t="shared" si="10"/>
        <v>26,</v>
      </c>
      <c r="AB27" s="17" t="s">
        <v>34</v>
      </c>
      <c r="AC27" s="18">
        <f t="shared" si="11"/>
        <v>0.873</v>
      </c>
    </row>
    <row r="28" spans="1:29" x14ac:dyDescent="0.3">
      <c r="A28" s="17">
        <v>27</v>
      </c>
      <c r="B28" s="17">
        <v>150</v>
      </c>
      <c r="C28" s="17">
        <v>0</v>
      </c>
      <c r="D28" s="17">
        <v>270</v>
      </c>
      <c r="H28" s="18">
        <v>900</v>
      </c>
      <c r="I28" s="18">
        <v>0</v>
      </c>
      <c r="J28" s="18">
        <v>0</v>
      </c>
      <c r="K28" s="18">
        <f t="shared" si="0"/>
        <v>-0.38250000000000001</v>
      </c>
      <c r="L28" s="18">
        <v>0</v>
      </c>
      <c r="M28" s="18">
        <v>0</v>
      </c>
      <c r="N28" s="18">
        <f t="shared" si="1"/>
        <v>-0.22500000000000001</v>
      </c>
      <c r="P28" s="15" t="s">
        <v>31</v>
      </c>
      <c r="Q28" s="15" t="str">
        <f t="shared" si="2"/>
        <v>27,</v>
      </c>
      <c r="R28" s="15" t="str">
        <f t="shared" si="3"/>
        <v>150,</v>
      </c>
      <c r="S28" s="15" t="str">
        <f t="shared" si="4"/>
        <v>0,</v>
      </c>
      <c r="T28" s="16">
        <f t="shared" si="5"/>
        <v>270</v>
      </c>
      <c r="U28" s="16" t="s">
        <v>32</v>
      </c>
      <c r="V28" s="16" t="str">
        <f t="shared" si="6"/>
        <v>27,</v>
      </c>
      <c r="W28" s="17" t="str">
        <f t="shared" si="7"/>
        <v/>
      </c>
      <c r="X28" s="17" t="str">
        <f t="shared" si="13"/>
        <v/>
      </c>
      <c r="Y28" s="17" t="str">
        <f t="shared" si="14"/>
        <v/>
      </c>
      <c r="Z28" s="17" t="s">
        <v>33</v>
      </c>
      <c r="AA28" s="17" t="str">
        <f t="shared" si="10"/>
        <v>27,</v>
      </c>
      <c r="AB28" s="17" t="s">
        <v>34</v>
      </c>
      <c r="AC28" s="18">
        <f t="shared" si="11"/>
        <v>0.873</v>
      </c>
    </row>
    <row r="29" spans="1:29" x14ac:dyDescent="0.3">
      <c r="A29" s="17">
        <v>28</v>
      </c>
      <c r="B29" s="17">
        <v>180</v>
      </c>
      <c r="C29" s="17">
        <v>0</v>
      </c>
      <c r="D29" s="17">
        <v>270</v>
      </c>
      <c r="H29" s="18">
        <v>900</v>
      </c>
      <c r="I29" s="18">
        <v>0</v>
      </c>
      <c r="J29" s="18">
        <v>0</v>
      </c>
      <c r="K29" s="18">
        <f t="shared" si="0"/>
        <v>-0.38250000000000001</v>
      </c>
      <c r="L29" s="18">
        <v>0</v>
      </c>
      <c r="M29" s="18">
        <v>0</v>
      </c>
      <c r="N29" s="18">
        <f t="shared" si="1"/>
        <v>-0.22500000000000001</v>
      </c>
      <c r="P29" s="15" t="s">
        <v>31</v>
      </c>
      <c r="Q29" s="15" t="str">
        <f t="shared" si="2"/>
        <v>28,</v>
      </c>
      <c r="R29" s="15" t="str">
        <f t="shared" si="3"/>
        <v>180,</v>
      </c>
      <c r="S29" s="15" t="str">
        <f t="shared" si="4"/>
        <v>0,</v>
      </c>
      <c r="T29" s="16">
        <f t="shared" si="5"/>
        <v>270</v>
      </c>
      <c r="U29" s="16" t="s">
        <v>32</v>
      </c>
      <c r="V29" s="16" t="str">
        <f t="shared" si="6"/>
        <v>28,</v>
      </c>
      <c r="W29" s="17" t="str">
        <f t="shared" si="7"/>
        <v/>
      </c>
      <c r="X29" s="17" t="str">
        <f>IF(F29=1,"UZ","")</f>
        <v/>
      </c>
      <c r="Y29" s="17" t="str">
        <f t="shared" si="14"/>
        <v/>
      </c>
      <c r="Z29" s="17" t="s">
        <v>33</v>
      </c>
      <c r="AA29" s="17" t="str">
        <f t="shared" si="10"/>
        <v>28,</v>
      </c>
      <c r="AB29" s="17" t="s">
        <v>34</v>
      </c>
      <c r="AC29" s="18">
        <f t="shared" si="11"/>
        <v>0.873</v>
      </c>
    </row>
    <row r="30" spans="1:29" x14ac:dyDescent="0.3">
      <c r="A30" s="17">
        <v>29</v>
      </c>
      <c r="B30" s="17">
        <v>210</v>
      </c>
      <c r="C30" s="17">
        <v>0</v>
      </c>
      <c r="D30" s="17">
        <v>270</v>
      </c>
      <c r="H30" s="18">
        <v>900</v>
      </c>
      <c r="I30" s="18">
        <v>0</v>
      </c>
      <c r="J30" s="18">
        <v>0</v>
      </c>
      <c r="K30" s="18">
        <f t="shared" si="0"/>
        <v>-0.38250000000000001</v>
      </c>
      <c r="L30" s="18">
        <v>0</v>
      </c>
      <c r="M30" s="18">
        <v>0</v>
      </c>
      <c r="N30" s="18">
        <f t="shared" si="1"/>
        <v>-0.22500000000000001</v>
      </c>
      <c r="P30" s="15" t="s">
        <v>31</v>
      </c>
      <c r="Q30" s="15" t="str">
        <f t="shared" si="2"/>
        <v>29,</v>
      </c>
      <c r="R30" s="15" t="str">
        <f t="shared" si="3"/>
        <v>210,</v>
      </c>
      <c r="S30" s="15" t="str">
        <f t="shared" si="4"/>
        <v>0,</v>
      </c>
      <c r="T30" s="16">
        <f t="shared" si="5"/>
        <v>270</v>
      </c>
      <c r="U30" s="16" t="s">
        <v>32</v>
      </c>
      <c r="V30" s="16" t="str">
        <f t="shared" si="6"/>
        <v>29,</v>
      </c>
      <c r="W30" s="17" t="str">
        <f t="shared" si="7"/>
        <v/>
      </c>
      <c r="X30" s="17" t="str">
        <f>IF(F30=1,"UZ","")</f>
        <v/>
      </c>
      <c r="Y30" s="17" t="str">
        <f t="shared" si="14"/>
        <v/>
      </c>
      <c r="Z30" s="17" t="s">
        <v>33</v>
      </c>
      <c r="AA30" s="17" t="str">
        <f t="shared" si="10"/>
        <v>29,</v>
      </c>
      <c r="AB30" s="17" t="s">
        <v>34</v>
      </c>
      <c r="AC30" s="18">
        <f t="shared" si="11"/>
        <v>0.873</v>
      </c>
    </row>
    <row r="31" spans="1:29" x14ac:dyDescent="0.3">
      <c r="A31" s="17">
        <v>30</v>
      </c>
      <c r="B31" s="17">
        <v>240</v>
      </c>
      <c r="C31" s="17">
        <v>0</v>
      </c>
      <c r="D31" s="17">
        <v>270</v>
      </c>
      <c r="H31" s="18">
        <v>900</v>
      </c>
      <c r="I31" s="18">
        <v>0</v>
      </c>
      <c r="J31" s="18">
        <v>0</v>
      </c>
      <c r="K31" s="18">
        <f t="shared" si="0"/>
        <v>-0.38250000000000001</v>
      </c>
      <c r="L31" s="18">
        <v>0</v>
      </c>
      <c r="M31" s="18">
        <v>0</v>
      </c>
      <c r="N31" s="18">
        <f t="shared" si="1"/>
        <v>-0.22500000000000001</v>
      </c>
      <c r="P31" s="15" t="s">
        <v>31</v>
      </c>
      <c r="Q31" s="15" t="str">
        <f t="shared" si="2"/>
        <v>30,</v>
      </c>
      <c r="R31" s="15" t="str">
        <f t="shared" si="3"/>
        <v>240,</v>
      </c>
      <c r="S31" s="15" t="str">
        <f t="shared" si="4"/>
        <v>0,</v>
      </c>
      <c r="T31" s="16">
        <f t="shared" si="5"/>
        <v>270</v>
      </c>
      <c r="U31" s="16" t="s">
        <v>32</v>
      </c>
      <c r="V31" s="16" t="str">
        <f t="shared" si="6"/>
        <v>30,</v>
      </c>
      <c r="W31" s="17" t="str">
        <f t="shared" si="7"/>
        <v/>
      </c>
      <c r="X31" s="17" t="str">
        <f t="shared" ref="X31:X48" si="15">IF(F31=1,"UY","")</f>
        <v/>
      </c>
      <c r="Y31" s="17" t="str">
        <f t="shared" si="14"/>
        <v/>
      </c>
      <c r="Z31" s="17" t="s">
        <v>33</v>
      </c>
      <c r="AA31" s="17" t="str">
        <f t="shared" si="10"/>
        <v>30,</v>
      </c>
      <c r="AB31" s="17" t="s">
        <v>34</v>
      </c>
      <c r="AC31" s="18">
        <f t="shared" si="11"/>
        <v>0.873</v>
      </c>
    </row>
    <row r="32" spans="1:29" x14ac:dyDescent="0.3">
      <c r="A32" s="17">
        <v>31</v>
      </c>
      <c r="B32" s="17">
        <v>270</v>
      </c>
      <c r="C32" s="17">
        <v>0</v>
      </c>
      <c r="D32" s="17">
        <v>270</v>
      </c>
      <c r="H32" s="18">
        <v>900</v>
      </c>
      <c r="I32" s="18">
        <v>0</v>
      </c>
      <c r="J32" s="18">
        <v>0</v>
      </c>
      <c r="K32" s="18">
        <f t="shared" si="0"/>
        <v>-0.38250000000000001</v>
      </c>
      <c r="L32" s="18">
        <v>0</v>
      </c>
      <c r="M32" s="18">
        <v>0</v>
      </c>
      <c r="N32" s="18">
        <f t="shared" si="1"/>
        <v>-0.22500000000000001</v>
      </c>
      <c r="P32" s="15" t="s">
        <v>31</v>
      </c>
      <c r="Q32" s="15" t="str">
        <f t="shared" si="2"/>
        <v>31,</v>
      </c>
      <c r="R32" s="15" t="str">
        <f t="shared" si="3"/>
        <v>270,</v>
      </c>
      <c r="S32" s="15" t="str">
        <f t="shared" si="4"/>
        <v>0,</v>
      </c>
      <c r="T32" s="16">
        <f t="shared" si="5"/>
        <v>270</v>
      </c>
      <c r="U32" s="16" t="s">
        <v>32</v>
      </c>
      <c r="V32" s="16" t="str">
        <f t="shared" si="6"/>
        <v>31,</v>
      </c>
      <c r="W32" s="17" t="str">
        <f t="shared" si="7"/>
        <v/>
      </c>
      <c r="X32" s="17" t="str">
        <f t="shared" si="15"/>
        <v/>
      </c>
      <c r="Y32" s="17" t="str">
        <f t="shared" si="14"/>
        <v/>
      </c>
      <c r="Z32" s="17" t="s">
        <v>33</v>
      </c>
      <c r="AA32" s="17" t="str">
        <f t="shared" si="10"/>
        <v>31,</v>
      </c>
      <c r="AB32" s="17" t="s">
        <v>34</v>
      </c>
      <c r="AC32" s="18">
        <f t="shared" si="11"/>
        <v>0.873</v>
      </c>
    </row>
    <row r="33" spans="1:29" x14ac:dyDescent="0.3">
      <c r="A33" s="17">
        <v>32</v>
      </c>
      <c r="B33" s="17">
        <v>300</v>
      </c>
      <c r="C33" s="17">
        <v>0</v>
      </c>
      <c r="D33" s="17">
        <v>270</v>
      </c>
      <c r="H33" s="18">
        <v>900</v>
      </c>
      <c r="I33" s="18">
        <v>0</v>
      </c>
      <c r="J33" s="18">
        <v>0</v>
      </c>
      <c r="K33" s="18">
        <f t="shared" si="0"/>
        <v>-0.38250000000000001</v>
      </c>
      <c r="L33" s="18">
        <v>0</v>
      </c>
      <c r="M33" s="18">
        <v>0</v>
      </c>
      <c r="N33" s="18">
        <f t="shared" si="1"/>
        <v>-0.22500000000000001</v>
      </c>
      <c r="P33" s="15" t="s">
        <v>31</v>
      </c>
      <c r="Q33" s="15" t="str">
        <f t="shared" si="2"/>
        <v>32,</v>
      </c>
      <c r="R33" s="15" t="str">
        <f t="shared" si="3"/>
        <v>300,</v>
      </c>
      <c r="S33" s="15" t="str">
        <f t="shared" si="4"/>
        <v>0,</v>
      </c>
      <c r="T33" s="16">
        <f t="shared" si="5"/>
        <v>270</v>
      </c>
      <c r="U33" s="16" t="s">
        <v>32</v>
      </c>
      <c r="V33" s="16" t="str">
        <f t="shared" si="6"/>
        <v>32,</v>
      </c>
      <c r="W33" s="17" t="str">
        <f t="shared" si="7"/>
        <v/>
      </c>
      <c r="X33" s="17" t="str">
        <f t="shared" si="15"/>
        <v/>
      </c>
      <c r="Y33" s="17" t="str">
        <f t="shared" si="14"/>
        <v/>
      </c>
      <c r="Z33" s="17" t="s">
        <v>33</v>
      </c>
      <c r="AA33" s="17" t="str">
        <f t="shared" si="10"/>
        <v>32,</v>
      </c>
      <c r="AB33" s="17" t="s">
        <v>34</v>
      </c>
      <c r="AC33" s="18">
        <f t="shared" si="11"/>
        <v>0.873</v>
      </c>
    </row>
    <row r="34" spans="1:29" x14ac:dyDescent="0.3">
      <c r="A34" s="17">
        <v>33</v>
      </c>
      <c r="B34" s="17">
        <v>330</v>
      </c>
      <c r="C34" s="17">
        <v>0</v>
      </c>
      <c r="D34" s="17">
        <v>270</v>
      </c>
      <c r="H34" s="18">
        <v>900</v>
      </c>
      <c r="I34" s="18">
        <v>0</v>
      </c>
      <c r="J34" s="18">
        <v>0</v>
      </c>
      <c r="K34" s="18">
        <f t="shared" si="0"/>
        <v>-0.38250000000000001</v>
      </c>
      <c r="L34" s="18">
        <v>0</v>
      </c>
      <c r="M34" s="18">
        <v>0</v>
      </c>
      <c r="N34" s="18">
        <f t="shared" si="1"/>
        <v>-0.22500000000000001</v>
      </c>
      <c r="P34" s="15" t="s">
        <v>31</v>
      </c>
      <c r="Q34" s="15" t="str">
        <f t="shared" si="2"/>
        <v>33,</v>
      </c>
      <c r="R34" s="15" t="str">
        <f t="shared" si="3"/>
        <v>330,</v>
      </c>
      <c r="S34" s="15" t="str">
        <f t="shared" si="4"/>
        <v>0,</v>
      </c>
      <c r="T34" s="16">
        <f t="shared" si="5"/>
        <v>270</v>
      </c>
      <c r="U34" s="16" t="s">
        <v>32</v>
      </c>
      <c r="V34" s="16" t="str">
        <f t="shared" si="6"/>
        <v>33,</v>
      </c>
      <c r="W34" s="17" t="str">
        <f t="shared" si="7"/>
        <v/>
      </c>
      <c r="X34" s="17" t="str">
        <f t="shared" si="15"/>
        <v/>
      </c>
      <c r="Y34" s="17" t="str">
        <f t="shared" si="14"/>
        <v/>
      </c>
      <c r="Z34" s="17" t="s">
        <v>33</v>
      </c>
      <c r="AA34" s="17" t="str">
        <f t="shared" si="10"/>
        <v>33,</v>
      </c>
      <c r="AB34" s="17" t="s">
        <v>34</v>
      </c>
      <c r="AC34" s="18">
        <f t="shared" si="11"/>
        <v>0.873</v>
      </c>
    </row>
    <row r="35" spans="1:29" x14ac:dyDescent="0.3">
      <c r="A35" s="17">
        <v>34</v>
      </c>
      <c r="B35" s="17">
        <v>360</v>
      </c>
      <c r="C35" s="17">
        <v>0</v>
      </c>
      <c r="D35" s="17">
        <v>270</v>
      </c>
      <c r="H35" s="18">
        <v>900</v>
      </c>
      <c r="I35" s="18">
        <v>0</v>
      </c>
      <c r="J35" s="18">
        <v>0</v>
      </c>
      <c r="K35" s="18">
        <f t="shared" si="0"/>
        <v>-0.38250000000000001</v>
      </c>
      <c r="L35" s="18">
        <v>0</v>
      </c>
      <c r="M35" s="18">
        <v>0</v>
      </c>
      <c r="N35" s="18">
        <f t="shared" si="1"/>
        <v>-0.22500000000000001</v>
      </c>
      <c r="P35" s="15" t="s">
        <v>31</v>
      </c>
      <c r="Q35" s="15" t="str">
        <f t="shared" si="2"/>
        <v>34,</v>
      </c>
      <c r="R35" s="15" t="str">
        <f t="shared" si="3"/>
        <v>360,</v>
      </c>
      <c r="S35" s="15" t="str">
        <f t="shared" si="4"/>
        <v>0,</v>
      </c>
      <c r="T35" s="16">
        <f t="shared" si="5"/>
        <v>270</v>
      </c>
      <c r="U35" s="16" t="s">
        <v>32</v>
      </c>
      <c r="V35" s="16" t="str">
        <f t="shared" si="6"/>
        <v>34,</v>
      </c>
      <c r="W35" s="17" t="str">
        <f t="shared" si="7"/>
        <v/>
      </c>
      <c r="X35" s="17" t="str">
        <f t="shared" si="15"/>
        <v/>
      </c>
      <c r="Y35" s="17" t="str">
        <f t="shared" si="14"/>
        <v/>
      </c>
      <c r="Z35" s="17" t="s">
        <v>33</v>
      </c>
      <c r="AA35" s="17" t="str">
        <f t="shared" si="10"/>
        <v>34,</v>
      </c>
      <c r="AB35" s="17" t="s">
        <v>34</v>
      </c>
      <c r="AC35" s="18">
        <f t="shared" si="11"/>
        <v>0.873</v>
      </c>
    </row>
    <row r="36" spans="1:29" x14ac:dyDescent="0.3">
      <c r="A36" s="17">
        <v>35</v>
      </c>
      <c r="B36" s="17">
        <v>390</v>
      </c>
      <c r="C36" s="17">
        <v>0</v>
      </c>
      <c r="D36" s="17">
        <v>270</v>
      </c>
      <c r="H36" s="18">
        <v>900</v>
      </c>
      <c r="I36" s="18">
        <v>0</v>
      </c>
      <c r="J36" s="18">
        <v>0</v>
      </c>
      <c r="K36" s="18">
        <f t="shared" si="0"/>
        <v>-0.38250000000000001</v>
      </c>
      <c r="L36" s="18">
        <v>0</v>
      </c>
      <c r="M36" s="18">
        <v>0</v>
      </c>
      <c r="N36" s="18">
        <f t="shared" si="1"/>
        <v>-0.22500000000000001</v>
      </c>
      <c r="P36" s="15" t="s">
        <v>31</v>
      </c>
      <c r="Q36" s="15" t="str">
        <f t="shared" si="2"/>
        <v>35,</v>
      </c>
      <c r="R36" s="15" t="str">
        <f t="shared" si="3"/>
        <v>390,</v>
      </c>
      <c r="S36" s="15" t="str">
        <f t="shared" si="4"/>
        <v>0,</v>
      </c>
      <c r="T36" s="16">
        <f t="shared" si="5"/>
        <v>270</v>
      </c>
      <c r="U36" s="16" t="s">
        <v>32</v>
      </c>
      <c r="V36" s="16" t="str">
        <f t="shared" si="6"/>
        <v>35,</v>
      </c>
      <c r="W36" s="17" t="str">
        <f t="shared" si="7"/>
        <v/>
      </c>
      <c r="X36" s="17" t="str">
        <f t="shared" si="15"/>
        <v/>
      </c>
      <c r="Y36" s="17" t="str">
        <f t="shared" si="14"/>
        <v/>
      </c>
      <c r="Z36" s="17" t="s">
        <v>33</v>
      </c>
      <c r="AA36" s="17" t="str">
        <f t="shared" si="10"/>
        <v>35,</v>
      </c>
      <c r="AB36" s="17" t="s">
        <v>34</v>
      </c>
      <c r="AC36" s="18">
        <f t="shared" si="11"/>
        <v>0.873</v>
      </c>
    </row>
    <row r="37" spans="1:29" x14ac:dyDescent="0.3">
      <c r="A37" s="17">
        <v>36</v>
      </c>
      <c r="B37" s="17">
        <v>420</v>
      </c>
      <c r="C37" s="17">
        <v>0</v>
      </c>
      <c r="D37" s="17">
        <v>270</v>
      </c>
      <c r="H37" s="18">
        <v>900</v>
      </c>
      <c r="I37" s="18">
        <v>0</v>
      </c>
      <c r="J37" s="18">
        <v>0</v>
      </c>
      <c r="K37" s="18">
        <f t="shared" si="0"/>
        <v>-0.38250000000000001</v>
      </c>
      <c r="L37" s="18">
        <v>0</v>
      </c>
      <c r="M37" s="18">
        <v>0</v>
      </c>
      <c r="N37" s="18">
        <f t="shared" si="1"/>
        <v>-0.22500000000000001</v>
      </c>
      <c r="P37" s="15" t="s">
        <v>31</v>
      </c>
      <c r="Q37" s="15" t="str">
        <f t="shared" si="2"/>
        <v>36,</v>
      </c>
      <c r="R37" s="15" t="str">
        <f t="shared" si="3"/>
        <v>420,</v>
      </c>
      <c r="S37" s="15" t="str">
        <f t="shared" si="4"/>
        <v>0,</v>
      </c>
      <c r="T37" s="16">
        <f t="shared" si="5"/>
        <v>270</v>
      </c>
      <c r="U37" s="16" t="s">
        <v>32</v>
      </c>
      <c r="V37" s="16" t="str">
        <f t="shared" si="6"/>
        <v>36,</v>
      </c>
      <c r="W37" s="17" t="str">
        <f t="shared" si="7"/>
        <v/>
      </c>
      <c r="X37" s="17" t="str">
        <f t="shared" si="15"/>
        <v/>
      </c>
      <c r="Y37" s="17" t="str">
        <f t="shared" si="14"/>
        <v/>
      </c>
      <c r="Z37" s="17" t="s">
        <v>33</v>
      </c>
      <c r="AA37" s="17" t="str">
        <f t="shared" si="10"/>
        <v>36,</v>
      </c>
      <c r="AB37" s="17" t="s">
        <v>34</v>
      </c>
      <c r="AC37" s="18">
        <f t="shared" si="11"/>
        <v>0.873</v>
      </c>
    </row>
    <row r="38" spans="1:29" x14ac:dyDescent="0.3">
      <c r="A38" s="17">
        <v>37</v>
      </c>
      <c r="B38" s="17">
        <v>450</v>
      </c>
      <c r="C38" s="17">
        <v>0</v>
      </c>
      <c r="D38" s="17">
        <v>270</v>
      </c>
      <c r="H38" s="18">
        <v>900</v>
      </c>
      <c r="I38" s="18">
        <v>0</v>
      </c>
      <c r="J38" s="18">
        <v>0</v>
      </c>
      <c r="K38" s="18">
        <f t="shared" si="0"/>
        <v>-0.38250000000000001</v>
      </c>
      <c r="L38" s="18">
        <v>0</v>
      </c>
      <c r="M38" s="18">
        <v>0</v>
      </c>
      <c r="N38" s="18">
        <f t="shared" si="1"/>
        <v>-0.22500000000000001</v>
      </c>
      <c r="P38" s="15" t="s">
        <v>31</v>
      </c>
      <c r="Q38" s="15" t="str">
        <f t="shared" si="2"/>
        <v>37,</v>
      </c>
      <c r="R38" s="15" t="str">
        <f t="shared" si="3"/>
        <v>450,</v>
      </c>
      <c r="S38" s="15" t="str">
        <f t="shared" si="4"/>
        <v>0,</v>
      </c>
      <c r="T38" s="16">
        <f t="shared" si="5"/>
        <v>270</v>
      </c>
      <c r="U38" s="16" t="s">
        <v>32</v>
      </c>
      <c r="V38" s="16" t="str">
        <f t="shared" si="6"/>
        <v>37,</v>
      </c>
      <c r="W38" s="17" t="str">
        <f t="shared" si="7"/>
        <v/>
      </c>
      <c r="X38" s="17" t="str">
        <f t="shared" si="15"/>
        <v/>
      </c>
      <c r="Y38" s="17" t="str">
        <f t="shared" si="14"/>
        <v/>
      </c>
      <c r="Z38" s="17" t="s">
        <v>33</v>
      </c>
      <c r="AA38" s="17" t="str">
        <f t="shared" si="10"/>
        <v>37,</v>
      </c>
      <c r="AB38" s="17" t="s">
        <v>34</v>
      </c>
      <c r="AC38" s="18">
        <f t="shared" si="11"/>
        <v>0.873</v>
      </c>
    </row>
    <row r="39" spans="1:29" x14ac:dyDescent="0.3">
      <c r="A39" s="17">
        <v>38</v>
      </c>
      <c r="B39" s="17">
        <v>480</v>
      </c>
      <c r="C39" s="17">
        <v>0</v>
      </c>
      <c r="D39" s="17">
        <v>270</v>
      </c>
      <c r="H39" s="18">
        <v>900</v>
      </c>
      <c r="I39" s="18">
        <v>0</v>
      </c>
      <c r="J39" s="18">
        <v>0</v>
      </c>
      <c r="K39" s="18">
        <f t="shared" si="0"/>
        <v>-0.38250000000000001</v>
      </c>
      <c r="L39" s="18">
        <v>0</v>
      </c>
      <c r="M39" s="18">
        <v>0</v>
      </c>
      <c r="N39" s="18">
        <f t="shared" si="1"/>
        <v>-0.22500000000000001</v>
      </c>
      <c r="P39" s="15" t="s">
        <v>31</v>
      </c>
      <c r="Q39" s="15" t="str">
        <f t="shared" si="2"/>
        <v>38,</v>
      </c>
      <c r="R39" s="15" t="str">
        <f t="shared" si="3"/>
        <v>480,</v>
      </c>
      <c r="S39" s="15" t="str">
        <f t="shared" si="4"/>
        <v>0,</v>
      </c>
      <c r="T39" s="16">
        <f t="shared" si="5"/>
        <v>270</v>
      </c>
      <c r="U39" s="16" t="s">
        <v>32</v>
      </c>
      <c r="V39" s="16" t="str">
        <f t="shared" si="6"/>
        <v>38,</v>
      </c>
      <c r="W39" s="17" t="str">
        <f t="shared" si="7"/>
        <v/>
      </c>
      <c r="X39" s="17" t="str">
        <f t="shared" si="15"/>
        <v/>
      </c>
      <c r="Y39" s="17" t="str">
        <f t="shared" si="14"/>
        <v/>
      </c>
      <c r="Z39" s="17" t="s">
        <v>33</v>
      </c>
      <c r="AA39" s="17" t="str">
        <f t="shared" si="10"/>
        <v>38,</v>
      </c>
      <c r="AB39" s="17" t="s">
        <v>34</v>
      </c>
      <c r="AC39" s="18">
        <f t="shared" si="11"/>
        <v>0.873</v>
      </c>
    </row>
    <row r="40" spans="1:29" x14ac:dyDescent="0.3">
      <c r="A40" s="17">
        <v>39</v>
      </c>
      <c r="B40" s="17">
        <v>509.99999999999994</v>
      </c>
      <c r="C40" s="17">
        <v>0</v>
      </c>
      <c r="D40" s="17">
        <v>270</v>
      </c>
      <c r="H40" s="18">
        <v>900</v>
      </c>
      <c r="I40" s="18">
        <v>0</v>
      </c>
      <c r="J40" s="18">
        <v>0</v>
      </c>
      <c r="K40" s="18">
        <f t="shared" si="0"/>
        <v>-0.38250000000000001</v>
      </c>
      <c r="L40" s="18">
        <v>0</v>
      </c>
      <c r="M40" s="18">
        <v>0</v>
      </c>
      <c r="N40" s="18">
        <f t="shared" si="1"/>
        <v>-0.22500000000000001</v>
      </c>
      <c r="P40" s="15" t="s">
        <v>31</v>
      </c>
      <c r="Q40" s="15" t="str">
        <f t="shared" si="2"/>
        <v>39,</v>
      </c>
      <c r="R40" s="15" t="str">
        <f t="shared" si="3"/>
        <v>510,</v>
      </c>
      <c r="S40" s="15" t="str">
        <f t="shared" si="4"/>
        <v>0,</v>
      </c>
      <c r="T40" s="16">
        <f t="shared" si="5"/>
        <v>270</v>
      </c>
      <c r="U40" s="16" t="s">
        <v>32</v>
      </c>
      <c r="V40" s="16" t="str">
        <f t="shared" si="6"/>
        <v>39,</v>
      </c>
      <c r="W40" s="17" t="str">
        <f t="shared" si="7"/>
        <v/>
      </c>
      <c r="X40" s="17" t="str">
        <f t="shared" si="15"/>
        <v/>
      </c>
      <c r="Y40" s="17" t="str">
        <f t="shared" si="14"/>
        <v/>
      </c>
      <c r="Z40" s="17" t="s">
        <v>33</v>
      </c>
      <c r="AA40" s="17" t="str">
        <f t="shared" si="10"/>
        <v>39,</v>
      </c>
      <c r="AB40" s="17" t="s">
        <v>34</v>
      </c>
      <c r="AC40" s="18">
        <f t="shared" si="11"/>
        <v>0.873</v>
      </c>
    </row>
    <row r="41" spans="1:29" x14ac:dyDescent="0.3">
      <c r="A41" s="17">
        <v>40</v>
      </c>
      <c r="B41" s="17">
        <v>540</v>
      </c>
      <c r="C41" s="17">
        <v>0</v>
      </c>
      <c r="D41" s="17">
        <v>270</v>
      </c>
      <c r="H41" s="18">
        <v>900</v>
      </c>
      <c r="I41" s="18">
        <v>0</v>
      </c>
      <c r="J41" s="18">
        <v>0</v>
      </c>
      <c r="K41" s="18">
        <f t="shared" si="0"/>
        <v>-0.38250000000000001</v>
      </c>
      <c r="L41" s="18">
        <v>0</v>
      </c>
      <c r="M41" s="18">
        <v>0</v>
      </c>
      <c r="N41" s="18">
        <f t="shared" si="1"/>
        <v>-0.22500000000000001</v>
      </c>
      <c r="P41" s="15" t="s">
        <v>31</v>
      </c>
      <c r="Q41" s="15" t="str">
        <f t="shared" si="2"/>
        <v>40,</v>
      </c>
      <c r="R41" s="15" t="str">
        <f t="shared" si="3"/>
        <v>540,</v>
      </c>
      <c r="S41" s="15" t="str">
        <f t="shared" si="4"/>
        <v>0,</v>
      </c>
      <c r="T41" s="16">
        <f t="shared" si="5"/>
        <v>270</v>
      </c>
      <c r="U41" s="16" t="s">
        <v>32</v>
      </c>
      <c r="V41" s="16" t="str">
        <f t="shared" si="6"/>
        <v>40,</v>
      </c>
      <c r="W41" s="17" t="str">
        <f t="shared" si="7"/>
        <v/>
      </c>
      <c r="X41" s="17" t="str">
        <f t="shared" si="15"/>
        <v/>
      </c>
      <c r="Y41" s="17" t="str">
        <f t="shared" si="14"/>
        <v/>
      </c>
      <c r="Z41" s="17" t="s">
        <v>33</v>
      </c>
      <c r="AA41" s="17" t="str">
        <f t="shared" si="10"/>
        <v>40,</v>
      </c>
      <c r="AB41" s="17" t="s">
        <v>34</v>
      </c>
      <c r="AC41" s="18">
        <f t="shared" si="11"/>
        <v>0.873</v>
      </c>
    </row>
    <row r="42" spans="1:29" x14ac:dyDescent="0.3">
      <c r="A42" s="17">
        <v>41</v>
      </c>
      <c r="B42" s="17">
        <v>570</v>
      </c>
      <c r="C42" s="17">
        <v>0</v>
      </c>
      <c r="D42" s="17">
        <v>270</v>
      </c>
      <c r="H42" s="18">
        <v>900</v>
      </c>
      <c r="I42" s="18">
        <v>0</v>
      </c>
      <c r="J42" s="18">
        <v>0</v>
      </c>
      <c r="K42" s="18">
        <f t="shared" si="0"/>
        <v>-0.38250000000000001</v>
      </c>
      <c r="L42" s="18">
        <v>0</v>
      </c>
      <c r="M42" s="18">
        <v>0</v>
      </c>
      <c r="N42" s="18">
        <f t="shared" si="1"/>
        <v>-0.22500000000000001</v>
      </c>
      <c r="P42" s="15" t="s">
        <v>31</v>
      </c>
      <c r="Q42" s="15" t="str">
        <f t="shared" si="2"/>
        <v>41,</v>
      </c>
      <c r="R42" s="15" t="str">
        <f t="shared" si="3"/>
        <v>570,</v>
      </c>
      <c r="S42" s="15" t="str">
        <f t="shared" si="4"/>
        <v>0,</v>
      </c>
      <c r="T42" s="16">
        <f t="shared" si="5"/>
        <v>270</v>
      </c>
      <c r="U42" s="16" t="s">
        <v>32</v>
      </c>
      <c r="V42" s="16" t="str">
        <f t="shared" si="6"/>
        <v>41,</v>
      </c>
      <c r="W42" s="17" t="str">
        <f t="shared" si="7"/>
        <v/>
      </c>
      <c r="X42" s="17" t="str">
        <f t="shared" si="15"/>
        <v/>
      </c>
      <c r="Y42" s="17" t="str">
        <f t="shared" si="14"/>
        <v/>
      </c>
      <c r="Z42" s="17" t="s">
        <v>33</v>
      </c>
      <c r="AA42" s="17" t="str">
        <f t="shared" si="10"/>
        <v>41,</v>
      </c>
      <c r="AB42" s="17" t="s">
        <v>34</v>
      </c>
      <c r="AC42" s="18">
        <f t="shared" si="11"/>
        <v>0.873</v>
      </c>
    </row>
    <row r="43" spans="1:29" x14ac:dyDescent="0.3">
      <c r="A43" s="17">
        <v>42</v>
      </c>
      <c r="B43" s="17">
        <v>600</v>
      </c>
      <c r="C43" s="17">
        <v>0</v>
      </c>
      <c r="D43" s="17">
        <v>270</v>
      </c>
      <c r="E43" s="17">
        <v>0</v>
      </c>
      <c r="F43" s="17">
        <v>0</v>
      </c>
      <c r="G43" s="17">
        <v>1</v>
      </c>
      <c r="H43" s="18">
        <v>900</v>
      </c>
      <c r="I43" s="18">
        <v>0</v>
      </c>
      <c r="J43" s="18">
        <v>0</v>
      </c>
      <c r="K43" s="18">
        <f t="shared" si="0"/>
        <v>-0.38250000000000001</v>
      </c>
      <c r="L43" s="18">
        <v>0</v>
      </c>
      <c r="M43" s="18">
        <v>0</v>
      </c>
      <c r="N43" s="18">
        <f t="shared" si="1"/>
        <v>-0.22500000000000001</v>
      </c>
      <c r="P43" s="15" t="s">
        <v>31</v>
      </c>
      <c r="Q43" s="15" t="str">
        <f t="shared" si="2"/>
        <v>42,</v>
      </c>
      <c r="R43" s="15" t="str">
        <f t="shared" si="3"/>
        <v>600,</v>
      </c>
      <c r="S43" s="15" t="str">
        <f t="shared" si="4"/>
        <v>0,</v>
      </c>
      <c r="T43" s="16">
        <f t="shared" si="5"/>
        <v>270</v>
      </c>
      <c r="U43" s="16" t="s">
        <v>32</v>
      </c>
      <c r="V43" s="16" t="str">
        <f t="shared" si="6"/>
        <v>42,</v>
      </c>
      <c r="W43" s="17" t="str">
        <f t="shared" si="7"/>
        <v/>
      </c>
      <c r="X43" s="17" t="str">
        <f t="shared" si="15"/>
        <v/>
      </c>
      <c r="Y43" s="17" t="str">
        <f t="shared" si="14"/>
        <v>UY</v>
      </c>
      <c r="Z43" s="17" t="s">
        <v>33</v>
      </c>
      <c r="AA43" s="17" t="str">
        <f t="shared" si="10"/>
        <v>42,</v>
      </c>
      <c r="AB43" s="17" t="s">
        <v>34</v>
      </c>
      <c r="AC43" s="18">
        <f t="shared" si="11"/>
        <v>0.873</v>
      </c>
    </row>
    <row r="44" spans="1:29" x14ac:dyDescent="0.3">
      <c r="A44" s="17">
        <v>43</v>
      </c>
      <c r="B44" s="17">
        <v>0</v>
      </c>
      <c r="C44" s="17">
        <v>0</v>
      </c>
      <c r="D44" s="17">
        <v>240</v>
      </c>
      <c r="E44" s="17">
        <v>0</v>
      </c>
      <c r="F44" s="17">
        <v>0</v>
      </c>
      <c r="G44" s="17">
        <v>1</v>
      </c>
      <c r="H44" s="18">
        <v>900</v>
      </c>
      <c r="I44" s="18">
        <v>0</v>
      </c>
      <c r="J44" s="18">
        <v>0</v>
      </c>
      <c r="K44" s="18">
        <f t="shared" si="0"/>
        <v>-0.38250000000000001</v>
      </c>
      <c r="L44" s="18">
        <v>0</v>
      </c>
      <c r="M44" s="18">
        <v>0</v>
      </c>
      <c r="N44" s="18">
        <f t="shared" si="1"/>
        <v>-0.22500000000000001</v>
      </c>
      <c r="P44" s="15" t="s">
        <v>31</v>
      </c>
      <c r="Q44" s="15" t="str">
        <f t="shared" si="2"/>
        <v>43,</v>
      </c>
      <c r="R44" s="15" t="str">
        <f t="shared" si="3"/>
        <v>0,</v>
      </c>
      <c r="S44" s="15" t="str">
        <f t="shared" si="4"/>
        <v>0,</v>
      </c>
      <c r="T44" s="16">
        <f t="shared" si="5"/>
        <v>240</v>
      </c>
      <c r="U44" s="16" t="s">
        <v>32</v>
      </c>
      <c r="V44" s="16" t="str">
        <f t="shared" si="6"/>
        <v>43,</v>
      </c>
      <c r="W44" s="17" t="str">
        <f t="shared" si="7"/>
        <v/>
      </c>
      <c r="X44" s="17" t="str">
        <f t="shared" si="15"/>
        <v/>
      </c>
      <c r="Y44" s="17" t="str">
        <f t="shared" si="14"/>
        <v>UY</v>
      </c>
      <c r="Z44" s="17" t="s">
        <v>33</v>
      </c>
      <c r="AA44" s="17" t="str">
        <f t="shared" si="10"/>
        <v>43,</v>
      </c>
      <c r="AB44" s="17" t="s">
        <v>34</v>
      </c>
      <c r="AC44" s="18">
        <f t="shared" si="11"/>
        <v>0.873</v>
      </c>
    </row>
    <row r="45" spans="1:29" x14ac:dyDescent="0.3">
      <c r="A45" s="17">
        <v>44</v>
      </c>
      <c r="B45" s="17">
        <v>30</v>
      </c>
      <c r="C45" s="17">
        <v>0</v>
      </c>
      <c r="D45" s="17">
        <v>240</v>
      </c>
      <c r="H45" s="18">
        <v>900</v>
      </c>
      <c r="I45" s="18">
        <v>0</v>
      </c>
      <c r="J45" s="18">
        <v>0</v>
      </c>
      <c r="K45" s="18">
        <f t="shared" si="0"/>
        <v>-0.38250000000000001</v>
      </c>
      <c r="L45" s="18">
        <v>0</v>
      </c>
      <c r="M45" s="18">
        <v>0</v>
      </c>
      <c r="N45" s="18">
        <f t="shared" si="1"/>
        <v>-0.22500000000000001</v>
      </c>
      <c r="P45" s="15" t="s">
        <v>31</v>
      </c>
      <c r="Q45" s="15" t="str">
        <f t="shared" si="2"/>
        <v>44,</v>
      </c>
      <c r="R45" s="15" t="str">
        <f t="shared" si="3"/>
        <v>30,</v>
      </c>
      <c r="S45" s="15" t="str">
        <f t="shared" si="4"/>
        <v>0,</v>
      </c>
      <c r="T45" s="16">
        <f t="shared" si="5"/>
        <v>240</v>
      </c>
      <c r="U45" s="16" t="s">
        <v>32</v>
      </c>
      <c r="V45" s="16" t="str">
        <f t="shared" si="6"/>
        <v>44,</v>
      </c>
      <c r="W45" s="17" t="str">
        <f t="shared" si="7"/>
        <v/>
      </c>
      <c r="X45" s="17" t="str">
        <f t="shared" si="15"/>
        <v/>
      </c>
      <c r="Y45" s="17" t="str">
        <f t="shared" si="14"/>
        <v/>
      </c>
      <c r="Z45" s="17" t="s">
        <v>33</v>
      </c>
      <c r="AA45" s="17" t="str">
        <f t="shared" si="10"/>
        <v>44,</v>
      </c>
      <c r="AB45" s="17" t="s">
        <v>34</v>
      </c>
      <c r="AC45" s="18">
        <f t="shared" si="11"/>
        <v>0.873</v>
      </c>
    </row>
    <row r="46" spans="1:29" x14ac:dyDescent="0.3">
      <c r="A46" s="17">
        <v>45</v>
      </c>
      <c r="B46" s="17">
        <v>60</v>
      </c>
      <c r="C46" s="17">
        <v>0</v>
      </c>
      <c r="D46" s="17">
        <v>240</v>
      </c>
      <c r="H46" s="18">
        <v>900</v>
      </c>
      <c r="I46" s="18">
        <v>0</v>
      </c>
      <c r="J46" s="18">
        <v>0</v>
      </c>
      <c r="K46" s="18">
        <f t="shared" si="0"/>
        <v>-0.38250000000000001</v>
      </c>
      <c r="L46" s="18">
        <v>0</v>
      </c>
      <c r="M46" s="18">
        <v>0</v>
      </c>
      <c r="N46" s="18">
        <f t="shared" si="1"/>
        <v>-0.22500000000000001</v>
      </c>
      <c r="P46" s="15" t="s">
        <v>31</v>
      </c>
      <c r="Q46" s="15" t="str">
        <f t="shared" si="2"/>
        <v>45,</v>
      </c>
      <c r="R46" s="15" t="str">
        <f t="shared" si="3"/>
        <v>60,</v>
      </c>
      <c r="S46" s="15" t="str">
        <f t="shared" si="4"/>
        <v>0,</v>
      </c>
      <c r="T46" s="16">
        <f t="shared" si="5"/>
        <v>240</v>
      </c>
      <c r="U46" s="16" t="s">
        <v>32</v>
      </c>
      <c r="V46" s="16" t="str">
        <f t="shared" si="6"/>
        <v>45,</v>
      </c>
      <c r="W46" s="17" t="str">
        <f t="shared" si="7"/>
        <v/>
      </c>
      <c r="X46" s="17" t="str">
        <f t="shared" si="15"/>
        <v/>
      </c>
      <c r="Y46" s="17" t="str">
        <f t="shared" si="14"/>
        <v/>
      </c>
      <c r="Z46" s="17" t="s">
        <v>33</v>
      </c>
      <c r="AA46" s="17" t="str">
        <f t="shared" si="10"/>
        <v>45,</v>
      </c>
      <c r="AB46" s="17" t="s">
        <v>34</v>
      </c>
      <c r="AC46" s="18">
        <f t="shared" si="11"/>
        <v>0.873</v>
      </c>
    </row>
    <row r="47" spans="1:29" x14ac:dyDescent="0.3">
      <c r="A47" s="17">
        <v>46</v>
      </c>
      <c r="B47" s="17">
        <v>90</v>
      </c>
      <c r="C47" s="17">
        <v>0</v>
      </c>
      <c r="D47" s="17">
        <v>240</v>
      </c>
      <c r="H47" s="18">
        <v>900</v>
      </c>
      <c r="I47" s="18">
        <v>0</v>
      </c>
      <c r="J47" s="18">
        <v>0</v>
      </c>
      <c r="K47" s="18">
        <f t="shared" si="0"/>
        <v>-0.38250000000000001</v>
      </c>
      <c r="L47" s="18">
        <v>0</v>
      </c>
      <c r="M47" s="18">
        <v>0</v>
      </c>
      <c r="N47" s="18">
        <f t="shared" si="1"/>
        <v>-0.22500000000000001</v>
      </c>
      <c r="P47" s="15" t="s">
        <v>31</v>
      </c>
      <c r="Q47" s="15" t="str">
        <f t="shared" si="2"/>
        <v>46,</v>
      </c>
      <c r="R47" s="15" t="str">
        <f t="shared" si="3"/>
        <v>90,</v>
      </c>
      <c r="S47" s="15" t="str">
        <f t="shared" si="4"/>
        <v>0,</v>
      </c>
      <c r="T47" s="16">
        <f t="shared" si="5"/>
        <v>240</v>
      </c>
      <c r="U47" s="16" t="s">
        <v>32</v>
      </c>
      <c r="V47" s="16" t="str">
        <f t="shared" si="6"/>
        <v>46,</v>
      </c>
      <c r="W47" s="17" t="str">
        <f t="shared" si="7"/>
        <v/>
      </c>
      <c r="X47" s="17" t="str">
        <f t="shared" si="15"/>
        <v/>
      </c>
      <c r="Y47" s="17" t="str">
        <f t="shared" si="14"/>
        <v/>
      </c>
      <c r="Z47" s="17" t="s">
        <v>33</v>
      </c>
      <c r="AA47" s="17" t="str">
        <f t="shared" si="10"/>
        <v>46,</v>
      </c>
      <c r="AB47" s="17" t="s">
        <v>34</v>
      </c>
      <c r="AC47" s="18">
        <f t="shared" si="11"/>
        <v>0.873</v>
      </c>
    </row>
    <row r="48" spans="1:29" x14ac:dyDescent="0.3">
      <c r="A48" s="17">
        <v>47</v>
      </c>
      <c r="B48" s="17">
        <v>120</v>
      </c>
      <c r="C48" s="17">
        <v>0</v>
      </c>
      <c r="D48" s="17">
        <v>240</v>
      </c>
      <c r="H48" s="18">
        <v>900</v>
      </c>
      <c r="I48" s="18">
        <v>0</v>
      </c>
      <c r="J48" s="18">
        <v>0</v>
      </c>
      <c r="K48" s="18">
        <f t="shared" si="0"/>
        <v>-0.38250000000000001</v>
      </c>
      <c r="L48" s="18">
        <v>0</v>
      </c>
      <c r="M48" s="18">
        <v>0</v>
      </c>
      <c r="N48" s="18">
        <f t="shared" si="1"/>
        <v>-0.22500000000000001</v>
      </c>
      <c r="P48" s="15" t="s">
        <v>31</v>
      </c>
      <c r="Q48" s="15" t="str">
        <f t="shared" si="2"/>
        <v>47,</v>
      </c>
      <c r="R48" s="15" t="str">
        <f t="shared" si="3"/>
        <v>120,</v>
      </c>
      <c r="S48" s="15" t="str">
        <f t="shared" si="4"/>
        <v>0,</v>
      </c>
      <c r="T48" s="16">
        <f t="shared" si="5"/>
        <v>240</v>
      </c>
      <c r="U48" s="16" t="s">
        <v>32</v>
      </c>
      <c r="V48" s="16" t="str">
        <f t="shared" si="6"/>
        <v>47,</v>
      </c>
      <c r="W48" s="17" t="str">
        <f t="shared" si="7"/>
        <v/>
      </c>
      <c r="X48" s="17" t="str">
        <f t="shared" si="15"/>
        <v/>
      </c>
      <c r="Y48" s="17" t="str">
        <f t="shared" si="14"/>
        <v/>
      </c>
      <c r="Z48" s="17" t="s">
        <v>33</v>
      </c>
      <c r="AA48" s="17" t="str">
        <f t="shared" si="10"/>
        <v>47,</v>
      </c>
      <c r="AB48" s="17" t="s">
        <v>34</v>
      </c>
      <c r="AC48" s="18">
        <f t="shared" si="11"/>
        <v>0.873</v>
      </c>
    </row>
    <row r="49" spans="1:29" x14ac:dyDescent="0.3">
      <c r="A49" s="17">
        <v>48</v>
      </c>
      <c r="B49" s="17">
        <v>150</v>
      </c>
      <c r="C49" s="17">
        <v>0</v>
      </c>
      <c r="D49" s="17">
        <v>240</v>
      </c>
      <c r="H49" s="18">
        <v>900</v>
      </c>
      <c r="I49" s="18">
        <v>0</v>
      </c>
      <c r="J49" s="18">
        <v>0</v>
      </c>
      <c r="K49" s="18">
        <f t="shared" si="0"/>
        <v>-0.38250000000000001</v>
      </c>
      <c r="L49" s="18">
        <v>0</v>
      </c>
      <c r="M49" s="18">
        <v>0</v>
      </c>
      <c r="N49" s="18">
        <f t="shared" si="1"/>
        <v>-0.22500000000000001</v>
      </c>
      <c r="P49" s="15" t="s">
        <v>31</v>
      </c>
      <c r="Q49" s="15" t="str">
        <f t="shared" si="2"/>
        <v>48,</v>
      </c>
      <c r="R49" s="15" t="str">
        <f t="shared" si="3"/>
        <v>150,</v>
      </c>
      <c r="S49" s="15" t="str">
        <f t="shared" si="4"/>
        <v>0,</v>
      </c>
      <c r="T49" s="16">
        <f t="shared" si="5"/>
        <v>240</v>
      </c>
      <c r="U49" s="16" t="s">
        <v>32</v>
      </c>
      <c r="V49" s="16" t="str">
        <f t="shared" si="6"/>
        <v>48,</v>
      </c>
      <c r="W49" s="17" t="str">
        <f t="shared" si="7"/>
        <v/>
      </c>
      <c r="X49" s="17" t="str">
        <f>IF(F49=1,"UZ","")</f>
        <v/>
      </c>
      <c r="Y49" s="17" t="str">
        <f t="shared" si="14"/>
        <v/>
      </c>
      <c r="Z49" s="17" t="s">
        <v>33</v>
      </c>
      <c r="AA49" s="17" t="str">
        <f t="shared" si="10"/>
        <v>48,</v>
      </c>
      <c r="AB49" s="17" t="s">
        <v>34</v>
      </c>
      <c r="AC49" s="18">
        <f t="shared" si="11"/>
        <v>0.873</v>
      </c>
    </row>
    <row r="50" spans="1:29" x14ac:dyDescent="0.3">
      <c r="A50" s="17">
        <v>49</v>
      </c>
      <c r="B50" s="17">
        <v>180</v>
      </c>
      <c r="C50" s="17">
        <v>0</v>
      </c>
      <c r="D50" s="17">
        <v>240</v>
      </c>
      <c r="H50" s="18">
        <v>900</v>
      </c>
      <c r="I50" s="18">
        <v>0</v>
      </c>
      <c r="J50" s="18">
        <v>0</v>
      </c>
      <c r="K50" s="18">
        <f t="shared" si="0"/>
        <v>-0.38250000000000001</v>
      </c>
      <c r="L50" s="18">
        <v>0</v>
      </c>
      <c r="M50" s="18">
        <v>0</v>
      </c>
      <c r="N50" s="18">
        <f t="shared" si="1"/>
        <v>-0.22500000000000001</v>
      </c>
      <c r="P50" s="15" t="s">
        <v>31</v>
      </c>
      <c r="Q50" s="15" t="str">
        <f t="shared" si="2"/>
        <v>49,</v>
      </c>
      <c r="R50" s="15" t="str">
        <f t="shared" si="3"/>
        <v>180,</v>
      </c>
      <c r="S50" s="15" t="str">
        <f t="shared" si="4"/>
        <v>0,</v>
      </c>
      <c r="T50" s="16">
        <f t="shared" si="5"/>
        <v>240</v>
      </c>
      <c r="U50" s="16" t="s">
        <v>32</v>
      </c>
      <c r="V50" s="16" t="str">
        <f t="shared" si="6"/>
        <v>49,</v>
      </c>
      <c r="W50" s="17" t="str">
        <f t="shared" si="7"/>
        <v/>
      </c>
      <c r="X50" s="17" t="str">
        <f>IF(F50=1,"UZ","")</f>
        <v/>
      </c>
      <c r="Y50" s="17" t="str">
        <f t="shared" si="14"/>
        <v/>
      </c>
      <c r="Z50" s="17" t="s">
        <v>33</v>
      </c>
      <c r="AA50" s="17" t="str">
        <f t="shared" si="10"/>
        <v>49,</v>
      </c>
      <c r="AB50" s="17" t="s">
        <v>34</v>
      </c>
      <c r="AC50" s="18">
        <f t="shared" si="11"/>
        <v>0.873</v>
      </c>
    </row>
    <row r="51" spans="1:29" x14ac:dyDescent="0.3">
      <c r="A51" s="17">
        <v>50</v>
      </c>
      <c r="B51" s="17">
        <v>210</v>
      </c>
      <c r="C51" s="17">
        <v>0</v>
      </c>
      <c r="D51" s="17">
        <v>240</v>
      </c>
      <c r="H51" s="18">
        <v>900</v>
      </c>
      <c r="I51" s="18">
        <v>0</v>
      </c>
      <c r="J51" s="18">
        <v>0</v>
      </c>
      <c r="K51" s="18">
        <f t="shared" si="0"/>
        <v>-0.38250000000000001</v>
      </c>
      <c r="L51" s="18">
        <v>0</v>
      </c>
      <c r="M51" s="18">
        <v>0</v>
      </c>
      <c r="N51" s="18">
        <f t="shared" si="1"/>
        <v>-0.22500000000000001</v>
      </c>
      <c r="P51" s="15" t="s">
        <v>31</v>
      </c>
      <c r="Q51" s="15" t="str">
        <f t="shared" si="2"/>
        <v>50,</v>
      </c>
      <c r="R51" s="15" t="str">
        <f t="shared" si="3"/>
        <v>210,</v>
      </c>
      <c r="S51" s="15" t="str">
        <f t="shared" si="4"/>
        <v>0,</v>
      </c>
      <c r="T51" s="16">
        <f t="shared" si="5"/>
        <v>240</v>
      </c>
      <c r="U51" s="16" t="s">
        <v>32</v>
      </c>
      <c r="V51" s="16" t="str">
        <f t="shared" si="6"/>
        <v>50,</v>
      </c>
      <c r="W51" s="17" t="str">
        <f t="shared" si="7"/>
        <v/>
      </c>
      <c r="X51" s="17" t="str">
        <f t="shared" ref="X51:X68" si="16">IF(F51=1,"UY","")</f>
        <v/>
      </c>
      <c r="Y51" s="17" t="str">
        <f t="shared" si="14"/>
        <v/>
      </c>
      <c r="Z51" s="17" t="s">
        <v>33</v>
      </c>
      <c r="AA51" s="17" t="str">
        <f t="shared" si="10"/>
        <v>50,</v>
      </c>
      <c r="AB51" s="17" t="s">
        <v>34</v>
      </c>
      <c r="AC51" s="18">
        <f t="shared" si="11"/>
        <v>0.873</v>
      </c>
    </row>
    <row r="52" spans="1:29" x14ac:dyDescent="0.3">
      <c r="A52" s="17">
        <v>51</v>
      </c>
      <c r="B52" s="17">
        <v>240</v>
      </c>
      <c r="C52" s="17">
        <v>0</v>
      </c>
      <c r="D52" s="17">
        <v>240</v>
      </c>
      <c r="H52" s="18">
        <v>900</v>
      </c>
      <c r="I52" s="18">
        <v>0</v>
      </c>
      <c r="J52" s="18">
        <v>0</v>
      </c>
      <c r="K52" s="18">
        <f t="shared" si="0"/>
        <v>-0.38250000000000001</v>
      </c>
      <c r="L52" s="18">
        <v>0</v>
      </c>
      <c r="M52" s="18">
        <v>0</v>
      </c>
      <c r="N52" s="18">
        <f t="shared" si="1"/>
        <v>-0.22500000000000001</v>
      </c>
      <c r="P52" s="15" t="s">
        <v>31</v>
      </c>
      <c r="Q52" s="15" t="str">
        <f t="shared" si="2"/>
        <v>51,</v>
      </c>
      <c r="R52" s="15" t="str">
        <f t="shared" si="3"/>
        <v>240,</v>
      </c>
      <c r="S52" s="15" t="str">
        <f t="shared" si="4"/>
        <v>0,</v>
      </c>
      <c r="T52" s="16">
        <f t="shared" si="5"/>
        <v>240</v>
      </c>
      <c r="U52" s="16" t="s">
        <v>32</v>
      </c>
      <c r="V52" s="16" t="str">
        <f t="shared" si="6"/>
        <v>51,</v>
      </c>
      <c r="W52" s="17" t="str">
        <f t="shared" si="7"/>
        <v/>
      </c>
      <c r="X52" s="17" t="str">
        <f t="shared" si="16"/>
        <v/>
      </c>
      <c r="Y52" s="17" t="str">
        <f t="shared" si="14"/>
        <v/>
      </c>
      <c r="Z52" s="17" t="s">
        <v>33</v>
      </c>
      <c r="AA52" s="17" t="str">
        <f t="shared" si="10"/>
        <v>51,</v>
      </c>
      <c r="AB52" s="17" t="s">
        <v>34</v>
      </c>
      <c r="AC52" s="18">
        <f t="shared" si="11"/>
        <v>0.873</v>
      </c>
    </row>
    <row r="53" spans="1:29" x14ac:dyDescent="0.3">
      <c r="A53" s="17">
        <v>52</v>
      </c>
      <c r="B53" s="17">
        <v>270</v>
      </c>
      <c r="C53" s="17">
        <v>0</v>
      </c>
      <c r="D53" s="17">
        <v>240</v>
      </c>
      <c r="H53" s="18">
        <v>900</v>
      </c>
      <c r="I53" s="18">
        <v>0</v>
      </c>
      <c r="J53" s="18">
        <v>0</v>
      </c>
      <c r="K53" s="18">
        <f t="shared" si="0"/>
        <v>-0.38250000000000001</v>
      </c>
      <c r="L53" s="18">
        <v>0</v>
      </c>
      <c r="M53" s="18">
        <v>0</v>
      </c>
      <c r="N53" s="18">
        <f t="shared" si="1"/>
        <v>-0.22500000000000001</v>
      </c>
      <c r="P53" s="15" t="s">
        <v>31</v>
      </c>
      <c r="Q53" s="15" t="str">
        <f t="shared" si="2"/>
        <v>52,</v>
      </c>
      <c r="R53" s="15" t="str">
        <f t="shared" si="3"/>
        <v>270,</v>
      </c>
      <c r="S53" s="15" t="str">
        <f t="shared" si="4"/>
        <v>0,</v>
      </c>
      <c r="T53" s="16">
        <f t="shared" si="5"/>
        <v>240</v>
      </c>
      <c r="U53" s="16" t="s">
        <v>32</v>
      </c>
      <c r="V53" s="16" t="str">
        <f t="shared" si="6"/>
        <v>52,</v>
      </c>
      <c r="W53" s="17" t="str">
        <f t="shared" si="7"/>
        <v/>
      </c>
      <c r="X53" s="17" t="str">
        <f t="shared" si="16"/>
        <v/>
      </c>
      <c r="Y53" s="17" t="str">
        <f t="shared" si="14"/>
        <v/>
      </c>
      <c r="Z53" s="17" t="s">
        <v>33</v>
      </c>
      <c r="AA53" s="17" t="str">
        <f t="shared" si="10"/>
        <v>52,</v>
      </c>
      <c r="AB53" s="17" t="s">
        <v>34</v>
      </c>
      <c r="AC53" s="18">
        <f t="shared" si="11"/>
        <v>0.873</v>
      </c>
    </row>
    <row r="54" spans="1:29" x14ac:dyDescent="0.3">
      <c r="A54" s="17">
        <v>53</v>
      </c>
      <c r="B54" s="17">
        <v>300</v>
      </c>
      <c r="C54" s="17">
        <v>0</v>
      </c>
      <c r="D54" s="17">
        <v>240</v>
      </c>
      <c r="H54" s="18">
        <v>900</v>
      </c>
      <c r="I54" s="18">
        <v>0</v>
      </c>
      <c r="J54" s="18">
        <v>0</v>
      </c>
      <c r="K54" s="18">
        <f t="shared" si="0"/>
        <v>-0.38250000000000001</v>
      </c>
      <c r="L54" s="18">
        <v>0</v>
      </c>
      <c r="M54" s="18">
        <v>0</v>
      </c>
      <c r="N54" s="18">
        <f t="shared" si="1"/>
        <v>-0.22500000000000001</v>
      </c>
      <c r="P54" s="15" t="s">
        <v>31</v>
      </c>
      <c r="Q54" s="15" t="str">
        <f t="shared" si="2"/>
        <v>53,</v>
      </c>
      <c r="R54" s="15" t="str">
        <f t="shared" si="3"/>
        <v>300,</v>
      </c>
      <c r="S54" s="15" t="str">
        <f t="shared" si="4"/>
        <v>0,</v>
      </c>
      <c r="T54" s="16">
        <f t="shared" si="5"/>
        <v>240</v>
      </c>
      <c r="U54" s="16" t="s">
        <v>32</v>
      </c>
      <c r="V54" s="16" t="str">
        <f t="shared" si="6"/>
        <v>53,</v>
      </c>
      <c r="W54" s="17" t="str">
        <f t="shared" si="7"/>
        <v/>
      </c>
      <c r="X54" s="17" t="str">
        <f t="shared" si="16"/>
        <v/>
      </c>
      <c r="Y54" s="17" t="str">
        <f t="shared" si="14"/>
        <v/>
      </c>
      <c r="Z54" s="17" t="s">
        <v>33</v>
      </c>
      <c r="AA54" s="17" t="str">
        <f t="shared" si="10"/>
        <v>53,</v>
      </c>
      <c r="AB54" s="17" t="s">
        <v>34</v>
      </c>
      <c r="AC54" s="18">
        <f t="shared" si="11"/>
        <v>0.873</v>
      </c>
    </row>
    <row r="55" spans="1:29" x14ac:dyDescent="0.3">
      <c r="A55" s="17">
        <v>54</v>
      </c>
      <c r="B55" s="17">
        <v>330</v>
      </c>
      <c r="C55" s="17">
        <v>0</v>
      </c>
      <c r="D55" s="17">
        <v>240</v>
      </c>
      <c r="H55" s="18">
        <v>900</v>
      </c>
      <c r="I55" s="18">
        <v>0</v>
      </c>
      <c r="J55" s="18">
        <v>0</v>
      </c>
      <c r="K55" s="18">
        <f t="shared" si="0"/>
        <v>-0.38250000000000001</v>
      </c>
      <c r="L55" s="18">
        <v>0</v>
      </c>
      <c r="M55" s="18">
        <v>0</v>
      </c>
      <c r="N55" s="18">
        <f t="shared" si="1"/>
        <v>-0.22500000000000001</v>
      </c>
      <c r="P55" s="15" t="s">
        <v>31</v>
      </c>
      <c r="Q55" s="15" t="str">
        <f t="shared" si="2"/>
        <v>54,</v>
      </c>
      <c r="R55" s="15" t="str">
        <f t="shared" si="3"/>
        <v>330,</v>
      </c>
      <c r="S55" s="15" t="str">
        <f t="shared" si="4"/>
        <v>0,</v>
      </c>
      <c r="T55" s="16">
        <f t="shared" si="5"/>
        <v>240</v>
      </c>
      <c r="U55" s="16" t="s">
        <v>32</v>
      </c>
      <c r="V55" s="16" t="str">
        <f t="shared" si="6"/>
        <v>54,</v>
      </c>
      <c r="W55" s="17" t="str">
        <f t="shared" si="7"/>
        <v/>
      </c>
      <c r="X55" s="17" t="str">
        <f t="shared" si="16"/>
        <v/>
      </c>
      <c r="Y55" s="17" t="str">
        <f t="shared" si="14"/>
        <v/>
      </c>
      <c r="Z55" s="17" t="s">
        <v>33</v>
      </c>
      <c r="AA55" s="17" t="str">
        <f t="shared" si="10"/>
        <v>54,</v>
      </c>
      <c r="AB55" s="17" t="s">
        <v>34</v>
      </c>
      <c r="AC55" s="18">
        <f t="shared" si="11"/>
        <v>0.873</v>
      </c>
    </row>
    <row r="56" spans="1:29" x14ac:dyDescent="0.3">
      <c r="A56" s="17">
        <v>55</v>
      </c>
      <c r="B56" s="17">
        <v>360</v>
      </c>
      <c r="C56" s="17">
        <v>0</v>
      </c>
      <c r="D56" s="17">
        <v>240</v>
      </c>
      <c r="H56" s="18">
        <v>900</v>
      </c>
      <c r="I56" s="18">
        <v>0</v>
      </c>
      <c r="J56" s="18">
        <v>0</v>
      </c>
      <c r="K56" s="18">
        <f t="shared" si="0"/>
        <v>-0.38250000000000001</v>
      </c>
      <c r="L56" s="18">
        <v>0</v>
      </c>
      <c r="M56" s="18">
        <v>0</v>
      </c>
      <c r="N56" s="18">
        <f t="shared" si="1"/>
        <v>-0.22500000000000001</v>
      </c>
      <c r="P56" s="15" t="s">
        <v>31</v>
      </c>
      <c r="Q56" s="15" t="str">
        <f t="shared" si="2"/>
        <v>55,</v>
      </c>
      <c r="R56" s="15" t="str">
        <f t="shared" si="3"/>
        <v>360,</v>
      </c>
      <c r="S56" s="15" t="str">
        <f t="shared" si="4"/>
        <v>0,</v>
      </c>
      <c r="T56" s="16">
        <f t="shared" si="5"/>
        <v>240</v>
      </c>
      <c r="U56" s="16" t="s">
        <v>32</v>
      </c>
      <c r="V56" s="16" t="str">
        <f t="shared" si="6"/>
        <v>55,</v>
      </c>
      <c r="W56" s="17" t="str">
        <f t="shared" si="7"/>
        <v/>
      </c>
      <c r="X56" s="17" t="str">
        <f t="shared" si="16"/>
        <v/>
      </c>
      <c r="Y56" s="17" t="str">
        <f t="shared" si="14"/>
        <v/>
      </c>
      <c r="Z56" s="17" t="s">
        <v>33</v>
      </c>
      <c r="AA56" s="17" t="str">
        <f t="shared" si="10"/>
        <v>55,</v>
      </c>
      <c r="AB56" s="17" t="s">
        <v>34</v>
      </c>
      <c r="AC56" s="18">
        <f t="shared" si="11"/>
        <v>0.873</v>
      </c>
    </row>
    <row r="57" spans="1:29" x14ac:dyDescent="0.3">
      <c r="A57" s="17">
        <v>56</v>
      </c>
      <c r="B57" s="17">
        <v>390</v>
      </c>
      <c r="C57" s="17">
        <v>0</v>
      </c>
      <c r="D57" s="17">
        <v>240</v>
      </c>
      <c r="H57" s="18">
        <v>900</v>
      </c>
      <c r="I57" s="18">
        <v>0</v>
      </c>
      <c r="J57" s="18">
        <v>0</v>
      </c>
      <c r="K57" s="18">
        <f t="shared" si="0"/>
        <v>-0.38250000000000001</v>
      </c>
      <c r="L57" s="18">
        <v>0</v>
      </c>
      <c r="M57" s="18">
        <v>0</v>
      </c>
      <c r="N57" s="18">
        <f t="shared" si="1"/>
        <v>-0.22500000000000001</v>
      </c>
      <c r="P57" s="15" t="s">
        <v>31</v>
      </c>
      <c r="Q57" s="15" t="str">
        <f t="shared" si="2"/>
        <v>56,</v>
      </c>
      <c r="R57" s="15" t="str">
        <f t="shared" si="3"/>
        <v>390,</v>
      </c>
      <c r="S57" s="15" t="str">
        <f t="shared" si="4"/>
        <v>0,</v>
      </c>
      <c r="T57" s="16">
        <f t="shared" si="5"/>
        <v>240</v>
      </c>
      <c r="U57" s="16" t="s">
        <v>32</v>
      </c>
      <c r="V57" s="16" t="str">
        <f t="shared" si="6"/>
        <v>56,</v>
      </c>
      <c r="W57" s="17" t="str">
        <f t="shared" si="7"/>
        <v/>
      </c>
      <c r="X57" s="17" t="str">
        <f t="shared" si="16"/>
        <v/>
      </c>
      <c r="Y57" s="17" t="str">
        <f t="shared" si="14"/>
        <v/>
      </c>
      <c r="Z57" s="17" t="s">
        <v>33</v>
      </c>
      <c r="AA57" s="17" t="str">
        <f t="shared" si="10"/>
        <v>56,</v>
      </c>
      <c r="AB57" s="17" t="s">
        <v>34</v>
      </c>
      <c r="AC57" s="18">
        <f t="shared" si="11"/>
        <v>0.873</v>
      </c>
    </row>
    <row r="58" spans="1:29" x14ac:dyDescent="0.3">
      <c r="A58" s="17">
        <v>57</v>
      </c>
      <c r="B58" s="17">
        <v>420</v>
      </c>
      <c r="C58" s="17">
        <v>0</v>
      </c>
      <c r="D58" s="17">
        <v>240</v>
      </c>
      <c r="H58" s="18">
        <v>900</v>
      </c>
      <c r="I58" s="18">
        <v>0</v>
      </c>
      <c r="J58" s="18">
        <v>0</v>
      </c>
      <c r="K58" s="18">
        <f t="shared" si="0"/>
        <v>-0.38250000000000001</v>
      </c>
      <c r="L58" s="18">
        <v>0</v>
      </c>
      <c r="M58" s="18">
        <v>0</v>
      </c>
      <c r="N58" s="18">
        <f t="shared" si="1"/>
        <v>-0.22500000000000001</v>
      </c>
      <c r="P58" s="15" t="s">
        <v>31</v>
      </c>
      <c r="Q58" s="15" t="str">
        <f t="shared" si="2"/>
        <v>57,</v>
      </c>
      <c r="R58" s="15" t="str">
        <f t="shared" si="3"/>
        <v>420,</v>
      </c>
      <c r="S58" s="15" t="str">
        <f t="shared" si="4"/>
        <v>0,</v>
      </c>
      <c r="T58" s="16">
        <f t="shared" si="5"/>
        <v>240</v>
      </c>
      <c r="U58" s="16" t="s">
        <v>32</v>
      </c>
      <c r="V58" s="16" t="str">
        <f t="shared" si="6"/>
        <v>57,</v>
      </c>
      <c r="W58" s="17" t="str">
        <f t="shared" si="7"/>
        <v/>
      </c>
      <c r="X58" s="17" t="str">
        <f t="shared" si="16"/>
        <v/>
      </c>
      <c r="Y58" s="17" t="str">
        <f t="shared" si="14"/>
        <v/>
      </c>
      <c r="Z58" s="17" t="s">
        <v>33</v>
      </c>
      <c r="AA58" s="17" t="str">
        <f t="shared" si="10"/>
        <v>57,</v>
      </c>
      <c r="AB58" s="17" t="s">
        <v>34</v>
      </c>
      <c r="AC58" s="18">
        <f t="shared" si="11"/>
        <v>0.873</v>
      </c>
    </row>
    <row r="59" spans="1:29" x14ac:dyDescent="0.3">
      <c r="A59" s="17">
        <v>58</v>
      </c>
      <c r="B59" s="17">
        <v>450</v>
      </c>
      <c r="C59" s="17">
        <v>0</v>
      </c>
      <c r="D59" s="17">
        <v>240</v>
      </c>
      <c r="H59" s="18">
        <v>900</v>
      </c>
      <c r="I59" s="18">
        <v>0</v>
      </c>
      <c r="J59" s="18">
        <v>0</v>
      </c>
      <c r="K59" s="18">
        <f t="shared" si="0"/>
        <v>-0.38250000000000001</v>
      </c>
      <c r="L59" s="18">
        <v>0</v>
      </c>
      <c r="M59" s="18">
        <v>0</v>
      </c>
      <c r="N59" s="18">
        <f t="shared" si="1"/>
        <v>-0.22500000000000001</v>
      </c>
      <c r="P59" s="15" t="s">
        <v>31</v>
      </c>
      <c r="Q59" s="15" t="str">
        <f t="shared" si="2"/>
        <v>58,</v>
      </c>
      <c r="R59" s="15" t="str">
        <f t="shared" si="3"/>
        <v>450,</v>
      </c>
      <c r="S59" s="15" t="str">
        <f t="shared" si="4"/>
        <v>0,</v>
      </c>
      <c r="T59" s="16">
        <f t="shared" si="5"/>
        <v>240</v>
      </c>
      <c r="U59" s="16" t="s">
        <v>32</v>
      </c>
      <c r="V59" s="16" t="str">
        <f t="shared" si="6"/>
        <v>58,</v>
      </c>
      <c r="W59" s="17" t="str">
        <f t="shared" si="7"/>
        <v/>
      </c>
      <c r="X59" s="17" t="str">
        <f t="shared" si="16"/>
        <v/>
      </c>
      <c r="Y59" s="17" t="str">
        <f t="shared" si="14"/>
        <v/>
      </c>
      <c r="Z59" s="17" t="s">
        <v>33</v>
      </c>
      <c r="AA59" s="17" t="str">
        <f t="shared" si="10"/>
        <v>58,</v>
      </c>
      <c r="AB59" s="17" t="s">
        <v>34</v>
      </c>
      <c r="AC59" s="18">
        <f t="shared" si="11"/>
        <v>0.873</v>
      </c>
    </row>
    <row r="60" spans="1:29" x14ac:dyDescent="0.3">
      <c r="A60" s="17">
        <v>59</v>
      </c>
      <c r="B60" s="17">
        <v>480</v>
      </c>
      <c r="C60" s="17">
        <v>0</v>
      </c>
      <c r="D60" s="17">
        <v>240</v>
      </c>
      <c r="H60" s="18">
        <v>900</v>
      </c>
      <c r="I60" s="18">
        <v>0</v>
      </c>
      <c r="J60" s="18">
        <v>0</v>
      </c>
      <c r="K60" s="18">
        <f t="shared" si="0"/>
        <v>-0.38250000000000001</v>
      </c>
      <c r="L60" s="18">
        <v>0</v>
      </c>
      <c r="M60" s="18">
        <v>0</v>
      </c>
      <c r="N60" s="18">
        <f t="shared" si="1"/>
        <v>-0.22500000000000001</v>
      </c>
      <c r="P60" s="15" t="s">
        <v>31</v>
      </c>
      <c r="Q60" s="15" t="str">
        <f t="shared" si="2"/>
        <v>59,</v>
      </c>
      <c r="R60" s="15" t="str">
        <f t="shared" si="3"/>
        <v>480,</v>
      </c>
      <c r="S60" s="15" t="str">
        <f t="shared" si="4"/>
        <v>0,</v>
      </c>
      <c r="T60" s="16">
        <f t="shared" si="5"/>
        <v>240</v>
      </c>
      <c r="U60" s="16" t="s">
        <v>32</v>
      </c>
      <c r="V60" s="16" t="str">
        <f t="shared" si="6"/>
        <v>59,</v>
      </c>
      <c r="W60" s="17" t="str">
        <f t="shared" si="7"/>
        <v/>
      </c>
      <c r="X60" s="17" t="str">
        <f t="shared" si="16"/>
        <v/>
      </c>
      <c r="Y60" s="17" t="str">
        <f t="shared" si="14"/>
        <v/>
      </c>
      <c r="Z60" s="17" t="s">
        <v>33</v>
      </c>
      <c r="AA60" s="17" t="str">
        <f t="shared" si="10"/>
        <v>59,</v>
      </c>
      <c r="AB60" s="17" t="s">
        <v>34</v>
      </c>
      <c r="AC60" s="18">
        <f t="shared" si="11"/>
        <v>0.873</v>
      </c>
    </row>
    <row r="61" spans="1:29" x14ac:dyDescent="0.3">
      <c r="A61" s="17">
        <v>60</v>
      </c>
      <c r="B61" s="17">
        <v>509.99999999999994</v>
      </c>
      <c r="C61" s="17">
        <v>0</v>
      </c>
      <c r="D61" s="17">
        <v>240</v>
      </c>
      <c r="H61" s="18">
        <v>900</v>
      </c>
      <c r="I61" s="18">
        <v>0</v>
      </c>
      <c r="J61" s="18">
        <v>0</v>
      </c>
      <c r="K61" s="18">
        <f t="shared" si="0"/>
        <v>-0.38250000000000001</v>
      </c>
      <c r="L61" s="18">
        <v>0</v>
      </c>
      <c r="M61" s="18">
        <v>0</v>
      </c>
      <c r="N61" s="18">
        <f t="shared" si="1"/>
        <v>-0.22500000000000001</v>
      </c>
      <c r="P61" s="15" t="s">
        <v>31</v>
      </c>
      <c r="Q61" s="15" t="str">
        <f t="shared" si="2"/>
        <v>60,</v>
      </c>
      <c r="R61" s="15" t="str">
        <f t="shared" si="3"/>
        <v>510,</v>
      </c>
      <c r="S61" s="15" t="str">
        <f t="shared" si="4"/>
        <v>0,</v>
      </c>
      <c r="T61" s="16">
        <f t="shared" si="5"/>
        <v>240</v>
      </c>
      <c r="U61" s="16" t="s">
        <v>32</v>
      </c>
      <c r="V61" s="16" t="str">
        <f t="shared" si="6"/>
        <v>60,</v>
      </c>
      <c r="W61" s="17" t="str">
        <f t="shared" si="7"/>
        <v/>
      </c>
      <c r="X61" s="17" t="str">
        <f t="shared" si="16"/>
        <v/>
      </c>
      <c r="Y61" s="17" t="str">
        <f t="shared" si="14"/>
        <v/>
      </c>
      <c r="Z61" s="17" t="s">
        <v>33</v>
      </c>
      <c r="AA61" s="17" t="str">
        <f t="shared" si="10"/>
        <v>60,</v>
      </c>
      <c r="AB61" s="17" t="s">
        <v>34</v>
      </c>
      <c r="AC61" s="18">
        <f t="shared" si="11"/>
        <v>0.873</v>
      </c>
    </row>
    <row r="62" spans="1:29" x14ac:dyDescent="0.3">
      <c r="A62" s="17">
        <v>61</v>
      </c>
      <c r="B62" s="17">
        <v>540</v>
      </c>
      <c r="C62" s="17">
        <v>0</v>
      </c>
      <c r="D62" s="17">
        <v>240</v>
      </c>
      <c r="H62" s="18">
        <v>900</v>
      </c>
      <c r="I62" s="18">
        <v>0</v>
      </c>
      <c r="J62" s="18">
        <v>0</v>
      </c>
      <c r="K62" s="18">
        <f t="shared" si="0"/>
        <v>-0.38250000000000001</v>
      </c>
      <c r="L62" s="18">
        <v>0</v>
      </c>
      <c r="M62" s="18">
        <v>0</v>
      </c>
      <c r="N62" s="18">
        <f t="shared" si="1"/>
        <v>-0.22500000000000001</v>
      </c>
      <c r="P62" s="15" t="s">
        <v>31</v>
      </c>
      <c r="Q62" s="15" t="str">
        <f t="shared" si="2"/>
        <v>61,</v>
      </c>
      <c r="R62" s="15" t="str">
        <f t="shared" si="3"/>
        <v>540,</v>
      </c>
      <c r="S62" s="15" t="str">
        <f t="shared" si="4"/>
        <v>0,</v>
      </c>
      <c r="T62" s="16">
        <f t="shared" si="5"/>
        <v>240</v>
      </c>
      <c r="U62" s="16" t="s">
        <v>32</v>
      </c>
      <c r="V62" s="16" t="str">
        <f t="shared" si="6"/>
        <v>61,</v>
      </c>
      <c r="W62" s="17" t="str">
        <f t="shared" si="7"/>
        <v/>
      </c>
      <c r="X62" s="17" t="str">
        <f t="shared" si="16"/>
        <v/>
      </c>
      <c r="Y62" s="17" t="str">
        <f t="shared" si="14"/>
        <v/>
      </c>
      <c r="Z62" s="17" t="s">
        <v>33</v>
      </c>
      <c r="AA62" s="17" t="str">
        <f t="shared" si="10"/>
        <v>61,</v>
      </c>
      <c r="AB62" s="17" t="s">
        <v>34</v>
      </c>
      <c r="AC62" s="18">
        <f t="shared" si="11"/>
        <v>0.873</v>
      </c>
    </row>
    <row r="63" spans="1:29" x14ac:dyDescent="0.3">
      <c r="A63" s="17">
        <v>62</v>
      </c>
      <c r="B63" s="17">
        <v>570</v>
      </c>
      <c r="C63" s="17">
        <v>0</v>
      </c>
      <c r="D63" s="17">
        <v>240</v>
      </c>
      <c r="H63" s="18">
        <v>900</v>
      </c>
      <c r="I63" s="18">
        <v>0</v>
      </c>
      <c r="J63" s="18">
        <v>0</v>
      </c>
      <c r="K63" s="18">
        <f t="shared" si="0"/>
        <v>-0.38250000000000001</v>
      </c>
      <c r="L63" s="18">
        <v>0</v>
      </c>
      <c r="M63" s="18">
        <v>0</v>
      </c>
      <c r="N63" s="18">
        <f t="shared" si="1"/>
        <v>-0.22500000000000001</v>
      </c>
      <c r="P63" s="15" t="s">
        <v>31</v>
      </c>
      <c r="Q63" s="15" t="str">
        <f t="shared" si="2"/>
        <v>62,</v>
      </c>
      <c r="R63" s="15" t="str">
        <f t="shared" si="3"/>
        <v>570,</v>
      </c>
      <c r="S63" s="15" t="str">
        <f t="shared" si="4"/>
        <v>0,</v>
      </c>
      <c r="T63" s="16">
        <f t="shared" si="5"/>
        <v>240</v>
      </c>
      <c r="U63" s="16" t="s">
        <v>32</v>
      </c>
      <c r="V63" s="16" t="str">
        <f t="shared" si="6"/>
        <v>62,</v>
      </c>
      <c r="W63" s="17" t="str">
        <f t="shared" si="7"/>
        <v/>
      </c>
      <c r="X63" s="17" t="str">
        <f t="shared" si="16"/>
        <v/>
      </c>
      <c r="Y63" s="17" t="str">
        <f t="shared" si="14"/>
        <v/>
      </c>
      <c r="Z63" s="17" t="s">
        <v>33</v>
      </c>
      <c r="AA63" s="17" t="str">
        <f t="shared" si="10"/>
        <v>62,</v>
      </c>
      <c r="AB63" s="17" t="s">
        <v>34</v>
      </c>
      <c r="AC63" s="18">
        <f t="shared" si="11"/>
        <v>0.873</v>
      </c>
    </row>
    <row r="64" spans="1:29" x14ac:dyDescent="0.3">
      <c r="A64" s="17">
        <v>63</v>
      </c>
      <c r="B64" s="17">
        <v>600</v>
      </c>
      <c r="C64" s="17">
        <v>0</v>
      </c>
      <c r="D64" s="17">
        <v>240</v>
      </c>
      <c r="E64" s="17">
        <v>0</v>
      </c>
      <c r="F64" s="17">
        <v>0</v>
      </c>
      <c r="G64" s="17">
        <v>1</v>
      </c>
      <c r="H64" s="18">
        <v>900</v>
      </c>
      <c r="I64" s="18">
        <v>0</v>
      </c>
      <c r="J64" s="18">
        <v>0</v>
      </c>
      <c r="K64" s="18">
        <f t="shared" si="0"/>
        <v>-0.38250000000000001</v>
      </c>
      <c r="L64" s="18">
        <v>0</v>
      </c>
      <c r="M64" s="18">
        <v>0</v>
      </c>
      <c r="N64" s="18">
        <f t="shared" si="1"/>
        <v>-0.22500000000000001</v>
      </c>
      <c r="P64" s="15" t="s">
        <v>31</v>
      </c>
      <c r="Q64" s="15" t="str">
        <f t="shared" si="2"/>
        <v>63,</v>
      </c>
      <c r="R64" s="15" t="str">
        <f t="shared" si="3"/>
        <v>600,</v>
      </c>
      <c r="S64" s="15" t="str">
        <f t="shared" si="4"/>
        <v>0,</v>
      </c>
      <c r="T64" s="16">
        <f t="shared" si="5"/>
        <v>240</v>
      </c>
      <c r="U64" s="16" t="s">
        <v>32</v>
      </c>
      <c r="V64" s="16" t="str">
        <f t="shared" si="6"/>
        <v>63,</v>
      </c>
      <c r="W64" s="17" t="str">
        <f t="shared" si="7"/>
        <v/>
      </c>
      <c r="X64" s="17" t="str">
        <f t="shared" si="16"/>
        <v/>
      </c>
      <c r="Y64" s="17" t="str">
        <f t="shared" si="14"/>
        <v>UY</v>
      </c>
      <c r="Z64" s="17" t="s">
        <v>33</v>
      </c>
      <c r="AA64" s="17" t="str">
        <f t="shared" si="10"/>
        <v>63,</v>
      </c>
      <c r="AB64" s="17" t="s">
        <v>34</v>
      </c>
      <c r="AC64" s="18">
        <f t="shared" si="11"/>
        <v>0.873</v>
      </c>
    </row>
    <row r="65" spans="1:29" x14ac:dyDescent="0.3">
      <c r="A65" s="17">
        <v>64</v>
      </c>
      <c r="B65" s="17">
        <v>0</v>
      </c>
      <c r="C65" s="17">
        <v>0</v>
      </c>
      <c r="D65" s="17">
        <v>210</v>
      </c>
      <c r="E65" s="17">
        <v>0</v>
      </c>
      <c r="F65" s="17">
        <v>0</v>
      </c>
      <c r="G65" s="17">
        <v>1</v>
      </c>
      <c r="H65" s="18">
        <v>900</v>
      </c>
      <c r="I65" s="18">
        <v>0</v>
      </c>
      <c r="J65" s="18">
        <v>0</v>
      </c>
      <c r="K65" s="18">
        <f t="shared" si="0"/>
        <v>-0.38250000000000001</v>
      </c>
      <c r="L65" s="18">
        <v>0</v>
      </c>
      <c r="M65" s="18">
        <v>0</v>
      </c>
      <c r="N65" s="18">
        <f t="shared" si="1"/>
        <v>-0.22500000000000001</v>
      </c>
      <c r="P65" s="15" t="s">
        <v>31</v>
      </c>
      <c r="Q65" s="15" t="str">
        <f t="shared" si="2"/>
        <v>64,</v>
      </c>
      <c r="R65" s="15" t="str">
        <f t="shared" si="3"/>
        <v>0,</v>
      </c>
      <c r="S65" s="15" t="str">
        <f t="shared" si="4"/>
        <v>0,</v>
      </c>
      <c r="T65" s="16">
        <f t="shared" si="5"/>
        <v>210</v>
      </c>
      <c r="U65" s="16" t="s">
        <v>32</v>
      </c>
      <c r="V65" s="16" t="str">
        <f t="shared" si="6"/>
        <v>64,</v>
      </c>
      <c r="W65" s="17" t="str">
        <f t="shared" si="7"/>
        <v/>
      </c>
      <c r="X65" s="17" t="str">
        <f t="shared" si="16"/>
        <v/>
      </c>
      <c r="Y65" s="17" t="str">
        <f t="shared" si="14"/>
        <v>UY</v>
      </c>
      <c r="Z65" s="17" t="s">
        <v>33</v>
      </c>
      <c r="AA65" s="17" t="str">
        <f t="shared" si="10"/>
        <v>64,</v>
      </c>
      <c r="AB65" s="17" t="s">
        <v>34</v>
      </c>
      <c r="AC65" s="18">
        <f t="shared" si="11"/>
        <v>0.873</v>
      </c>
    </row>
    <row r="66" spans="1:29" x14ac:dyDescent="0.3">
      <c r="A66" s="17">
        <v>65</v>
      </c>
      <c r="B66" s="17">
        <v>30</v>
      </c>
      <c r="C66" s="17">
        <v>0</v>
      </c>
      <c r="D66" s="17">
        <v>210</v>
      </c>
      <c r="H66" s="18">
        <v>900</v>
      </c>
      <c r="I66" s="18">
        <v>0</v>
      </c>
      <c r="J66" s="18">
        <v>0</v>
      </c>
      <c r="K66" s="18">
        <f t="shared" ref="K66:K129" si="17">-H66*4.25/10000</f>
        <v>-0.38250000000000001</v>
      </c>
      <c r="L66" s="18">
        <v>0</v>
      </c>
      <c r="M66" s="18">
        <v>0</v>
      </c>
      <c r="N66" s="18">
        <f t="shared" ref="N66:N129" si="18">-H66*2.5/10000</f>
        <v>-0.22500000000000001</v>
      </c>
      <c r="P66" s="15" t="s">
        <v>31</v>
      </c>
      <c r="Q66" s="15" t="str">
        <f t="shared" ref="Q66:Q129" si="19">A66&amp;","</f>
        <v>65,</v>
      </c>
      <c r="R66" s="15" t="str">
        <f t="shared" ref="R66:R129" si="20">B66&amp;","</f>
        <v>30,</v>
      </c>
      <c r="S66" s="15" t="str">
        <f t="shared" ref="S66:S129" si="21">C66&amp;","</f>
        <v>0,</v>
      </c>
      <c r="T66" s="16">
        <f t="shared" ref="T66:T129" si="22">D66</f>
        <v>210</v>
      </c>
      <c r="U66" s="16" t="s">
        <v>32</v>
      </c>
      <c r="V66" s="16" t="str">
        <f t="shared" ref="V66:V129" si="23">A66&amp;","</f>
        <v>65,</v>
      </c>
      <c r="W66" s="17" t="str">
        <f t="shared" ref="W66:W129" si="24">IF(E66=1,"UX","")</f>
        <v/>
      </c>
      <c r="X66" s="17" t="str">
        <f t="shared" si="16"/>
        <v/>
      </c>
      <c r="Y66" s="17" t="str">
        <f t="shared" si="14"/>
        <v/>
      </c>
      <c r="Z66" s="17" t="s">
        <v>33</v>
      </c>
      <c r="AA66" s="17" t="str">
        <f t="shared" ref="AA66:AA129" si="25">Q66</f>
        <v>65,</v>
      </c>
      <c r="AB66" s="17" t="s">
        <v>34</v>
      </c>
      <c r="AC66" s="18">
        <f t="shared" ref="AC66:AC129" si="26">-(1.4*K66+1.5*N66)</f>
        <v>0.873</v>
      </c>
    </row>
    <row r="67" spans="1:29" x14ac:dyDescent="0.3">
      <c r="A67" s="17">
        <v>66</v>
      </c>
      <c r="B67" s="17">
        <v>60</v>
      </c>
      <c r="C67" s="17">
        <v>0</v>
      </c>
      <c r="D67" s="17">
        <v>210</v>
      </c>
      <c r="H67" s="18">
        <v>900</v>
      </c>
      <c r="I67" s="18">
        <v>0</v>
      </c>
      <c r="J67" s="18">
        <v>0</v>
      </c>
      <c r="K67" s="18">
        <f t="shared" si="17"/>
        <v>-0.38250000000000001</v>
      </c>
      <c r="L67" s="18">
        <v>0</v>
      </c>
      <c r="M67" s="18">
        <v>0</v>
      </c>
      <c r="N67" s="18">
        <f t="shared" si="18"/>
        <v>-0.22500000000000001</v>
      </c>
      <c r="P67" s="15" t="s">
        <v>31</v>
      </c>
      <c r="Q67" s="15" t="str">
        <f t="shared" si="19"/>
        <v>66,</v>
      </c>
      <c r="R67" s="15" t="str">
        <f t="shared" si="20"/>
        <v>60,</v>
      </c>
      <c r="S67" s="15" t="str">
        <f t="shared" si="21"/>
        <v>0,</v>
      </c>
      <c r="T67" s="16">
        <f t="shared" si="22"/>
        <v>210</v>
      </c>
      <c r="U67" s="16" t="s">
        <v>32</v>
      </c>
      <c r="V67" s="16" t="str">
        <f t="shared" si="23"/>
        <v>66,</v>
      </c>
      <c r="W67" s="17" t="str">
        <f t="shared" si="24"/>
        <v/>
      </c>
      <c r="X67" s="17" t="str">
        <f t="shared" si="16"/>
        <v/>
      </c>
      <c r="Y67" s="17" t="str">
        <f t="shared" si="14"/>
        <v/>
      </c>
      <c r="Z67" s="17" t="s">
        <v>33</v>
      </c>
      <c r="AA67" s="17" t="str">
        <f t="shared" si="25"/>
        <v>66,</v>
      </c>
      <c r="AB67" s="17" t="s">
        <v>34</v>
      </c>
      <c r="AC67" s="18">
        <f t="shared" si="26"/>
        <v>0.873</v>
      </c>
    </row>
    <row r="68" spans="1:29" x14ac:dyDescent="0.3">
      <c r="A68" s="17">
        <v>67</v>
      </c>
      <c r="B68" s="17">
        <v>90</v>
      </c>
      <c r="C68" s="17">
        <v>0</v>
      </c>
      <c r="D68" s="17">
        <v>210</v>
      </c>
      <c r="H68" s="18">
        <v>900</v>
      </c>
      <c r="I68" s="18">
        <v>0</v>
      </c>
      <c r="J68" s="18">
        <v>0</v>
      </c>
      <c r="K68" s="18">
        <f t="shared" si="17"/>
        <v>-0.38250000000000001</v>
      </c>
      <c r="L68" s="18">
        <v>0</v>
      </c>
      <c r="M68" s="18">
        <v>0</v>
      </c>
      <c r="N68" s="18">
        <f t="shared" si="18"/>
        <v>-0.22500000000000001</v>
      </c>
      <c r="P68" s="15" t="s">
        <v>31</v>
      </c>
      <c r="Q68" s="15" t="str">
        <f t="shared" si="19"/>
        <v>67,</v>
      </c>
      <c r="R68" s="15" t="str">
        <f t="shared" si="20"/>
        <v>90,</v>
      </c>
      <c r="S68" s="15" t="str">
        <f t="shared" si="21"/>
        <v>0,</v>
      </c>
      <c r="T68" s="16">
        <f t="shared" si="22"/>
        <v>210</v>
      </c>
      <c r="U68" s="16" t="s">
        <v>32</v>
      </c>
      <c r="V68" s="16" t="str">
        <f t="shared" si="23"/>
        <v>67,</v>
      </c>
      <c r="W68" s="17" t="str">
        <f t="shared" si="24"/>
        <v/>
      </c>
      <c r="X68" s="17" t="str">
        <f t="shared" si="16"/>
        <v/>
      </c>
      <c r="Y68" s="17" t="str">
        <f t="shared" si="14"/>
        <v/>
      </c>
      <c r="Z68" s="17" t="s">
        <v>33</v>
      </c>
      <c r="AA68" s="17" t="str">
        <f t="shared" si="25"/>
        <v>67,</v>
      </c>
      <c r="AB68" s="17" t="s">
        <v>34</v>
      </c>
      <c r="AC68" s="18">
        <f t="shared" si="26"/>
        <v>0.873</v>
      </c>
    </row>
    <row r="69" spans="1:29" x14ac:dyDescent="0.3">
      <c r="A69" s="17">
        <v>68</v>
      </c>
      <c r="B69" s="17">
        <v>120</v>
      </c>
      <c r="C69" s="17">
        <v>0</v>
      </c>
      <c r="D69" s="17">
        <v>210</v>
      </c>
      <c r="H69" s="18">
        <v>900</v>
      </c>
      <c r="I69" s="18">
        <v>0</v>
      </c>
      <c r="J69" s="18">
        <v>0</v>
      </c>
      <c r="K69" s="18">
        <f t="shared" si="17"/>
        <v>-0.38250000000000001</v>
      </c>
      <c r="L69" s="18">
        <v>0</v>
      </c>
      <c r="M69" s="18">
        <v>0</v>
      </c>
      <c r="N69" s="18">
        <f t="shared" si="18"/>
        <v>-0.22500000000000001</v>
      </c>
      <c r="P69" s="15" t="s">
        <v>31</v>
      </c>
      <c r="Q69" s="15" t="str">
        <f t="shared" si="19"/>
        <v>68,</v>
      </c>
      <c r="R69" s="15" t="str">
        <f t="shared" si="20"/>
        <v>120,</v>
      </c>
      <c r="S69" s="15" t="str">
        <f t="shared" si="21"/>
        <v>0,</v>
      </c>
      <c r="T69" s="16">
        <f t="shared" si="22"/>
        <v>210</v>
      </c>
      <c r="U69" s="16" t="s">
        <v>32</v>
      </c>
      <c r="V69" s="16" t="str">
        <f t="shared" si="23"/>
        <v>68,</v>
      </c>
      <c r="W69" s="17" t="str">
        <f t="shared" si="24"/>
        <v/>
      </c>
      <c r="X69" s="17" t="str">
        <f>IF(F69=1,"UZ","")</f>
        <v/>
      </c>
      <c r="Y69" s="17" t="str">
        <f t="shared" si="14"/>
        <v/>
      </c>
      <c r="Z69" s="17" t="s">
        <v>33</v>
      </c>
      <c r="AA69" s="17" t="str">
        <f t="shared" si="25"/>
        <v>68,</v>
      </c>
      <c r="AB69" s="17" t="s">
        <v>34</v>
      </c>
      <c r="AC69" s="18">
        <f t="shared" si="26"/>
        <v>0.873</v>
      </c>
    </row>
    <row r="70" spans="1:29" x14ac:dyDescent="0.3">
      <c r="A70" s="17">
        <v>69</v>
      </c>
      <c r="B70" s="17">
        <v>150</v>
      </c>
      <c r="C70" s="17">
        <v>0</v>
      </c>
      <c r="D70" s="17">
        <v>210</v>
      </c>
      <c r="H70" s="18">
        <v>900</v>
      </c>
      <c r="I70" s="18">
        <v>0</v>
      </c>
      <c r="J70" s="18">
        <v>0</v>
      </c>
      <c r="K70" s="18">
        <f t="shared" si="17"/>
        <v>-0.38250000000000001</v>
      </c>
      <c r="L70" s="18">
        <v>0</v>
      </c>
      <c r="M70" s="18">
        <v>0</v>
      </c>
      <c r="N70" s="18">
        <f t="shared" si="18"/>
        <v>-0.22500000000000001</v>
      </c>
      <c r="P70" s="15" t="s">
        <v>31</v>
      </c>
      <c r="Q70" s="15" t="str">
        <f t="shared" si="19"/>
        <v>69,</v>
      </c>
      <c r="R70" s="15" t="str">
        <f t="shared" si="20"/>
        <v>150,</v>
      </c>
      <c r="S70" s="15" t="str">
        <f t="shared" si="21"/>
        <v>0,</v>
      </c>
      <c r="T70" s="16">
        <f t="shared" si="22"/>
        <v>210</v>
      </c>
      <c r="U70" s="16" t="s">
        <v>32</v>
      </c>
      <c r="V70" s="16" t="str">
        <f t="shared" si="23"/>
        <v>69,</v>
      </c>
      <c r="W70" s="17" t="str">
        <f t="shared" si="24"/>
        <v/>
      </c>
      <c r="X70" s="17" t="str">
        <f>IF(F70=1,"UZ","")</f>
        <v/>
      </c>
      <c r="Y70" s="17" t="str">
        <f t="shared" si="14"/>
        <v/>
      </c>
      <c r="Z70" s="17" t="s">
        <v>33</v>
      </c>
      <c r="AA70" s="17" t="str">
        <f t="shared" si="25"/>
        <v>69,</v>
      </c>
      <c r="AB70" s="17" t="s">
        <v>34</v>
      </c>
      <c r="AC70" s="18">
        <f t="shared" si="26"/>
        <v>0.873</v>
      </c>
    </row>
    <row r="71" spans="1:29" x14ac:dyDescent="0.3">
      <c r="A71" s="17">
        <v>70</v>
      </c>
      <c r="B71" s="17">
        <v>180</v>
      </c>
      <c r="C71" s="17">
        <v>0</v>
      </c>
      <c r="D71" s="17">
        <v>210</v>
      </c>
      <c r="H71" s="18">
        <v>900</v>
      </c>
      <c r="I71" s="18">
        <v>0</v>
      </c>
      <c r="J71" s="18">
        <v>0</v>
      </c>
      <c r="K71" s="18">
        <f t="shared" si="17"/>
        <v>-0.38250000000000001</v>
      </c>
      <c r="L71" s="18">
        <v>0</v>
      </c>
      <c r="M71" s="18">
        <v>0</v>
      </c>
      <c r="N71" s="18">
        <f t="shared" si="18"/>
        <v>-0.22500000000000001</v>
      </c>
      <c r="P71" s="15" t="s">
        <v>31</v>
      </c>
      <c r="Q71" s="15" t="str">
        <f t="shared" si="19"/>
        <v>70,</v>
      </c>
      <c r="R71" s="15" t="str">
        <f t="shared" si="20"/>
        <v>180,</v>
      </c>
      <c r="S71" s="15" t="str">
        <f t="shared" si="21"/>
        <v>0,</v>
      </c>
      <c r="T71" s="16">
        <f t="shared" si="22"/>
        <v>210</v>
      </c>
      <c r="U71" s="16" t="s">
        <v>32</v>
      </c>
      <c r="V71" s="16" t="str">
        <f t="shared" si="23"/>
        <v>70,</v>
      </c>
      <c r="W71" s="17" t="str">
        <f t="shared" si="24"/>
        <v/>
      </c>
      <c r="X71" s="17" t="str">
        <f t="shared" ref="X71:X88" si="27">IF(F71=1,"UY","")</f>
        <v/>
      </c>
      <c r="Y71" s="17" t="str">
        <f t="shared" si="14"/>
        <v/>
      </c>
      <c r="Z71" s="17" t="s">
        <v>33</v>
      </c>
      <c r="AA71" s="17" t="str">
        <f t="shared" si="25"/>
        <v>70,</v>
      </c>
      <c r="AB71" s="17" t="s">
        <v>34</v>
      </c>
      <c r="AC71" s="18">
        <f t="shared" si="26"/>
        <v>0.873</v>
      </c>
    </row>
    <row r="72" spans="1:29" x14ac:dyDescent="0.3">
      <c r="A72" s="17">
        <v>71</v>
      </c>
      <c r="B72" s="17">
        <v>210</v>
      </c>
      <c r="C72" s="17">
        <v>0</v>
      </c>
      <c r="D72" s="17">
        <v>210</v>
      </c>
      <c r="H72" s="18">
        <v>900</v>
      </c>
      <c r="I72" s="18">
        <v>0</v>
      </c>
      <c r="J72" s="18">
        <v>0</v>
      </c>
      <c r="K72" s="18">
        <f t="shared" si="17"/>
        <v>-0.38250000000000001</v>
      </c>
      <c r="L72" s="18">
        <v>0</v>
      </c>
      <c r="M72" s="18">
        <v>0</v>
      </c>
      <c r="N72" s="18">
        <f t="shared" si="18"/>
        <v>-0.22500000000000001</v>
      </c>
      <c r="P72" s="15" t="s">
        <v>31</v>
      </c>
      <c r="Q72" s="15" t="str">
        <f t="shared" si="19"/>
        <v>71,</v>
      </c>
      <c r="R72" s="15" t="str">
        <f t="shared" si="20"/>
        <v>210,</v>
      </c>
      <c r="S72" s="15" t="str">
        <f t="shared" si="21"/>
        <v>0,</v>
      </c>
      <c r="T72" s="16">
        <f t="shared" si="22"/>
        <v>210</v>
      </c>
      <c r="U72" s="16" t="s">
        <v>32</v>
      </c>
      <c r="V72" s="16" t="str">
        <f t="shared" si="23"/>
        <v>71,</v>
      </c>
      <c r="W72" s="17" t="str">
        <f t="shared" si="24"/>
        <v/>
      </c>
      <c r="X72" s="17" t="str">
        <f t="shared" si="27"/>
        <v/>
      </c>
      <c r="Y72" s="17" t="str">
        <f t="shared" si="14"/>
        <v/>
      </c>
      <c r="Z72" s="17" t="s">
        <v>33</v>
      </c>
      <c r="AA72" s="17" t="str">
        <f t="shared" si="25"/>
        <v>71,</v>
      </c>
      <c r="AB72" s="17" t="s">
        <v>34</v>
      </c>
      <c r="AC72" s="18">
        <f t="shared" si="26"/>
        <v>0.873</v>
      </c>
    </row>
    <row r="73" spans="1:29" x14ac:dyDescent="0.3">
      <c r="A73" s="17">
        <v>72</v>
      </c>
      <c r="B73" s="17">
        <v>240</v>
      </c>
      <c r="C73" s="17">
        <v>0</v>
      </c>
      <c r="D73" s="17">
        <v>210</v>
      </c>
      <c r="H73" s="18">
        <v>900</v>
      </c>
      <c r="I73" s="18">
        <v>0</v>
      </c>
      <c r="J73" s="18">
        <v>0</v>
      </c>
      <c r="K73" s="18">
        <f t="shared" si="17"/>
        <v>-0.38250000000000001</v>
      </c>
      <c r="L73" s="18">
        <v>0</v>
      </c>
      <c r="M73" s="18">
        <v>0</v>
      </c>
      <c r="N73" s="18">
        <f t="shared" si="18"/>
        <v>-0.22500000000000001</v>
      </c>
      <c r="P73" s="15" t="s">
        <v>31</v>
      </c>
      <c r="Q73" s="15" t="str">
        <f t="shared" si="19"/>
        <v>72,</v>
      </c>
      <c r="R73" s="15" t="str">
        <f t="shared" si="20"/>
        <v>240,</v>
      </c>
      <c r="S73" s="15" t="str">
        <f t="shared" si="21"/>
        <v>0,</v>
      </c>
      <c r="T73" s="16">
        <f t="shared" si="22"/>
        <v>210</v>
      </c>
      <c r="U73" s="16" t="s">
        <v>32</v>
      </c>
      <c r="V73" s="16" t="str">
        <f t="shared" si="23"/>
        <v>72,</v>
      </c>
      <c r="W73" s="17" t="str">
        <f t="shared" si="24"/>
        <v/>
      </c>
      <c r="X73" s="17" t="str">
        <f t="shared" si="27"/>
        <v/>
      </c>
      <c r="Y73" s="17" t="str">
        <f t="shared" si="14"/>
        <v/>
      </c>
      <c r="Z73" s="17" t="s">
        <v>33</v>
      </c>
      <c r="AA73" s="17" t="str">
        <f t="shared" si="25"/>
        <v>72,</v>
      </c>
      <c r="AB73" s="17" t="s">
        <v>34</v>
      </c>
      <c r="AC73" s="18">
        <f t="shared" si="26"/>
        <v>0.873</v>
      </c>
    </row>
    <row r="74" spans="1:29" x14ac:dyDescent="0.3">
      <c r="A74" s="17">
        <v>73</v>
      </c>
      <c r="B74" s="17">
        <v>270</v>
      </c>
      <c r="C74" s="17">
        <v>0</v>
      </c>
      <c r="D74" s="17">
        <v>210</v>
      </c>
      <c r="H74" s="18">
        <v>900</v>
      </c>
      <c r="I74" s="18">
        <v>0</v>
      </c>
      <c r="J74" s="18">
        <v>0</v>
      </c>
      <c r="K74" s="18">
        <f t="shared" si="17"/>
        <v>-0.38250000000000001</v>
      </c>
      <c r="L74" s="18">
        <v>0</v>
      </c>
      <c r="M74" s="18">
        <v>0</v>
      </c>
      <c r="N74" s="18">
        <f t="shared" si="18"/>
        <v>-0.22500000000000001</v>
      </c>
      <c r="P74" s="15" t="s">
        <v>31</v>
      </c>
      <c r="Q74" s="15" t="str">
        <f t="shared" si="19"/>
        <v>73,</v>
      </c>
      <c r="R74" s="15" t="str">
        <f t="shared" si="20"/>
        <v>270,</v>
      </c>
      <c r="S74" s="15" t="str">
        <f t="shared" si="21"/>
        <v>0,</v>
      </c>
      <c r="T74" s="16">
        <f t="shared" si="22"/>
        <v>210</v>
      </c>
      <c r="U74" s="16" t="s">
        <v>32</v>
      </c>
      <c r="V74" s="16" t="str">
        <f t="shared" si="23"/>
        <v>73,</v>
      </c>
      <c r="W74" s="17" t="str">
        <f t="shared" si="24"/>
        <v/>
      </c>
      <c r="X74" s="17" t="str">
        <f t="shared" si="27"/>
        <v/>
      </c>
      <c r="Y74" s="17" t="str">
        <f t="shared" si="14"/>
        <v/>
      </c>
      <c r="Z74" s="17" t="s">
        <v>33</v>
      </c>
      <c r="AA74" s="17" t="str">
        <f t="shared" si="25"/>
        <v>73,</v>
      </c>
      <c r="AB74" s="17" t="s">
        <v>34</v>
      </c>
      <c r="AC74" s="18">
        <f t="shared" si="26"/>
        <v>0.873</v>
      </c>
    </row>
    <row r="75" spans="1:29" x14ac:dyDescent="0.3">
      <c r="A75" s="17">
        <v>74</v>
      </c>
      <c r="B75" s="17">
        <v>300</v>
      </c>
      <c r="C75" s="17">
        <v>0</v>
      </c>
      <c r="D75" s="17">
        <v>210</v>
      </c>
      <c r="H75" s="18">
        <v>900</v>
      </c>
      <c r="I75" s="18">
        <v>0</v>
      </c>
      <c r="J75" s="18">
        <v>0</v>
      </c>
      <c r="K75" s="18">
        <f t="shared" si="17"/>
        <v>-0.38250000000000001</v>
      </c>
      <c r="L75" s="18">
        <v>0</v>
      </c>
      <c r="M75" s="18">
        <v>0</v>
      </c>
      <c r="N75" s="18">
        <f t="shared" si="18"/>
        <v>-0.22500000000000001</v>
      </c>
      <c r="P75" s="15" t="s">
        <v>31</v>
      </c>
      <c r="Q75" s="15" t="str">
        <f t="shared" si="19"/>
        <v>74,</v>
      </c>
      <c r="R75" s="15" t="str">
        <f t="shared" si="20"/>
        <v>300,</v>
      </c>
      <c r="S75" s="15" t="str">
        <f t="shared" si="21"/>
        <v>0,</v>
      </c>
      <c r="T75" s="16">
        <f t="shared" si="22"/>
        <v>210</v>
      </c>
      <c r="U75" s="16" t="s">
        <v>32</v>
      </c>
      <c r="V75" s="16" t="str">
        <f t="shared" si="23"/>
        <v>74,</v>
      </c>
      <c r="W75" s="17" t="str">
        <f t="shared" si="24"/>
        <v/>
      </c>
      <c r="X75" s="17" t="str">
        <f t="shared" si="27"/>
        <v/>
      </c>
      <c r="Y75" s="17" t="str">
        <f t="shared" si="14"/>
        <v/>
      </c>
      <c r="Z75" s="17" t="s">
        <v>33</v>
      </c>
      <c r="AA75" s="17" t="str">
        <f t="shared" si="25"/>
        <v>74,</v>
      </c>
      <c r="AB75" s="17" t="s">
        <v>34</v>
      </c>
      <c r="AC75" s="18">
        <f t="shared" si="26"/>
        <v>0.873</v>
      </c>
    </row>
    <row r="76" spans="1:29" x14ac:dyDescent="0.3">
      <c r="A76" s="17">
        <v>75</v>
      </c>
      <c r="B76" s="17">
        <v>330</v>
      </c>
      <c r="C76" s="17">
        <v>0</v>
      </c>
      <c r="D76" s="17">
        <v>210</v>
      </c>
      <c r="H76" s="18">
        <v>900</v>
      </c>
      <c r="I76" s="18">
        <v>0</v>
      </c>
      <c r="J76" s="18">
        <v>0</v>
      </c>
      <c r="K76" s="18">
        <f t="shared" si="17"/>
        <v>-0.38250000000000001</v>
      </c>
      <c r="L76" s="18">
        <v>0</v>
      </c>
      <c r="M76" s="18">
        <v>0</v>
      </c>
      <c r="N76" s="18">
        <f t="shared" si="18"/>
        <v>-0.22500000000000001</v>
      </c>
      <c r="P76" s="15" t="s">
        <v>31</v>
      </c>
      <c r="Q76" s="15" t="str">
        <f t="shared" si="19"/>
        <v>75,</v>
      </c>
      <c r="R76" s="15" t="str">
        <f t="shared" si="20"/>
        <v>330,</v>
      </c>
      <c r="S76" s="15" t="str">
        <f t="shared" si="21"/>
        <v>0,</v>
      </c>
      <c r="T76" s="16">
        <f t="shared" si="22"/>
        <v>210</v>
      </c>
      <c r="U76" s="16" t="s">
        <v>32</v>
      </c>
      <c r="V76" s="16" t="str">
        <f t="shared" si="23"/>
        <v>75,</v>
      </c>
      <c r="W76" s="17" t="str">
        <f t="shared" si="24"/>
        <v/>
      </c>
      <c r="X76" s="17" t="str">
        <f t="shared" si="27"/>
        <v/>
      </c>
      <c r="Y76" s="17" t="str">
        <f t="shared" si="14"/>
        <v/>
      </c>
      <c r="Z76" s="17" t="s">
        <v>33</v>
      </c>
      <c r="AA76" s="17" t="str">
        <f t="shared" si="25"/>
        <v>75,</v>
      </c>
      <c r="AB76" s="17" t="s">
        <v>34</v>
      </c>
      <c r="AC76" s="18">
        <f t="shared" si="26"/>
        <v>0.873</v>
      </c>
    </row>
    <row r="77" spans="1:29" x14ac:dyDescent="0.3">
      <c r="A77" s="17">
        <v>76</v>
      </c>
      <c r="B77" s="17">
        <v>360</v>
      </c>
      <c r="C77" s="17">
        <v>0</v>
      </c>
      <c r="D77" s="17">
        <v>210</v>
      </c>
      <c r="H77" s="18">
        <v>900</v>
      </c>
      <c r="I77" s="18">
        <v>0</v>
      </c>
      <c r="J77" s="18">
        <v>0</v>
      </c>
      <c r="K77" s="18">
        <f t="shared" si="17"/>
        <v>-0.38250000000000001</v>
      </c>
      <c r="L77" s="18">
        <v>0</v>
      </c>
      <c r="M77" s="18">
        <v>0</v>
      </c>
      <c r="N77" s="18">
        <f t="shared" si="18"/>
        <v>-0.22500000000000001</v>
      </c>
      <c r="P77" s="15" t="s">
        <v>31</v>
      </c>
      <c r="Q77" s="15" t="str">
        <f t="shared" si="19"/>
        <v>76,</v>
      </c>
      <c r="R77" s="15" t="str">
        <f t="shared" si="20"/>
        <v>360,</v>
      </c>
      <c r="S77" s="15" t="str">
        <f t="shared" si="21"/>
        <v>0,</v>
      </c>
      <c r="T77" s="16">
        <f t="shared" si="22"/>
        <v>210</v>
      </c>
      <c r="U77" s="16" t="s">
        <v>32</v>
      </c>
      <c r="V77" s="16" t="str">
        <f t="shared" si="23"/>
        <v>76,</v>
      </c>
      <c r="W77" s="17" t="str">
        <f t="shared" si="24"/>
        <v/>
      </c>
      <c r="X77" s="17" t="str">
        <f t="shared" si="27"/>
        <v/>
      </c>
      <c r="Y77" s="17" t="str">
        <f t="shared" si="14"/>
        <v/>
      </c>
      <c r="Z77" s="17" t="s">
        <v>33</v>
      </c>
      <c r="AA77" s="17" t="str">
        <f t="shared" si="25"/>
        <v>76,</v>
      </c>
      <c r="AB77" s="17" t="s">
        <v>34</v>
      </c>
      <c r="AC77" s="18">
        <f t="shared" si="26"/>
        <v>0.873</v>
      </c>
    </row>
    <row r="78" spans="1:29" x14ac:dyDescent="0.3">
      <c r="A78" s="17">
        <v>77</v>
      </c>
      <c r="B78" s="17">
        <v>390</v>
      </c>
      <c r="C78" s="17">
        <v>0</v>
      </c>
      <c r="D78" s="17">
        <v>210</v>
      </c>
      <c r="H78" s="18">
        <v>900</v>
      </c>
      <c r="I78" s="18">
        <v>0</v>
      </c>
      <c r="J78" s="18">
        <v>0</v>
      </c>
      <c r="K78" s="18">
        <f t="shared" si="17"/>
        <v>-0.38250000000000001</v>
      </c>
      <c r="L78" s="18">
        <v>0</v>
      </c>
      <c r="M78" s="18">
        <v>0</v>
      </c>
      <c r="N78" s="18">
        <f t="shared" si="18"/>
        <v>-0.22500000000000001</v>
      </c>
      <c r="P78" s="15" t="s">
        <v>31</v>
      </c>
      <c r="Q78" s="15" t="str">
        <f t="shared" si="19"/>
        <v>77,</v>
      </c>
      <c r="R78" s="15" t="str">
        <f t="shared" si="20"/>
        <v>390,</v>
      </c>
      <c r="S78" s="15" t="str">
        <f t="shared" si="21"/>
        <v>0,</v>
      </c>
      <c r="T78" s="16">
        <f t="shared" si="22"/>
        <v>210</v>
      </c>
      <c r="U78" s="16" t="s">
        <v>32</v>
      </c>
      <c r="V78" s="16" t="str">
        <f t="shared" si="23"/>
        <v>77,</v>
      </c>
      <c r="W78" s="17" t="str">
        <f t="shared" si="24"/>
        <v/>
      </c>
      <c r="X78" s="17" t="str">
        <f t="shared" si="27"/>
        <v/>
      </c>
      <c r="Y78" s="17" t="str">
        <f t="shared" si="14"/>
        <v/>
      </c>
      <c r="Z78" s="17" t="s">
        <v>33</v>
      </c>
      <c r="AA78" s="17" t="str">
        <f t="shared" si="25"/>
        <v>77,</v>
      </c>
      <c r="AB78" s="17" t="s">
        <v>34</v>
      </c>
      <c r="AC78" s="18">
        <f t="shared" si="26"/>
        <v>0.873</v>
      </c>
    </row>
    <row r="79" spans="1:29" x14ac:dyDescent="0.3">
      <c r="A79" s="17">
        <v>78</v>
      </c>
      <c r="B79" s="17">
        <v>420</v>
      </c>
      <c r="C79" s="17">
        <v>0</v>
      </c>
      <c r="D79" s="17">
        <v>210</v>
      </c>
      <c r="H79" s="18">
        <v>900</v>
      </c>
      <c r="I79" s="18">
        <v>0</v>
      </c>
      <c r="J79" s="18">
        <v>0</v>
      </c>
      <c r="K79" s="18">
        <f t="shared" si="17"/>
        <v>-0.38250000000000001</v>
      </c>
      <c r="L79" s="18">
        <v>0</v>
      </c>
      <c r="M79" s="18">
        <v>0</v>
      </c>
      <c r="N79" s="18">
        <f t="shared" si="18"/>
        <v>-0.22500000000000001</v>
      </c>
      <c r="P79" s="15" t="s">
        <v>31</v>
      </c>
      <c r="Q79" s="15" t="str">
        <f t="shared" si="19"/>
        <v>78,</v>
      </c>
      <c r="R79" s="15" t="str">
        <f t="shared" si="20"/>
        <v>420,</v>
      </c>
      <c r="S79" s="15" t="str">
        <f t="shared" si="21"/>
        <v>0,</v>
      </c>
      <c r="T79" s="16">
        <f t="shared" si="22"/>
        <v>210</v>
      </c>
      <c r="U79" s="16" t="s">
        <v>32</v>
      </c>
      <c r="V79" s="16" t="str">
        <f t="shared" si="23"/>
        <v>78,</v>
      </c>
      <c r="W79" s="17" t="str">
        <f t="shared" si="24"/>
        <v/>
      </c>
      <c r="X79" s="17" t="str">
        <f t="shared" si="27"/>
        <v/>
      </c>
      <c r="Y79" s="17" t="str">
        <f t="shared" si="14"/>
        <v/>
      </c>
      <c r="Z79" s="17" t="s">
        <v>33</v>
      </c>
      <c r="AA79" s="17" t="str">
        <f t="shared" si="25"/>
        <v>78,</v>
      </c>
      <c r="AB79" s="17" t="s">
        <v>34</v>
      </c>
      <c r="AC79" s="18">
        <f t="shared" si="26"/>
        <v>0.873</v>
      </c>
    </row>
    <row r="80" spans="1:29" x14ac:dyDescent="0.3">
      <c r="A80" s="17">
        <v>79</v>
      </c>
      <c r="B80" s="17">
        <v>450</v>
      </c>
      <c r="C80" s="17">
        <v>0</v>
      </c>
      <c r="D80" s="17">
        <v>210</v>
      </c>
      <c r="H80" s="18">
        <v>900</v>
      </c>
      <c r="I80" s="18">
        <v>0</v>
      </c>
      <c r="J80" s="18">
        <v>0</v>
      </c>
      <c r="K80" s="18">
        <f t="shared" si="17"/>
        <v>-0.38250000000000001</v>
      </c>
      <c r="L80" s="18">
        <v>0</v>
      </c>
      <c r="M80" s="18">
        <v>0</v>
      </c>
      <c r="N80" s="18">
        <f t="shared" si="18"/>
        <v>-0.22500000000000001</v>
      </c>
      <c r="P80" s="15" t="s">
        <v>31</v>
      </c>
      <c r="Q80" s="15" t="str">
        <f t="shared" si="19"/>
        <v>79,</v>
      </c>
      <c r="R80" s="15" t="str">
        <f t="shared" si="20"/>
        <v>450,</v>
      </c>
      <c r="S80" s="15" t="str">
        <f t="shared" si="21"/>
        <v>0,</v>
      </c>
      <c r="T80" s="16">
        <f t="shared" si="22"/>
        <v>210</v>
      </c>
      <c r="U80" s="16" t="s">
        <v>32</v>
      </c>
      <c r="V80" s="16" t="str">
        <f t="shared" si="23"/>
        <v>79,</v>
      </c>
      <c r="W80" s="17" t="str">
        <f t="shared" si="24"/>
        <v/>
      </c>
      <c r="X80" s="17" t="str">
        <f t="shared" si="27"/>
        <v/>
      </c>
      <c r="Y80" s="17" t="str">
        <f t="shared" si="14"/>
        <v/>
      </c>
      <c r="Z80" s="17" t="s">
        <v>33</v>
      </c>
      <c r="AA80" s="17" t="str">
        <f t="shared" si="25"/>
        <v>79,</v>
      </c>
      <c r="AB80" s="17" t="s">
        <v>34</v>
      </c>
      <c r="AC80" s="18">
        <f t="shared" si="26"/>
        <v>0.873</v>
      </c>
    </row>
    <row r="81" spans="1:29" x14ac:dyDescent="0.3">
      <c r="A81" s="17">
        <v>80</v>
      </c>
      <c r="B81" s="17">
        <v>480</v>
      </c>
      <c r="C81" s="17">
        <v>0</v>
      </c>
      <c r="D81" s="17">
        <v>210</v>
      </c>
      <c r="H81" s="18">
        <v>900</v>
      </c>
      <c r="I81" s="18">
        <v>0</v>
      </c>
      <c r="J81" s="18">
        <v>0</v>
      </c>
      <c r="K81" s="18">
        <f t="shared" si="17"/>
        <v>-0.38250000000000001</v>
      </c>
      <c r="L81" s="18">
        <v>0</v>
      </c>
      <c r="M81" s="18">
        <v>0</v>
      </c>
      <c r="N81" s="18">
        <f t="shared" si="18"/>
        <v>-0.22500000000000001</v>
      </c>
      <c r="P81" s="15" t="s">
        <v>31</v>
      </c>
      <c r="Q81" s="15" t="str">
        <f t="shared" si="19"/>
        <v>80,</v>
      </c>
      <c r="R81" s="15" t="str">
        <f t="shared" si="20"/>
        <v>480,</v>
      </c>
      <c r="S81" s="15" t="str">
        <f t="shared" si="21"/>
        <v>0,</v>
      </c>
      <c r="T81" s="16">
        <f t="shared" si="22"/>
        <v>210</v>
      </c>
      <c r="U81" s="16" t="s">
        <v>32</v>
      </c>
      <c r="V81" s="16" t="str">
        <f t="shared" si="23"/>
        <v>80,</v>
      </c>
      <c r="W81" s="17" t="str">
        <f t="shared" si="24"/>
        <v/>
      </c>
      <c r="X81" s="17" t="str">
        <f t="shared" si="27"/>
        <v/>
      </c>
      <c r="Y81" s="17" t="str">
        <f t="shared" si="14"/>
        <v/>
      </c>
      <c r="Z81" s="17" t="s">
        <v>33</v>
      </c>
      <c r="AA81" s="17" t="str">
        <f t="shared" si="25"/>
        <v>80,</v>
      </c>
      <c r="AB81" s="17" t="s">
        <v>34</v>
      </c>
      <c r="AC81" s="18">
        <f t="shared" si="26"/>
        <v>0.873</v>
      </c>
    </row>
    <row r="82" spans="1:29" x14ac:dyDescent="0.3">
      <c r="A82" s="17">
        <v>81</v>
      </c>
      <c r="B82" s="17">
        <v>509.99999999999994</v>
      </c>
      <c r="C82" s="17">
        <v>0</v>
      </c>
      <c r="D82" s="17">
        <v>210</v>
      </c>
      <c r="H82" s="18">
        <v>900</v>
      </c>
      <c r="I82" s="18">
        <v>0</v>
      </c>
      <c r="J82" s="18">
        <v>0</v>
      </c>
      <c r="K82" s="18">
        <f t="shared" si="17"/>
        <v>-0.38250000000000001</v>
      </c>
      <c r="L82" s="18">
        <v>0</v>
      </c>
      <c r="M82" s="18">
        <v>0</v>
      </c>
      <c r="N82" s="18">
        <f t="shared" si="18"/>
        <v>-0.22500000000000001</v>
      </c>
      <c r="P82" s="15" t="s">
        <v>31</v>
      </c>
      <c r="Q82" s="15" t="str">
        <f t="shared" si="19"/>
        <v>81,</v>
      </c>
      <c r="R82" s="15" t="str">
        <f t="shared" si="20"/>
        <v>510,</v>
      </c>
      <c r="S82" s="15" t="str">
        <f t="shared" si="21"/>
        <v>0,</v>
      </c>
      <c r="T82" s="16">
        <f t="shared" si="22"/>
        <v>210</v>
      </c>
      <c r="U82" s="16" t="s">
        <v>32</v>
      </c>
      <c r="V82" s="16" t="str">
        <f t="shared" si="23"/>
        <v>81,</v>
      </c>
      <c r="W82" s="17" t="str">
        <f t="shared" si="24"/>
        <v/>
      </c>
      <c r="X82" s="17" t="str">
        <f t="shared" si="27"/>
        <v/>
      </c>
      <c r="Y82" s="17" t="str">
        <f t="shared" si="14"/>
        <v/>
      </c>
      <c r="Z82" s="17" t="s">
        <v>33</v>
      </c>
      <c r="AA82" s="17" t="str">
        <f t="shared" si="25"/>
        <v>81,</v>
      </c>
      <c r="AB82" s="17" t="s">
        <v>34</v>
      </c>
      <c r="AC82" s="18">
        <f t="shared" si="26"/>
        <v>0.873</v>
      </c>
    </row>
    <row r="83" spans="1:29" x14ac:dyDescent="0.3">
      <c r="A83" s="17">
        <v>82</v>
      </c>
      <c r="B83" s="17">
        <v>540</v>
      </c>
      <c r="C83" s="17">
        <v>0</v>
      </c>
      <c r="D83" s="17">
        <v>210</v>
      </c>
      <c r="H83" s="18">
        <v>900</v>
      </c>
      <c r="I83" s="18">
        <v>0</v>
      </c>
      <c r="J83" s="18">
        <v>0</v>
      </c>
      <c r="K83" s="18">
        <f t="shared" si="17"/>
        <v>-0.38250000000000001</v>
      </c>
      <c r="L83" s="18">
        <v>0</v>
      </c>
      <c r="M83" s="18">
        <v>0</v>
      </c>
      <c r="N83" s="18">
        <f t="shared" si="18"/>
        <v>-0.22500000000000001</v>
      </c>
      <c r="P83" s="15" t="s">
        <v>31</v>
      </c>
      <c r="Q83" s="15" t="str">
        <f t="shared" si="19"/>
        <v>82,</v>
      </c>
      <c r="R83" s="15" t="str">
        <f t="shared" si="20"/>
        <v>540,</v>
      </c>
      <c r="S83" s="15" t="str">
        <f t="shared" si="21"/>
        <v>0,</v>
      </c>
      <c r="T83" s="16">
        <f t="shared" si="22"/>
        <v>210</v>
      </c>
      <c r="U83" s="16" t="s">
        <v>32</v>
      </c>
      <c r="V83" s="16" t="str">
        <f t="shared" si="23"/>
        <v>82,</v>
      </c>
      <c r="W83" s="17" t="str">
        <f t="shared" si="24"/>
        <v/>
      </c>
      <c r="X83" s="17" t="str">
        <f t="shared" si="27"/>
        <v/>
      </c>
      <c r="Y83" s="17" t="str">
        <f t="shared" si="14"/>
        <v/>
      </c>
      <c r="Z83" s="17" t="s">
        <v>33</v>
      </c>
      <c r="AA83" s="17" t="str">
        <f t="shared" si="25"/>
        <v>82,</v>
      </c>
      <c r="AB83" s="17" t="s">
        <v>34</v>
      </c>
      <c r="AC83" s="18">
        <f t="shared" si="26"/>
        <v>0.873</v>
      </c>
    </row>
    <row r="84" spans="1:29" x14ac:dyDescent="0.3">
      <c r="A84" s="17">
        <v>83</v>
      </c>
      <c r="B84" s="17">
        <v>570</v>
      </c>
      <c r="C84" s="17">
        <v>0</v>
      </c>
      <c r="D84" s="17">
        <v>210</v>
      </c>
      <c r="H84" s="18">
        <v>900</v>
      </c>
      <c r="I84" s="18">
        <v>0</v>
      </c>
      <c r="J84" s="18">
        <v>0</v>
      </c>
      <c r="K84" s="18">
        <f t="shared" si="17"/>
        <v>-0.38250000000000001</v>
      </c>
      <c r="L84" s="18">
        <v>0</v>
      </c>
      <c r="M84" s="18">
        <v>0</v>
      </c>
      <c r="N84" s="18">
        <f t="shared" si="18"/>
        <v>-0.22500000000000001</v>
      </c>
      <c r="P84" s="15" t="s">
        <v>31</v>
      </c>
      <c r="Q84" s="15" t="str">
        <f t="shared" si="19"/>
        <v>83,</v>
      </c>
      <c r="R84" s="15" t="str">
        <f t="shared" si="20"/>
        <v>570,</v>
      </c>
      <c r="S84" s="15" t="str">
        <f t="shared" si="21"/>
        <v>0,</v>
      </c>
      <c r="T84" s="16">
        <f t="shared" si="22"/>
        <v>210</v>
      </c>
      <c r="U84" s="16" t="s">
        <v>32</v>
      </c>
      <c r="V84" s="16" t="str">
        <f t="shared" si="23"/>
        <v>83,</v>
      </c>
      <c r="W84" s="17" t="str">
        <f t="shared" si="24"/>
        <v/>
      </c>
      <c r="X84" s="17" t="str">
        <f t="shared" si="27"/>
        <v/>
      </c>
      <c r="Y84" s="17" t="str">
        <f t="shared" si="14"/>
        <v/>
      </c>
      <c r="Z84" s="17" t="s">
        <v>33</v>
      </c>
      <c r="AA84" s="17" t="str">
        <f t="shared" si="25"/>
        <v>83,</v>
      </c>
      <c r="AB84" s="17" t="s">
        <v>34</v>
      </c>
      <c r="AC84" s="18">
        <f t="shared" si="26"/>
        <v>0.873</v>
      </c>
    </row>
    <row r="85" spans="1:29" x14ac:dyDescent="0.3">
      <c r="A85" s="17">
        <v>84</v>
      </c>
      <c r="B85" s="17">
        <v>600</v>
      </c>
      <c r="C85" s="17">
        <v>0</v>
      </c>
      <c r="D85" s="17">
        <v>210</v>
      </c>
      <c r="E85" s="17">
        <v>0</v>
      </c>
      <c r="F85" s="17">
        <v>0</v>
      </c>
      <c r="G85" s="17">
        <v>1</v>
      </c>
      <c r="H85" s="18">
        <v>900</v>
      </c>
      <c r="I85" s="18">
        <v>0</v>
      </c>
      <c r="J85" s="18">
        <v>0</v>
      </c>
      <c r="K85" s="18">
        <f t="shared" si="17"/>
        <v>-0.38250000000000001</v>
      </c>
      <c r="L85" s="18">
        <v>0</v>
      </c>
      <c r="M85" s="18">
        <v>0</v>
      </c>
      <c r="N85" s="18">
        <f t="shared" si="18"/>
        <v>-0.22500000000000001</v>
      </c>
      <c r="P85" s="15" t="s">
        <v>31</v>
      </c>
      <c r="Q85" s="15" t="str">
        <f t="shared" si="19"/>
        <v>84,</v>
      </c>
      <c r="R85" s="15" t="str">
        <f t="shared" si="20"/>
        <v>600,</v>
      </c>
      <c r="S85" s="15" t="str">
        <f t="shared" si="21"/>
        <v>0,</v>
      </c>
      <c r="T85" s="16">
        <f t="shared" si="22"/>
        <v>210</v>
      </c>
      <c r="U85" s="16" t="s">
        <v>32</v>
      </c>
      <c r="V85" s="16" t="str">
        <f t="shared" si="23"/>
        <v>84,</v>
      </c>
      <c r="W85" s="17" t="str">
        <f t="shared" si="24"/>
        <v/>
      </c>
      <c r="X85" s="17" t="str">
        <f t="shared" si="27"/>
        <v/>
      </c>
      <c r="Y85" s="17" t="str">
        <f t="shared" si="14"/>
        <v>UY</v>
      </c>
      <c r="Z85" s="17" t="s">
        <v>33</v>
      </c>
      <c r="AA85" s="17" t="str">
        <f t="shared" si="25"/>
        <v>84,</v>
      </c>
      <c r="AB85" s="17" t="s">
        <v>34</v>
      </c>
      <c r="AC85" s="18">
        <f t="shared" si="26"/>
        <v>0.873</v>
      </c>
    </row>
    <row r="86" spans="1:29" x14ac:dyDescent="0.3">
      <c r="A86" s="17">
        <v>85</v>
      </c>
      <c r="B86" s="17">
        <v>0</v>
      </c>
      <c r="C86" s="17">
        <v>0</v>
      </c>
      <c r="D86" s="17">
        <v>180</v>
      </c>
      <c r="E86" s="17">
        <v>0</v>
      </c>
      <c r="F86" s="17">
        <v>0</v>
      </c>
      <c r="G86" s="17">
        <v>1</v>
      </c>
      <c r="H86" s="18">
        <v>900</v>
      </c>
      <c r="I86" s="18">
        <v>0</v>
      </c>
      <c r="J86" s="18">
        <v>0</v>
      </c>
      <c r="K86" s="18">
        <f t="shared" si="17"/>
        <v>-0.38250000000000001</v>
      </c>
      <c r="L86" s="18">
        <v>0</v>
      </c>
      <c r="M86" s="18">
        <v>0</v>
      </c>
      <c r="N86" s="18">
        <f t="shared" si="18"/>
        <v>-0.22500000000000001</v>
      </c>
      <c r="P86" s="15" t="s">
        <v>31</v>
      </c>
      <c r="Q86" s="15" t="str">
        <f t="shared" si="19"/>
        <v>85,</v>
      </c>
      <c r="R86" s="15" t="str">
        <f t="shared" si="20"/>
        <v>0,</v>
      </c>
      <c r="S86" s="15" t="str">
        <f t="shared" si="21"/>
        <v>0,</v>
      </c>
      <c r="T86" s="16">
        <f t="shared" si="22"/>
        <v>180</v>
      </c>
      <c r="U86" s="16" t="s">
        <v>32</v>
      </c>
      <c r="V86" s="16" t="str">
        <f t="shared" si="23"/>
        <v>85,</v>
      </c>
      <c r="W86" s="17" t="str">
        <f t="shared" si="24"/>
        <v/>
      </c>
      <c r="X86" s="17" t="str">
        <f t="shared" si="27"/>
        <v/>
      </c>
      <c r="Y86" s="17" t="str">
        <f t="shared" si="14"/>
        <v>UY</v>
      </c>
      <c r="Z86" s="17" t="s">
        <v>33</v>
      </c>
      <c r="AA86" s="17" t="str">
        <f t="shared" si="25"/>
        <v>85,</v>
      </c>
      <c r="AB86" s="17" t="s">
        <v>34</v>
      </c>
      <c r="AC86" s="18">
        <f t="shared" si="26"/>
        <v>0.873</v>
      </c>
    </row>
    <row r="87" spans="1:29" x14ac:dyDescent="0.3">
      <c r="A87" s="17">
        <v>86</v>
      </c>
      <c r="B87" s="17">
        <v>30</v>
      </c>
      <c r="C87" s="17">
        <v>0</v>
      </c>
      <c r="D87" s="17">
        <v>180</v>
      </c>
      <c r="H87" s="18">
        <v>900</v>
      </c>
      <c r="I87" s="18">
        <v>0</v>
      </c>
      <c r="J87" s="18">
        <v>0</v>
      </c>
      <c r="K87" s="18">
        <f t="shared" si="17"/>
        <v>-0.38250000000000001</v>
      </c>
      <c r="L87" s="18">
        <v>0</v>
      </c>
      <c r="M87" s="18">
        <v>0</v>
      </c>
      <c r="N87" s="18">
        <f t="shared" si="18"/>
        <v>-0.22500000000000001</v>
      </c>
      <c r="P87" s="15" t="s">
        <v>31</v>
      </c>
      <c r="Q87" s="15" t="str">
        <f t="shared" si="19"/>
        <v>86,</v>
      </c>
      <c r="R87" s="15" t="str">
        <f t="shared" si="20"/>
        <v>30,</v>
      </c>
      <c r="S87" s="15" t="str">
        <f t="shared" si="21"/>
        <v>0,</v>
      </c>
      <c r="T87" s="16">
        <f t="shared" si="22"/>
        <v>180</v>
      </c>
      <c r="U87" s="16" t="s">
        <v>32</v>
      </c>
      <c r="V87" s="16" t="str">
        <f t="shared" si="23"/>
        <v>86,</v>
      </c>
      <c r="W87" s="17" t="str">
        <f t="shared" si="24"/>
        <v/>
      </c>
      <c r="X87" s="17" t="str">
        <f t="shared" si="27"/>
        <v/>
      </c>
      <c r="Y87" s="17" t="str">
        <f t="shared" ref="Y87:Y150" si="28">IF(G87=1,"UY","")</f>
        <v/>
      </c>
      <c r="Z87" s="17" t="s">
        <v>33</v>
      </c>
      <c r="AA87" s="17" t="str">
        <f t="shared" si="25"/>
        <v>86,</v>
      </c>
      <c r="AB87" s="17" t="s">
        <v>34</v>
      </c>
      <c r="AC87" s="18">
        <f t="shared" si="26"/>
        <v>0.873</v>
      </c>
    </row>
    <row r="88" spans="1:29" x14ac:dyDescent="0.3">
      <c r="A88" s="17">
        <v>87</v>
      </c>
      <c r="B88" s="17">
        <v>60</v>
      </c>
      <c r="C88" s="17">
        <v>0</v>
      </c>
      <c r="D88" s="17">
        <v>180</v>
      </c>
      <c r="H88" s="18">
        <v>900</v>
      </c>
      <c r="I88" s="18">
        <v>0</v>
      </c>
      <c r="J88" s="18">
        <v>0</v>
      </c>
      <c r="K88" s="18">
        <f t="shared" si="17"/>
        <v>-0.38250000000000001</v>
      </c>
      <c r="L88" s="18">
        <v>0</v>
      </c>
      <c r="M88" s="18">
        <v>0</v>
      </c>
      <c r="N88" s="18">
        <f t="shared" si="18"/>
        <v>-0.22500000000000001</v>
      </c>
      <c r="P88" s="15" t="s">
        <v>31</v>
      </c>
      <c r="Q88" s="15" t="str">
        <f t="shared" si="19"/>
        <v>87,</v>
      </c>
      <c r="R88" s="15" t="str">
        <f t="shared" si="20"/>
        <v>60,</v>
      </c>
      <c r="S88" s="15" t="str">
        <f t="shared" si="21"/>
        <v>0,</v>
      </c>
      <c r="T88" s="16">
        <f t="shared" si="22"/>
        <v>180</v>
      </c>
      <c r="U88" s="16" t="s">
        <v>32</v>
      </c>
      <c r="V88" s="16" t="str">
        <f t="shared" si="23"/>
        <v>87,</v>
      </c>
      <c r="W88" s="17" t="str">
        <f t="shared" si="24"/>
        <v/>
      </c>
      <c r="X88" s="17" t="str">
        <f t="shared" si="27"/>
        <v/>
      </c>
      <c r="Y88" s="17" t="str">
        <f t="shared" si="28"/>
        <v/>
      </c>
      <c r="Z88" s="17" t="s">
        <v>33</v>
      </c>
      <c r="AA88" s="17" t="str">
        <f t="shared" si="25"/>
        <v>87,</v>
      </c>
      <c r="AB88" s="17" t="s">
        <v>34</v>
      </c>
      <c r="AC88" s="18">
        <f t="shared" si="26"/>
        <v>0.873</v>
      </c>
    </row>
    <row r="89" spans="1:29" x14ac:dyDescent="0.3">
      <c r="A89" s="17">
        <v>88</v>
      </c>
      <c r="B89" s="17">
        <v>90</v>
      </c>
      <c r="C89" s="17">
        <v>0</v>
      </c>
      <c r="D89" s="17">
        <v>180</v>
      </c>
      <c r="H89" s="18">
        <v>900</v>
      </c>
      <c r="I89" s="18">
        <v>0</v>
      </c>
      <c r="J89" s="18">
        <v>0</v>
      </c>
      <c r="K89" s="18">
        <f t="shared" si="17"/>
        <v>-0.38250000000000001</v>
      </c>
      <c r="L89" s="18">
        <v>0</v>
      </c>
      <c r="M89" s="18">
        <v>0</v>
      </c>
      <c r="N89" s="18">
        <f t="shared" si="18"/>
        <v>-0.22500000000000001</v>
      </c>
      <c r="P89" s="15" t="s">
        <v>31</v>
      </c>
      <c r="Q89" s="15" t="str">
        <f t="shared" si="19"/>
        <v>88,</v>
      </c>
      <c r="R89" s="15" t="str">
        <f t="shared" si="20"/>
        <v>90,</v>
      </c>
      <c r="S89" s="15" t="str">
        <f t="shared" si="21"/>
        <v>0,</v>
      </c>
      <c r="T89" s="16">
        <f t="shared" si="22"/>
        <v>180</v>
      </c>
      <c r="U89" s="16" t="s">
        <v>32</v>
      </c>
      <c r="V89" s="16" t="str">
        <f t="shared" si="23"/>
        <v>88,</v>
      </c>
      <c r="W89" s="17" t="str">
        <f t="shared" si="24"/>
        <v/>
      </c>
      <c r="X89" s="17" t="str">
        <f>IF(F89=1,"UZ","")</f>
        <v/>
      </c>
      <c r="Y89" s="17" t="str">
        <f t="shared" si="28"/>
        <v/>
      </c>
      <c r="Z89" s="17" t="s">
        <v>33</v>
      </c>
      <c r="AA89" s="17" t="str">
        <f t="shared" si="25"/>
        <v>88,</v>
      </c>
      <c r="AB89" s="17" t="s">
        <v>34</v>
      </c>
      <c r="AC89" s="18">
        <f t="shared" si="26"/>
        <v>0.873</v>
      </c>
    </row>
    <row r="90" spans="1:29" x14ac:dyDescent="0.3">
      <c r="A90" s="17">
        <v>89</v>
      </c>
      <c r="B90" s="17">
        <v>120</v>
      </c>
      <c r="C90" s="17">
        <v>0</v>
      </c>
      <c r="D90" s="17">
        <v>180</v>
      </c>
      <c r="H90" s="18">
        <v>900</v>
      </c>
      <c r="I90" s="18">
        <v>0</v>
      </c>
      <c r="J90" s="18">
        <v>0</v>
      </c>
      <c r="K90" s="18">
        <f t="shared" si="17"/>
        <v>-0.38250000000000001</v>
      </c>
      <c r="L90" s="18">
        <v>0</v>
      </c>
      <c r="M90" s="18">
        <v>0</v>
      </c>
      <c r="N90" s="18">
        <f t="shared" si="18"/>
        <v>-0.22500000000000001</v>
      </c>
      <c r="P90" s="15" t="s">
        <v>31</v>
      </c>
      <c r="Q90" s="15" t="str">
        <f t="shared" si="19"/>
        <v>89,</v>
      </c>
      <c r="R90" s="15" t="str">
        <f t="shared" si="20"/>
        <v>120,</v>
      </c>
      <c r="S90" s="15" t="str">
        <f t="shared" si="21"/>
        <v>0,</v>
      </c>
      <c r="T90" s="16">
        <f t="shared" si="22"/>
        <v>180</v>
      </c>
      <c r="U90" s="16" t="s">
        <v>32</v>
      </c>
      <c r="V90" s="16" t="str">
        <f t="shared" si="23"/>
        <v>89,</v>
      </c>
      <c r="W90" s="17" t="str">
        <f t="shared" si="24"/>
        <v/>
      </c>
      <c r="X90" s="17" t="str">
        <f>IF(F90=1,"UZ","")</f>
        <v/>
      </c>
      <c r="Y90" s="17" t="str">
        <f t="shared" si="28"/>
        <v/>
      </c>
      <c r="Z90" s="17" t="s">
        <v>33</v>
      </c>
      <c r="AA90" s="17" t="str">
        <f t="shared" si="25"/>
        <v>89,</v>
      </c>
      <c r="AB90" s="17" t="s">
        <v>34</v>
      </c>
      <c r="AC90" s="18">
        <f t="shared" si="26"/>
        <v>0.873</v>
      </c>
    </row>
    <row r="91" spans="1:29" x14ac:dyDescent="0.3">
      <c r="A91" s="17">
        <v>90</v>
      </c>
      <c r="B91" s="17">
        <v>150</v>
      </c>
      <c r="C91" s="17">
        <v>0</v>
      </c>
      <c r="D91" s="17">
        <v>180</v>
      </c>
      <c r="H91" s="18">
        <v>900</v>
      </c>
      <c r="I91" s="18">
        <v>0</v>
      </c>
      <c r="J91" s="18">
        <v>0</v>
      </c>
      <c r="K91" s="18">
        <f t="shared" si="17"/>
        <v>-0.38250000000000001</v>
      </c>
      <c r="L91" s="18">
        <v>0</v>
      </c>
      <c r="M91" s="18">
        <v>0</v>
      </c>
      <c r="N91" s="18">
        <f t="shared" si="18"/>
        <v>-0.22500000000000001</v>
      </c>
      <c r="P91" s="15" t="s">
        <v>31</v>
      </c>
      <c r="Q91" s="15" t="str">
        <f t="shared" si="19"/>
        <v>90,</v>
      </c>
      <c r="R91" s="15" t="str">
        <f t="shared" si="20"/>
        <v>150,</v>
      </c>
      <c r="S91" s="15" t="str">
        <f t="shared" si="21"/>
        <v>0,</v>
      </c>
      <c r="T91" s="16">
        <f t="shared" si="22"/>
        <v>180</v>
      </c>
      <c r="U91" s="16" t="s">
        <v>32</v>
      </c>
      <c r="V91" s="16" t="str">
        <f t="shared" si="23"/>
        <v>90,</v>
      </c>
      <c r="W91" s="17" t="str">
        <f t="shared" si="24"/>
        <v/>
      </c>
      <c r="X91" s="17" t="str">
        <f t="shared" ref="X91:X108" si="29">IF(F91=1,"UY","")</f>
        <v/>
      </c>
      <c r="Y91" s="17" t="str">
        <f t="shared" si="28"/>
        <v/>
      </c>
      <c r="Z91" s="17" t="s">
        <v>33</v>
      </c>
      <c r="AA91" s="17" t="str">
        <f t="shared" si="25"/>
        <v>90,</v>
      </c>
      <c r="AB91" s="17" t="s">
        <v>34</v>
      </c>
      <c r="AC91" s="18">
        <f t="shared" si="26"/>
        <v>0.873</v>
      </c>
    </row>
    <row r="92" spans="1:29" x14ac:dyDescent="0.3">
      <c r="A92" s="17">
        <v>91</v>
      </c>
      <c r="B92" s="17">
        <v>180</v>
      </c>
      <c r="C92" s="17">
        <v>0</v>
      </c>
      <c r="D92" s="17">
        <v>180</v>
      </c>
      <c r="H92" s="18">
        <v>900</v>
      </c>
      <c r="I92" s="18">
        <v>0</v>
      </c>
      <c r="J92" s="18">
        <v>0</v>
      </c>
      <c r="K92" s="18">
        <f t="shared" si="17"/>
        <v>-0.38250000000000001</v>
      </c>
      <c r="L92" s="18">
        <v>0</v>
      </c>
      <c r="M92" s="18">
        <v>0</v>
      </c>
      <c r="N92" s="18">
        <f t="shared" si="18"/>
        <v>-0.22500000000000001</v>
      </c>
      <c r="P92" s="15" t="s">
        <v>31</v>
      </c>
      <c r="Q92" s="15" t="str">
        <f t="shared" si="19"/>
        <v>91,</v>
      </c>
      <c r="R92" s="15" t="str">
        <f t="shared" si="20"/>
        <v>180,</v>
      </c>
      <c r="S92" s="15" t="str">
        <f t="shared" si="21"/>
        <v>0,</v>
      </c>
      <c r="T92" s="16">
        <f t="shared" si="22"/>
        <v>180</v>
      </c>
      <c r="U92" s="16" t="s">
        <v>32</v>
      </c>
      <c r="V92" s="16" t="str">
        <f t="shared" si="23"/>
        <v>91,</v>
      </c>
      <c r="W92" s="17" t="str">
        <f t="shared" si="24"/>
        <v/>
      </c>
      <c r="X92" s="17" t="str">
        <f t="shared" si="29"/>
        <v/>
      </c>
      <c r="Y92" s="17" t="str">
        <f t="shared" si="28"/>
        <v/>
      </c>
      <c r="Z92" s="17" t="s">
        <v>33</v>
      </c>
      <c r="AA92" s="17" t="str">
        <f t="shared" si="25"/>
        <v>91,</v>
      </c>
      <c r="AB92" s="17" t="s">
        <v>34</v>
      </c>
      <c r="AC92" s="18">
        <f t="shared" si="26"/>
        <v>0.873</v>
      </c>
    </row>
    <row r="93" spans="1:29" x14ac:dyDescent="0.3">
      <c r="A93" s="17">
        <v>92</v>
      </c>
      <c r="B93" s="17">
        <v>210</v>
      </c>
      <c r="C93" s="17">
        <v>0</v>
      </c>
      <c r="D93" s="17">
        <v>180</v>
      </c>
      <c r="H93" s="18">
        <v>900</v>
      </c>
      <c r="I93" s="18">
        <v>0</v>
      </c>
      <c r="J93" s="18">
        <v>0</v>
      </c>
      <c r="K93" s="18">
        <f t="shared" si="17"/>
        <v>-0.38250000000000001</v>
      </c>
      <c r="L93" s="18">
        <v>0</v>
      </c>
      <c r="M93" s="18">
        <v>0</v>
      </c>
      <c r="N93" s="18">
        <f t="shared" si="18"/>
        <v>-0.22500000000000001</v>
      </c>
      <c r="P93" s="15" t="s">
        <v>31</v>
      </c>
      <c r="Q93" s="15" t="str">
        <f t="shared" si="19"/>
        <v>92,</v>
      </c>
      <c r="R93" s="15" t="str">
        <f t="shared" si="20"/>
        <v>210,</v>
      </c>
      <c r="S93" s="15" t="str">
        <f t="shared" si="21"/>
        <v>0,</v>
      </c>
      <c r="T93" s="16">
        <f t="shared" si="22"/>
        <v>180</v>
      </c>
      <c r="U93" s="16" t="s">
        <v>32</v>
      </c>
      <c r="V93" s="16" t="str">
        <f t="shared" si="23"/>
        <v>92,</v>
      </c>
      <c r="W93" s="17" t="str">
        <f t="shared" si="24"/>
        <v/>
      </c>
      <c r="X93" s="17" t="str">
        <f t="shared" si="29"/>
        <v/>
      </c>
      <c r="Y93" s="17" t="str">
        <f t="shared" si="28"/>
        <v/>
      </c>
      <c r="Z93" s="17" t="s">
        <v>33</v>
      </c>
      <c r="AA93" s="17" t="str">
        <f t="shared" si="25"/>
        <v>92,</v>
      </c>
      <c r="AB93" s="17" t="s">
        <v>34</v>
      </c>
      <c r="AC93" s="18">
        <f t="shared" si="26"/>
        <v>0.873</v>
      </c>
    </row>
    <row r="94" spans="1:29" x14ac:dyDescent="0.3">
      <c r="A94" s="17">
        <v>93</v>
      </c>
      <c r="B94" s="17">
        <v>240</v>
      </c>
      <c r="C94" s="17">
        <v>0</v>
      </c>
      <c r="D94" s="17">
        <v>180</v>
      </c>
      <c r="H94" s="18">
        <v>900</v>
      </c>
      <c r="I94" s="18">
        <v>0</v>
      </c>
      <c r="J94" s="18">
        <v>0</v>
      </c>
      <c r="K94" s="18">
        <f t="shared" si="17"/>
        <v>-0.38250000000000001</v>
      </c>
      <c r="L94" s="18">
        <v>0</v>
      </c>
      <c r="M94" s="18">
        <v>0</v>
      </c>
      <c r="N94" s="18">
        <f t="shared" si="18"/>
        <v>-0.22500000000000001</v>
      </c>
      <c r="P94" s="15" t="s">
        <v>31</v>
      </c>
      <c r="Q94" s="15" t="str">
        <f t="shared" si="19"/>
        <v>93,</v>
      </c>
      <c r="R94" s="15" t="str">
        <f t="shared" si="20"/>
        <v>240,</v>
      </c>
      <c r="S94" s="15" t="str">
        <f t="shared" si="21"/>
        <v>0,</v>
      </c>
      <c r="T94" s="16">
        <f t="shared" si="22"/>
        <v>180</v>
      </c>
      <c r="U94" s="16" t="s">
        <v>32</v>
      </c>
      <c r="V94" s="16" t="str">
        <f t="shared" si="23"/>
        <v>93,</v>
      </c>
      <c r="W94" s="17" t="str">
        <f t="shared" si="24"/>
        <v/>
      </c>
      <c r="X94" s="17" t="str">
        <f t="shared" si="29"/>
        <v/>
      </c>
      <c r="Y94" s="17" t="str">
        <f t="shared" si="28"/>
        <v/>
      </c>
      <c r="Z94" s="17" t="s">
        <v>33</v>
      </c>
      <c r="AA94" s="17" t="str">
        <f t="shared" si="25"/>
        <v>93,</v>
      </c>
      <c r="AB94" s="17" t="s">
        <v>34</v>
      </c>
      <c r="AC94" s="18">
        <f t="shared" si="26"/>
        <v>0.873</v>
      </c>
    </row>
    <row r="95" spans="1:29" x14ac:dyDescent="0.3">
      <c r="A95" s="17">
        <v>94</v>
      </c>
      <c r="B95" s="17">
        <v>270</v>
      </c>
      <c r="C95" s="17">
        <v>0</v>
      </c>
      <c r="D95" s="17">
        <v>180</v>
      </c>
      <c r="H95" s="18">
        <v>900</v>
      </c>
      <c r="I95" s="18">
        <v>0</v>
      </c>
      <c r="J95" s="18">
        <v>0</v>
      </c>
      <c r="K95" s="18">
        <f t="shared" si="17"/>
        <v>-0.38250000000000001</v>
      </c>
      <c r="L95" s="18">
        <v>0</v>
      </c>
      <c r="M95" s="18">
        <v>0</v>
      </c>
      <c r="N95" s="18">
        <f t="shared" si="18"/>
        <v>-0.22500000000000001</v>
      </c>
      <c r="P95" s="15" t="s">
        <v>31</v>
      </c>
      <c r="Q95" s="15" t="str">
        <f t="shared" si="19"/>
        <v>94,</v>
      </c>
      <c r="R95" s="15" t="str">
        <f t="shared" si="20"/>
        <v>270,</v>
      </c>
      <c r="S95" s="15" t="str">
        <f t="shared" si="21"/>
        <v>0,</v>
      </c>
      <c r="T95" s="16">
        <f t="shared" si="22"/>
        <v>180</v>
      </c>
      <c r="U95" s="16" t="s">
        <v>32</v>
      </c>
      <c r="V95" s="16" t="str">
        <f t="shared" si="23"/>
        <v>94,</v>
      </c>
      <c r="W95" s="17" t="str">
        <f t="shared" si="24"/>
        <v/>
      </c>
      <c r="X95" s="17" t="str">
        <f t="shared" si="29"/>
        <v/>
      </c>
      <c r="Y95" s="17" t="str">
        <f t="shared" si="28"/>
        <v/>
      </c>
      <c r="Z95" s="17" t="s">
        <v>33</v>
      </c>
      <c r="AA95" s="17" t="str">
        <f t="shared" si="25"/>
        <v>94,</v>
      </c>
      <c r="AB95" s="17" t="s">
        <v>34</v>
      </c>
      <c r="AC95" s="18">
        <f t="shared" si="26"/>
        <v>0.873</v>
      </c>
    </row>
    <row r="96" spans="1:29" x14ac:dyDescent="0.3">
      <c r="A96" s="17">
        <v>95</v>
      </c>
      <c r="B96" s="17">
        <v>300</v>
      </c>
      <c r="C96" s="17">
        <v>0</v>
      </c>
      <c r="D96" s="17">
        <v>180</v>
      </c>
      <c r="H96" s="18">
        <v>900</v>
      </c>
      <c r="I96" s="18">
        <v>0</v>
      </c>
      <c r="J96" s="18">
        <v>0</v>
      </c>
      <c r="K96" s="18">
        <f t="shared" si="17"/>
        <v>-0.38250000000000001</v>
      </c>
      <c r="L96" s="18">
        <v>0</v>
      </c>
      <c r="M96" s="18">
        <v>0</v>
      </c>
      <c r="N96" s="18">
        <f t="shared" si="18"/>
        <v>-0.22500000000000001</v>
      </c>
      <c r="P96" s="15" t="s">
        <v>31</v>
      </c>
      <c r="Q96" s="15" t="str">
        <f t="shared" si="19"/>
        <v>95,</v>
      </c>
      <c r="R96" s="15" t="str">
        <f t="shared" si="20"/>
        <v>300,</v>
      </c>
      <c r="S96" s="15" t="str">
        <f t="shared" si="21"/>
        <v>0,</v>
      </c>
      <c r="T96" s="16">
        <f t="shared" si="22"/>
        <v>180</v>
      </c>
      <c r="U96" s="16" t="s">
        <v>32</v>
      </c>
      <c r="V96" s="16" t="str">
        <f t="shared" si="23"/>
        <v>95,</v>
      </c>
      <c r="W96" s="17" t="str">
        <f t="shared" si="24"/>
        <v/>
      </c>
      <c r="X96" s="17" t="str">
        <f t="shared" si="29"/>
        <v/>
      </c>
      <c r="Y96" s="17" t="str">
        <f t="shared" si="28"/>
        <v/>
      </c>
      <c r="Z96" s="17" t="s">
        <v>33</v>
      </c>
      <c r="AA96" s="17" t="str">
        <f t="shared" si="25"/>
        <v>95,</v>
      </c>
      <c r="AB96" s="17" t="s">
        <v>34</v>
      </c>
      <c r="AC96" s="18">
        <f t="shared" si="26"/>
        <v>0.873</v>
      </c>
    </row>
    <row r="97" spans="1:29" x14ac:dyDescent="0.3">
      <c r="A97" s="17">
        <v>96</v>
      </c>
      <c r="B97" s="17">
        <v>330</v>
      </c>
      <c r="C97" s="17">
        <v>0</v>
      </c>
      <c r="D97" s="17">
        <v>180</v>
      </c>
      <c r="H97" s="18">
        <v>900</v>
      </c>
      <c r="I97" s="18">
        <v>0</v>
      </c>
      <c r="J97" s="18">
        <v>0</v>
      </c>
      <c r="K97" s="18">
        <f t="shared" si="17"/>
        <v>-0.38250000000000001</v>
      </c>
      <c r="L97" s="18">
        <v>0</v>
      </c>
      <c r="M97" s="18">
        <v>0</v>
      </c>
      <c r="N97" s="18">
        <f t="shared" si="18"/>
        <v>-0.22500000000000001</v>
      </c>
      <c r="P97" s="15" t="s">
        <v>31</v>
      </c>
      <c r="Q97" s="15" t="str">
        <f t="shared" si="19"/>
        <v>96,</v>
      </c>
      <c r="R97" s="15" t="str">
        <f t="shared" si="20"/>
        <v>330,</v>
      </c>
      <c r="S97" s="15" t="str">
        <f t="shared" si="21"/>
        <v>0,</v>
      </c>
      <c r="T97" s="16">
        <f t="shared" si="22"/>
        <v>180</v>
      </c>
      <c r="U97" s="16" t="s">
        <v>32</v>
      </c>
      <c r="V97" s="16" t="str">
        <f t="shared" si="23"/>
        <v>96,</v>
      </c>
      <c r="W97" s="17" t="str">
        <f t="shared" si="24"/>
        <v/>
      </c>
      <c r="X97" s="17" t="str">
        <f t="shared" si="29"/>
        <v/>
      </c>
      <c r="Y97" s="17" t="str">
        <f t="shared" si="28"/>
        <v/>
      </c>
      <c r="Z97" s="17" t="s">
        <v>33</v>
      </c>
      <c r="AA97" s="17" t="str">
        <f t="shared" si="25"/>
        <v>96,</v>
      </c>
      <c r="AB97" s="17" t="s">
        <v>34</v>
      </c>
      <c r="AC97" s="18">
        <f t="shared" si="26"/>
        <v>0.873</v>
      </c>
    </row>
    <row r="98" spans="1:29" x14ac:dyDescent="0.3">
      <c r="A98" s="17">
        <v>97</v>
      </c>
      <c r="B98" s="17">
        <v>360</v>
      </c>
      <c r="C98" s="17">
        <v>0</v>
      </c>
      <c r="D98" s="17">
        <v>180</v>
      </c>
      <c r="H98" s="18">
        <v>900</v>
      </c>
      <c r="I98" s="18">
        <v>0</v>
      </c>
      <c r="J98" s="18">
        <v>0</v>
      </c>
      <c r="K98" s="18">
        <f t="shared" si="17"/>
        <v>-0.38250000000000001</v>
      </c>
      <c r="L98" s="18">
        <v>0</v>
      </c>
      <c r="M98" s="18">
        <v>0</v>
      </c>
      <c r="N98" s="18">
        <f t="shared" si="18"/>
        <v>-0.22500000000000001</v>
      </c>
      <c r="P98" s="15" t="s">
        <v>31</v>
      </c>
      <c r="Q98" s="15" t="str">
        <f t="shared" si="19"/>
        <v>97,</v>
      </c>
      <c r="R98" s="15" t="str">
        <f t="shared" si="20"/>
        <v>360,</v>
      </c>
      <c r="S98" s="15" t="str">
        <f t="shared" si="21"/>
        <v>0,</v>
      </c>
      <c r="T98" s="16">
        <f t="shared" si="22"/>
        <v>180</v>
      </c>
      <c r="U98" s="16" t="s">
        <v>32</v>
      </c>
      <c r="V98" s="16" t="str">
        <f t="shared" si="23"/>
        <v>97,</v>
      </c>
      <c r="W98" s="17" t="str">
        <f t="shared" si="24"/>
        <v/>
      </c>
      <c r="X98" s="17" t="str">
        <f t="shared" si="29"/>
        <v/>
      </c>
      <c r="Y98" s="17" t="str">
        <f t="shared" si="28"/>
        <v/>
      </c>
      <c r="Z98" s="17" t="s">
        <v>33</v>
      </c>
      <c r="AA98" s="17" t="str">
        <f t="shared" si="25"/>
        <v>97,</v>
      </c>
      <c r="AB98" s="17" t="s">
        <v>34</v>
      </c>
      <c r="AC98" s="18">
        <f t="shared" si="26"/>
        <v>0.873</v>
      </c>
    </row>
    <row r="99" spans="1:29" x14ac:dyDescent="0.3">
      <c r="A99" s="17">
        <v>98</v>
      </c>
      <c r="B99" s="17">
        <v>390</v>
      </c>
      <c r="C99" s="17">
        <v>0</v>
      </c>
      <c r="D99" s="17">
        <v>180</v>
      </c>
      <c r="H99" s="18">
        <v>900</v>
      </c>
      <c r="I99" s="18">
        <v>0</v>
      </c>
      <c r="J99" s="18">
        <v>0</v>
      </c>
      <c r="K99" s="18">
        <f t="shared" si="17"/>
        <v>-0.38250000000000001</v>
      </c>
      <c r="L99" s="18">
        <v>0</v>
      </c>
      <c r="M99" s="18">
        <v>0</v>
      </c>
      <c r="N99" s="18">
        <f t="shared" si="18"/>
        <v>-0.22500000000000001</v>
      </c>
      <c r="P99" s="15" t="s">
        <v>31</v>
      </c>
      <c r="Q99" s="15" t="str">
        <f t="shared" si="19"/>
        <v>98,</v>
      </c>
      <c r="R99" s="15" t="str">
        <f t="shared" si="20"/>
        <v>390,</v>
      </c>
      <c r="S99" s="15" t="str">
        <f t="shared" si="21"/>
        <v>0,</v>
      </c>
      <c r="T99" s="16">
        <f t="shared" si="22"/>
        <v>180</v>
      </c>
      <c r="U99" s="16" t="s">
        <v>32</v>
      </c>
      <c r="V99" s="16" t="str">
        <f t="shared" si="23"/>
        <v>98,</v>
      </c>
      <c r="W99" s="17" t="str">
        <f t="shared" si="24"/>
        <v/>
      </c>
      <c r="X99" s="17" t="str">
        <f t="shared" si="29"/>
        <v/>
      </c>
      <c r="Y99" s="17" t="str">
        <f t="shared" si="28"/>
        <v/>
      </c>
      <c r="Z99" s="17" t="s">
        <v>33</v>
      </c>
      <c r="AA99" s="17" t="str">
        <f t="shared" si="25"/>
        <v>98,</v>
      </c>
      <c r="AB99" s="17" t="s">
        <v>34</v>
      </c>
      <c r="AC99" s="18">
        <f t="shared" si="26"/>
        <v>0.873</v>
      </c>
    </row>
    <row r="100" spans="1:29" x14ac:dyDescent="0.3">
      <c r="A100" s="17">
        <v>99</v>
      </c>
      <c r="B100" s="17">
        <v>420</v>
      </c>
      <c r="C100" s="17">
        <v>0</v>
      </c>
      <c r="D100" s="17">
        <v>180</v>
      </c>
      <c r="H100" s="18">
        <v>900</v>
      </c>
      <c r="I100" s="18">
        <v>0</v>
      </c>
      <c r="J100" s="18">
        <v>0</v>
      </c>
      <c r="K100" s="18">
        <f t="shared" si="17"/>
        <v>-0.38250000000000001</v>
      </c>
      <c r="L100" s="18">
        <v>0</v>
      </c>
      <c r="M100" s="18">
        <v>0</v>
      </c>
      <c r="N100" s="18">
        <f t="shared" si="18"/>
        <v>-0.22500000000000001</v>
      </c>
      <c r="P100" s="15" t="s">
        <v>31</v>
      </c>
      <c r="Q100" s="15" t="str">
        <f t="shared" si="19"/>
        <v>99,</v>
      </c>
      <c r="R100" s="15" t="str">
        <f t="shared" si="20"/>
        <v>420,</v>
      </c>
      <c r="S100" s="15" t="str">
        <f t="shared" si="21"/>
        <v>0,</v>
      </c>
      <c r="T100" s="16">
        <f t="shared" si="22"/>
        <v>180</v>
      </c>
      <c r="U100" s="16" t="s">
        <v>32</v>
      </c>
      <c r="V100" s="16" t="str">
        <f t="shared" si="23"/>
        <v>99,</v>
      </c>
      <c r="W100" s="17" t="str">
        <f t="shared" si="24"/>
        <v/>
      </c>
      <c r="X100" s="17" t="str">
        <f t="shared" si="29"/>
        <v/>
      </c>
      <c r="Y100" s="17" t="str">
        <f t="shared" si="28"/>
        <v/>
      </c>
      <c r="Z100" s="17" t="s">
        <v>33</v>
      </c>
      <c r="AA100" s="17" t="str">
        <f t="shared" si="25"/>
        <v>99,</v>
      </c>
      <c r="AB100" s="17" t="s">
        <v>34</v>
      </c>
      <c r="AC100" s="18">
        <f t="shared" si="26"/>
        <v>0.873</v>
      </c>
    </row>
    <row r="101" spans="1:29" x14ac:dyDescent="0.3">
      <c r="A101" s="17">
        <v>100</v>
      </c>
      <c r="B101" s="17">
        <v>450</v>
      </c>
      <c r="C101" s="17">
        <v>0</v>
      </c>
      <c r="D101" s="17">
        <v>180</v>
      </c>
      <c r="H101" s="18">
        <v>900</v>
      </c>
      <c r="I101" s="18">
        <v>0</v>
      </c>
      <c r="J101" s="18">
        <v>0</v>
      </c>
      <c r="K101" s="18">
        <f t="shared" si="17"/>
        <v>-0.38250000000000001</v>
      </c>
      <c r="L101" s="18">
        <v>0</v>
      </c>
      <c r="M101" s="18">
        <v>0</v>
      </c>
      <c r="N101" s="18">
        <f t="shared" si="18"/>
        <v>-0.22500000000000001</v>
      </c>
      <c r="P101" s="15" t="s">
        <v>31</v>
      </c>
      <c r="Q101" s="15" t="str">
        <f t="shared" si="19"/>
        <v>100,</v>
      </c>
      <c r="R101" s="15" t="str">
        <f t="shared" si="20"/>
        <v>450,</v>
      </c>
      <c r="S101" s="15" t="str">
        <f t="shared" si="21"/>
        <v>0,</v>
      </c>
      <c r="T101" s="16">
        <f t="shared" si="22"/>
        <v>180</v>
      </c>
      <c r="U101" s="16" t="s">
        <v>32</v>
      </c>
      <c r="V101" s="16" t="str">
        <f t="shared" si="23"/>
        <v>100,</v>
      </c>
      <c r="W101" s="17" t="str">
        <f t="shared" si="24"/>
        <v/>
      </c>
      <c r="X101" s="17" t="str">
        <f t="shared" si="29"/>
        <v/>
      </c>
      <c r="Y101" s="17" t="str">
        <f t="shared" si="28"/>
        <v/>
      </c>
      <c r="Z101" s="17" t="s">
        <v>33</v>
      </c>
      <c r="AA101" s="17" t="str">
        <f t="shared" si="25"/>
        <v>100,</v>
      </c>
      <c r="AB101" s="17" t="s">
        <v>34</v>
      </c>
      <c r="AC101" s="18">
        <f t="shared" si="26"/>
        <v>0.873</v>
      </c>
    </row>
    <row r="102" spans="1:29" x14ac:dyDescent="0.3">
      <c r="A102" s="17">
        <v>101</v>
      </c>
      <c r="B102" s="17">
        <v>480</v>
      </c>
      <c r="C102" s="17">
        <v>0</v>
      </c>
      <c r="D102" s="17">
        <v>180</v>
      </c>
      <c r="H102" s="18">
        <v>900</v>
      </c>
      <c r="I102" s="18">
        <v>0</v>
      </c>
      <c r="J102" s="18">
        <v>0</v>
      </c>
      <c r="K102" s="18">
        <f t="shared" si="17"/>
        <v>-0.38250000000000001</v>
      </c>
      <c r="L102" s="18">
        <v>0</v>
      </c>
      <c r="M102" s="18">
        <v>0</v>
      </c>
      <c r="N102" s="18">
        <f t="shared" si="18"/>
        <v>-0.22500000000000001</v>
      </c>
      <c r="P102" s="15" t="s">
        <v>31</v>
      </c>
      <c r="Q102" s="15" t="str">
        <f t="shared" si="19"/>
        <v>101,</v>
      </c>
      <c r="R102" s="15" t="str">
        <f t="shared" si="20"/>
        <v>480,</v>
      </c>
      <c r="S102" s="15" t="str">
        <f t="shared" si="21"/>
        <v>0,</v>
      </c>
      <c r="T102" s="16">
        <f t="shared" si="22"/>
        <v>180</v>
      </c>
      <c r="U102" s="16" t="s">
        <v>32</v>
      </c>
      <c r="V102" s="16" t="str">
        <f t="shared" si="23"/>
        <v>101,</v>
      </c>
      <c r="W102" s="17" t="str">
        <f t="shared" si="24"/>
        <v/>
      </c>
      <c r="X102" s="17" t="str">
        <f t="shared" si="29"/>
        <v/>
      </c>
      <c r="Y102" s="17" t="str">
        <f t="shared" si="28"/>
        <v/>
      </c>
      <c r="Z102" s="17" t="s">
        <v>33</v>
      </c>
      <c r="AA102" s="17" t="str">
        <f t="shared" si="25"/>
        <v>101,</v>
      </c>
      <c r="AB102" s="17" t="s">
        <v>34</v>
      </c>
      <c r="AC102" s="18">
        <f t="shared" si="26"/>
        <v>0.873</v>
      </c>
    </row>
    <row r="103" spans="1:29" x14ac:dyDescent="0.3">
      <c r="A103" s="17">
        <v>102</v>
      </c>
      <c r="B103" s="17">
        <v>509.99999999999994</v>
      </c>
      <c r="C103" s="17">
        <v>0</v>
      </c>
      <c r="D103" s="17">
        <v>180</v>
      </c>
      <c r="H103" s="18">
        <v>900</v>
      </c>
      <c r="I103" s="18">
        <v>0</v>
      </c>
      <c r="J103" s="18">
        <v>0</v>
      </c>
      <c r="K103" s="18">
        <f t="shared" si="17"/>
        <v>-0.38250000000000001</v>
      </c>
      <c r="L103" s="18">
        <v>0</v>
      </c>
      <c r="M103" s="18">
        <v>0</v>
      </c>
      <c r="N103" s="18">
        <f t="shared" si="18"/>
        <v>-0.22500000000000001</v>
      </c>
      <c r="P103" s="15" t="s">
        <v>31</v>
      </c>
      <c r="Q103" s="15" t="str">
        <f t="shared" si="19"/>
        <v>102,</v>
      </c>
      <c r="R103" s="15" t="str">
        <f t="shared" si="20"/>
        <v>510,</v>
      </c>
      <c r="S103" s="15" t="str">
        <f t="shared" si="21"/>
        <v>0,</v>
      </c>
      <c r="T103" s="16">
        <f t="shared" si="22"/>
        <v>180</v>
      </c>
      <c r="U103" s="16" t="s">
        <v>32</v>
      </c>
      <c r="V103" s="16" t="str">
        <f t="shared" si="23"/>
        <v>102,</v>
      </c>
      <c r="W103" s="17" t="str">
        <f t="shared" si="24"/>
        <v/>
      </c>
      <c r="X103" s="17" t="str">
        <f t="shared" si="29"/>
        <v/>
      </c>
      <c r="Y103" s="17" t="str">
        <f t="shared" si="28"/>
        <v/>
      </c>
      <c r="Z103" s="17" t="s">
        <v>33</v>
      </c>
      <c r="AA103" s="17" t="str">
        <f t="shared" si="25"/>
        <v>102,</v>
      </c>
      <c r="AB103" s="17" t="s">
        <v>34</v>
      </c>
      <c r="AC103" s="18">
        <f t="shared" si="26"/>
        <v>0.873</v>
      </c>
    </row>
    <row r="104" spans="1:29" x14ac:dyDescent="0.3">
      <c r="A104" s="17">
        <v>103</v>
      </c>
      <c r="B104" s="17">
        <v>540</v>
      </c>
      <c r="C104" s="17">
        <v>0</v>
      </c>
      <c r="D104" s="17">
        <v>180</v>
      </c>
      <c r="H104" s="18">
        <v>900</v>
      </c>
      <c r="I104" s="18">
        <v>0</v>
      </c>
      <c r="J104" s="18">
        <v>0</v>
      </c>
      <c r="K104" s="18">
        <f t="shared" si="17"/>
        <v>-0.38250000000000001</v>
      </c>
      <c r="L104" s="18">
        <v>0</v>
      </c>
      <c r="M104" s="18">
        <v>0</v>
      </c>
      <c r="N104" s="18">
        <f t="shared" si="18"/>
        <v>-0.22500000000000001</v>
      </c>
      <c r="P104" s="15" t="s">
        <v>31</v>
      </c>
      <c r="Q104" s="15" t="str">
        <f t="shared" si="19"/>
        <v>103,</v>
      </c>
      <c r="R104" s="15" t="str">
        <f t="shared" si="20"/>
        <v>540,</v>
      </c>
      <c r="S104" s="15" t="str">
        <f t="shared" si="21"/>
        <v>0,</v>
      </c>
      <c r="T104" s="16">
        <f t="shared" si="22"/>
        <v>180</v>
      </c>
      <c r="U104" s="16" t="s">
        <v>32</v>
      </c>
      <c r="V104" s="16" t="str">
        <f t="shared" si="23"/>
        <v>103,</v>
      </c>
      <c r="W104" s="17" t="str">
        <f t="shared" si="24"/>
        <v/>
      </c>
      <c r="X104" s="17" t="str">
        <f t="shared" si="29"/>
        <v/>
      </c>
      <c r="Y104" s="17" t="str">
        <f t="shared" si="28"/>
        <v/>
      </c>
      <c r="Z104" s="17" t="s">
        <v>33</v>
      </c>
      <c r="AA104" s="17" t="str">
        <f t="shared" si="25"/>
        <v>103,</v>
      </c>
      <c r="AB104" s="17" t="s">
        <v>34</v>
      </c>
      <c r="AC104" s="18">
        <f t="shared" si="26"/>
        <v>0.873</v>
      </c>
    </row>
    <row r="105" spans="1:29" x14ac:dyDescent="0.3">
      <c r="A105" s="17">
        <v>104</v>
      </c>
      <c r="B105" s="17">
        <v>570</v>
      </c>
      <c r="C105" s="17">
        <v>0</v>
      </c>
      <c r="D105" s="17">
        <v>180</v>
      </c>
      <c r="H105" s="18">
        <v>900</v>
      </c>
      <c r="I105" s="18">
        <v>0</v>
      </c>
      <c r="J105" s="18">
        <v>0</v>
      </c>
      <c r="K105" s="18">
        <f t="shared" si="17"/>
        <v>-0.38250000000000001</v>
      </c>
      <c r="L105" s="18">
        <v>0</v>
      </c>
      <c r="M105" s="18">
        <v>0</v>
      </c>
      <c r="N105" s="18">
        <f t="shared" si="18"/>
        <v>-0.22500000000000001</v>
      </c>
      <c r="P105" s="15" t="s">
        <v>31</v>
      </c>
      <c r="Q105" s="15" t="str">
        <f t="shared" si="19"/>
        <v>104,</v>
      </c>
      <c r="R105" s="15" t="str">
        <f t="shared" si="20"/>
        <v>570,</v>
      </c>
      <c r="S105" s="15" t="str">
        <f t="shared" si="21"/>
        <v>0,</v>
      </c>
      <c r="T105" s="16">
        <f t="shared" si="22"/>
        <v>180</v>
      </c>
      <c r="U105" s="16" t="s">
        <v>32</v>
      </c>
      <c r="V105" s="16" t="str">
        <f t="shared" si="23"/>
        <v>104,</v>
      </c>
      <c r="W105" s="17" t="str">
        <f t="shared" si="24"/>
        <v/>
      </c>
      <c r="X105" s="17" t="str">
        <f t="shared" si="29"/>
        <v/>
      </c>
      <c r="Y105" s="17" t="str">
        <f t="shared" si="28"/>
        <v/>
      </c>
      <c r="Z105" s="17" t="s">
        <v>33</v>
      </c>
      <c r="AA105" s="17" t="str">
        <f t="shared" si="25"/>
        <v>104,</v>
      </c>
      <c r="AB105" s="17" t="s">
        <v>34</v>
      </c>
      <c r="AC105" s="18">
        <f t="shared" si="26"/>
        <v>0.873</v>
      </c>
    </row>
    <row r="106" spans="1:29" x14ac:dyDescent="0.3">
      <c r="A106" s="17">
        <v>105</v>
      </c>
      <c r="B106" s="17">
        <v>600</v>
      </c>
      <c r="C106" s="17">
        <v>0</v>
      </c>
      <c r="D106" s="17">
        <v>180</v>
      </c>
      <c r="E106" s="17">
        <v>0</v>
      </c>
      <c r="F106" s="17">
        <v>0</v>
      </c>
      <c r="G106" s="17">
        <v>1</v>
      </c>
      <c r="H106" s="18">
        <v>900</v>
      </c>
      <c r="I106" s="18">
        <v>0</v>
      </c>
      <c r="J106" s="18">
        <v>0</v>
      </c>
      <c r="K106" s="18">
        <f t="shared" si="17"/>
        <v>-0.38250000000000001</v>
      </c>
      <c r="L106" s="18">
        <v>0</v>
      </c>
      <c r="M106" s="18">
        <v>0</v>
      </c>
      <c r="N106" s="18">
        <f t="shared" si="18"/>
        <v>-0.22500000000000001</v>
      </c>
      <c r="P106" s="15" t="s">
        <v>31</v>
      </c>
      <c r="Q106" s="15" t="str">
        <f t="shared" si="19"/>
        <v>105,</v>
      </c>
      <c r="R106" s="15" t="str">
        <f t="shared" si="20"/>
        <v>600,</v>
      </c>
      <c r="S106" s="15" t="str">
        <f t="shared" si="21"/>
        <v>0,</v>
      </c>
      <c r="T106" s="16">
        <f t="shared" si="22"/>
        <v>180</v>
      </c>
      <c r="U106" s="16" t="s">
        <v>32</v>
      </c>
      <c r="V106" s="16" t="str">
        <f t="shared" si="23"/>
        <v>105,</v>
      </c>
      <c r="W106" s="17" t="str">
        <f t="shared" si="24"/>
        <v/>
      </c>
      <c r="X106" s="17" t="str">
        <f t="shared" si="29"/>
        <v/>
      </c>
      <c r="Y106" s="17" t="str">
        <f t="shared" si="28"/>
        <v>UY</v>
      </c>
      <c r="Z106" s="17" t="s">
        <v>33</v>
      </c>
      <c r="AA106" s="17" t="str">
        <f t="shared" si="25"/>
        <v>105,</v>
      </c>
      <c r="AB106" s="17" t="s">
        <v>34</v>
      </c>
      <c r="AC106" s="18">
        <f t="shared" si="26"/>
        <v>0.873</v>
      </c>
    </row>
    <row r="107" spans="1:29" x14ac:dyDescent="0.3">
      <c r="A107" s="17">
        <v>106</v>
      </c>
      <c r="B107" s="17">
        <v>0</v>
      </c>
      <c r="C107" s="17">
        <v>0</v>
      </c>
      <c r="D107" s="17">
        <v>150</v>
      </c>
      <c r="E107" s="17">
        <v>0</v>
      </c>
      <c r="F107" s="17">
        <v>0</v>
      </c>
      <c r="G107" s="17">
        <v>1</v>
      </c>
      <c r="H107" s="18">
        <v>900</v>
      </c>
      <c r="I107" s="18">
        <v>0</v>
      </c>
      <c r="J107" s="18">
        <v>0</v>
      </c>
      <c r="K107" s="18">
        <f t="shared" si="17"/>
        <v>-0.38250000000000001</v>
      </c>
      <c r="L107" s="18">
        <v>0</v>
      </c>
      <c r="M107" s="18">
        <v>0</v>
      </c>
      <c r="N107" s="18">
        <f t="shared" si="18"/>
        <v>-0.22500000000000001</v>
      </c>
      <c r="P107" s="15" t="s">
        <v>31</v>
      </c>
      <c r="Q107" s="15" t="str">
        <f t="shared" si="19"/>
        <v>106,</v>
      </c>
      <c r="R107" s="15" t="str">
        <f t="shared" si="20"/>
        <v>0,</v>
      </c>
      <c r="S107" s="15" t="str">
        <f t="shared" si="21"/>
        <v>0,</v>
      </c>
      <c r="T107" s="16">
        <f t="shared" si="22"/>
        <v>150</v>
      </c>
      <c r="U107" s="16" t="s">
        <v>32</v>
      </c>
      <c r="V107" s="16" t="str">
        <f t="shared" si="23"/>
        <v>106,</v>
      </c>
      <c r="W107" s="17" t="str">
        <f t="shared" si="24"/>
        <v/>
      </c>
      <c r="X107" s="17" t="str">
        <f t="shared" si="29"/>
        <v/>
      </c>
      <c r="Y107" s="17" t="str">
        <f t="shared" si="28"/>
        <v>UY</v>
      </c>
      <c r="Z107" s="17" t="s">
        <v>33</v>
      </c>
      <c r="AA107" s="17" t="str">
        <f t="shared" si="25"/>
        <v>106,</v>
      </c>
      <c r="AB107" s="17" t="s">
        <v>34</v>
      </c>
      <c r="AC107" s="18">
        <f t="shared" si="26"/>
        <v>0.873</v>
      </c>
    </row>
    <row r="108" spans="1:29" x14ac:dyDescent="0.3">
      <c r="A108" s="17">
        <v>107</v>
      </c>
      <c r="B108" s="17">
        <v>30</v>
      </c>
      <c r="C108" s="17">
        <v>0</v>
      </c>
      <c r="D108" s="17">
        <v>150</v>
      </c>
      <c r="H108" s="18">
        <v>900</v>
      </c>
      <c r="I108" s="18">
        <v>0</v>
      </c>
      <c r="J108" s="18">
        <v>0</v>
      </c>
      <c r="K108" s="18">
        <f t="shared" si="17"/>
        <v>-0.38250000000000001</v>
      </c>
      <c r="L108" s="18">
        <v>0</v>
      </c>
      <c r="M108" s="18">
        <v>0</v>
      </c>
      <c r="N108" s="18">
        <f t="shared" si="18"/>
        <v>-0.22500000000000001</v>
      </c>
      <c r="P108" s="15" t="s">
        <v>31</v>
      </c>
      <c r="Q108" s="15" t="str">
        <f t="shared" si="19"/>
        <v>107,</v>
      </c>
      <c r="R108" s="15" t="str">
        <f t="shared" si="20"/>
        <v>30,</v>
      </c>
      <c r="S108" s="15" t="str">
        <f t="shared" si="21"/>
        <v>0,</v>
      </c>
      <c r="T108" s="16">
        <f t="shared" si="22"/>
        <v>150</v>
      </c>
      <c r="U108" s="16" t="s">
        <v>32</v>
      </c>
      <c r="V108" s="16" t="str">
        <f t="shared" si="23"/>
        <v>107,</v>
      </c>
      <c r="W108" s="17" t="str">
        <f t="shared" si="24"/>
        <v/>
      </c>
      <c r="X108" s="17" t="str">
        <f t="shared" si="29"/>
        <v/>
      </c>
      <c r="Y108" s="17" t="str">
        <f t="shared" si="28"/>
        <v/>
      </c>
      <c r="Z108" s="17" t="s">
        <v>33</v>
      </c>
      <c r="AA108" s="17" t="str">
        <f t="shared" si="25"/>
        <v>107,</v>
      </c>
      <c r="AB108" s="17" t="s">
        <v>34</v>
      </c>
      <c r="AC108" s="18">
        <f t="shared" si="26"/>
        <v>0.873</v>
      </c>
    </row>
    <row r="109" spans="1:29" x14ac:dyDescent="0.3">
      <c r="A109" s="17">
        <v>108</v>
      </c>
      <c r="B109" s="17">
        <v>60</v>
      </c>
      <c r="C109" s="17">
        <v>0</v>
      </c>
      <c r="D109" s="17">
        <v>150</v>
      </c>
      <c r="H109" s="18">
        <v>900</v>
      </c>
      <c r="I109" s="18">
        <v>0</v>
      </c>
      <c r="J109" s="18">
        <v>0</v>
      </c>
      <c r="K109" s="18">
        <f t="shared" si="17"/>
        <v>-0.38250000000000001</v>
      </c>
      <c r="L109" s="18">
        <v>0</v>
      </c>
      <c r="M109" s="18">
        <v>0</v>
      </c>
      <c r="N109" s="18">
        <f t="shared" si="18"/>
        <v>-0.22500000000000001</v>
      </c>
      <c r="P109" s="15" t="s">
        <v>31</v>
      </c>
      <c r="Q109" s="15" t="str">
        <f t="shared" si="19"/>
        <v>108,</v>
      </c>
      <c r="R109" s="15" t="str">
        <f t="shared" si="20"/>
        <v>60,</v>
      </c>
      <c r="S109" s="15" t="str">
        <f t="shared" si="21"/>
        <v>0,</v>
      </c>
      <c r="T109" s="16">
        <f t="shared" si="22"/>
        <v>150</v>
      </c>
      <c r="U109" s="16" t="s">
        <v>32</v>
      </c>
      <c r="V109" s="16" t="str">
        <f t="shared" si="23"/>
        <v>108,</v>
      </c>
      <c r="W109" s="17" t="str">
        <f t="shared" si="24"/>
        <v/>
      </c>
      <c r="X109" s="17" t="str">
        <f>IF(F109=1,"UZ","")</f>
        <v/>
      </c>
      <c r="Y109" s="17" t="str">
        <f t="shared" si="28"/>
        <v/>
      </c>
      <c r="Z109" s="17" t="s">
        <v>33</v>
      </c>
      <c r="AA109" s="17" t="str">
        <f t="shared" si="25"/>
        <v>108,</v>
      </c>
      <c r="AB109" s="17" t="s">
        <v>34</v>
      </c>
      <c r="AC109" s="18">
        <f t="shared" si="26"/>
        <v>0.873</v>
      </c>
    </row>
    <row r="110" spans="1:29" x14ac:dyDescent="0.3">
      <c r="A110" s="17">
        <v>109</v>
      </c>
      <c r="B110" s="17">
        <v>90</v>
      </c>
      <c r="C110" s="17">
        <v>0</v>
      </c>
      <c r="D110" s="17">
        <v>150</v>
      </c>
      <c r="H110" s="18">
        <v>900</v>
      </c>
      <c r="I110" s="18">
        <v>0</v>
      </c>
      <c r="J110" s="18">
        <v>0</v>
      </c>
      <c r="K110" s="18">
        <f t="shared" si="17"/>
        <v>-0.38250000000000001</v>
      </c>
      <c r="L110" s="18">
        <v>0</v>
      </c>
      <c r="M110" s="18">
        <v>0</v>
      </c>
      <c r="N110" s="18">
        <f t="shared" si="18"/>
        <v>-0.22500000000000001</v>
      </c>
      <c r="P110" s="15" t="s">
        <v>31</v>
      </c>
      <c r="Q110" s="15" t="str">
        <f t="shared" si="19"/>
        <v>109,</v>
      </c>
      <c r="R110" s="15" t="str">
        <f t="shared" si="20"/>
        <v>90,</v>
      </c>
      <c r="S110" s="15" t="str">
        <f t="shared" si="21"/>
        <v>0,</v>
      </c>
      <c r="T110" s="16">
        <f t="shared" si="22"/>
        <v>150</v>
      </c>
      <c r="U110" s="16" t="s">
        <v>32</v>
      </c>
      <c r="V110" s="16" t="str">
        <f t="shared" si="23"/>
        <v>109,</v>
      </c>
      <c r="W110" s="17" t="str">
        <f t="shared" si="24"/>
        <v/>
      </c>
      <c r="X110" s="17" t="str">
        <f>IF(F110=1,"UZ","")</f>
        <v/>
      </c>
      <c r="Y110" s="17" t="str">
        <f t="shared" si="28"/>
        <v/>
      </c>
      <c r="Z110" s="17" t="s">
        <v>33</v>
      </c>
      <c r="AA110" s="17" t="str">
        <f t="shared" si="25"/>
        <v>109,</v>
      </c>
      <c r="AB110" s="17" t="s">
        <v>34</v>
      </c>
      <c r="AC110" s="18">
        <f t="shared" si="26"/>
        <v>0.873</v>
      </c>
    </row>
    <row r="111" spans="1:29" x14ac:dyDescent="0.3">
      <c r="A111" s="17">
        <v>110</v>
      </c>
      <c r="B111" s="17">
        <v>120</v>
      </c>
      <c r="C111" s="17">
        <v>0</v>
      </c>
      <c r="D111" s="17">
        <v>150</v>
      </c>
      <c r="H111" s="18">
        <v>900</v>
      </c>
      <c r="I111" s="18">
        <v>0</v>
      </c>
      <c r="J111" s="18">
        <v>0</v>
      </c>
      <c r="K111" s="18">
        <f t="shared" si="17"/>
        <v>-0.38250000000000001</v>
      </c>
      <c r="L111" s="18">
        <v>0</v>
      </c>
      <c r="M111" s="18">
        <v>0</v>
      </c>
      <c r="N111" s="18">
        <f t="shared" si="18"/>
        <v>-0.22500000000000001</v>
      </c>
      <c r="P111" s="15" t="s">
        <v>31</v>
      </c>
      <c r="Q111" s="15" t="str">
        <f t="shared" si="19"/>
        <v>110,</v>
      </c>
      <c r="R111" s="15" t="str">
        <f t="shared" si="20"/>
        <v>120,</v>
      </c>
      <c r="S111" s="15" t="str">
        <f t="shared" si="21"/>
        <v>0,</v>
      </c>
      <c r="T111" s="16">
        <f t="shared" si="22"/>
        <v>150</v>
      </c>
      <c r="U111" s="16" t="s">
        <v>32</v>
      </c>
      <c r="V111" s="16" t="str">
        <f t="shared" si="23"/>
        <v>110,</v>
      </c>
      <c r="W111" s="17" t="str">
        <f t="shared" si="24"/>
        <v/>
      </c>
      <c r="X111" s="17" t="str">
        <f t="shared" ref="X111:X128" si="30">IF(F111=1,"UY","")</f>
        <v/>
      </c>
      <c r="Y111" s="17" t="str">
        <f t="shared" si="28"/>
        <v/>
      </c>
      <c r="Z111" s="17" t="s">
        <v>33</v>
      </c>
      <c r="AA111" s="17" t="str">
        <f t="shared" si="25"/>
        <v>110,</v>
      </c>
      <c r="AB111" s="17" t="s">
        <v>34</v>
      </c>
      <c r="AC111" s="18">
        <f t="shared" si="26"/>
        <v>0.873</v>
      </c>
    </row>
    <row r="112" spans="1:29" x14ac:dyDescent="0.3">
      <c r="A112" s="17">
        <v>111</v>
      </c>
      <c r="B112" s="17">
        <v>150</v>
      </c>
      <c r="C112" s="17">
        <v>0</v>
      </c>
      <c r="D112" s="17">
        <v>150</v>
      </c>
      <c r="H112" s="18">
        <v>900</v>
      </c>
      <c r="I112" s="18">
        <v>0</v>
      </c>
      <c r="J112" s="18">
        <v>0</v>
      </c>
      <c r="K112" s="18">
        <f t="shared" si="17"/>
        <v>-0.38250000000000001</v>
      </c>
      <c r="L112" s="18">
        <v>0</v>
      </c>
      <c r="M112" s="18">
        <v>0</v>
      </c>
      <c r="N112" s="18">
        <f t="shared" si="18"/>
        <v>-0.22500000000000001</v>
      </c>
      <c r="P112" s="15" t="s">
        <v>31</v>
      </c>
      <c r="Q112" s="15" t="str">
        <f t="shared" si="19"/>
        <v>111,</v>
      </c>
      <c r="R112" s="15" t="str">
        <f t="shared" si="20"/>
        <v>150,</v>
      </c>
      <c r="S112" s="15" t="str">
        <f t="shared" si="21"/>
        <v>0,</v>
      </c>
      <c r="T112" s="16">
        <f t="shared" si="22"/>
        <v>150</v>
      </c>
      <c r="U112" s="16" t="s">
        <v>32</v>
      </c>
      <c r="V112" s="16" t="str">
        <f t="shared" si="23"/>
        <v>111,</v>
      </c>
      <c r="W112" s="17" t="str">
        <f t="shared" si="24"/>
        <v/>
      </c>
      <c r="X112" s="17" t="str">
        <f t="shared" si="30"/>
        <v/>
      </c>
      <c r="Y112" s="17" t="str">
        <f t="shared" si="28"/>
        <v/>
      </c>
      <c r="Z112" s="17" t="s">
        <v>33</v>
      </c>
      <c r="AA112" s="17" t="str">
        <f t="shared" si="25"/>
        <v>111,</v>
      </c>
      <c r="AB112" s="17" t="s">
        <v>34</v>
      </c>
      <c r="AC112" s="18">
        <f t="shared" si="26"/>
        <v>0.873</v>
      </c>
    </row>
    <row r="113" spans="1:29" x14ac:dyDescent="0.3">
      <c r="A113" s="17">
        <v>112</v>
      </c>
      <c r="B113" s="17">
        <v>180</v>
      </c>
      <c r="C113" s="17">
        <v>0</v>
      </c>
      <c r="D113" s="17">
        <v>150</v>
      </c>
      <c r="H113" s="18">
        <v>900</v>
      </c>
      <c r="I113" s="18">
        <v>0</v>
      </c>
      <c r="J113" s="18">
        <v>0</v>
      </c>
      <c r="K113" s="18">
        <f t="shared" si="17"/>
        <v>-0.38250000000000001</v>
      </c>
      <c r="L113" s="18">
        <v>0</v>
      </c>
      <c r="M113" s="18">
        <v>0</v>
      </c>
      <c r="N113" s="18">
        <f t="shared" si="18"/>
        <v>-0.22500000000000001</v>
      </c>
      <c r="P113" s="15" t="s">
        <v>31</v>
      </c>
      <c r="Q113" s="15" t="str">
        <f t="shared" si="19"/>
        <v>112,</v>
      </c>
      <c r="R113" s="15" t="str">
        <f t="shared" si="20"/>
        <v>180,</v>
      </c>
      <c r="S113" s="15" t="str">
        <f t="shared" si="21"/>
        <v>0,</v>
      </c>
      <c r="T113" s="16">
        <f t="shared" si="22"/>
        <v>150</v>
      </c>
      <c r="U113" s="16" t="s">
        <v>32</v>
      </c>
      <c r="V113" s="16" t="str">
        <f t="shared" si="23"/>
        <v>112,</v>
      </c>
      <c r="W113" s="17" t="str">
        <f t="shared" si="24"/>
        <v/>
      </c>
      <c r="X113" s="17" t="str">
        <f t="shared" si="30"/>
        <v/>
      </c>
      <c r="Y113" s="17" t="str">
        <f t="shared" si="28"/>
        <v/>
      </c>
      <c r="Z113" s="17" t="s">
        <v>33</v>
      </c>
      <c r="AA113" s="17" t="str">
        <f t="shared" si="25"/>
        <v>112,</v>
      </c>
      <c r="AB113" s="17" t="s">
        <v>34</v>
      </c>
      <c r="AC113" s="18">
        <f t="shared" si="26"/>
        <v>0.873</v>
      </c>
    </row>
    <row r="114" spans="1:29" x14ac:dyDescent="0.3">
      <c r="A114" s="17">
        <v>113</v>
      </c>
      <c r="B114" s="17">
        <v>210</v>
      </c>
      <c r="C114" s="17">
        <v>0</v>
      </c>
      <c r="D114" s="17">
        <v>150</v>
      </c>
      <c r="H114" s="18">
        <v>900</v>
      </c>
      <c r="I114" s="18">
        <v>0</v>
      </c>
      <c r="J114" s="18">
        <v>0</v>
      </c>
      <c r="K114" s="18">
        <f t="shared" si="17"/>
        <v>-0.38250000000000001</v>
      </c>
      <c r="L114" s="18">
        <v>0</v>
      </c>
      <c r="M114" s="18">
        <v>0</v>
      </c>
      <c r="N114" s="18">
        <f t="shared" si="18"/>
        <v>-0.22500000000000001</v>
      </c>
      <c r="P114" s="15" t="s">
        <v>31</v>
      </c>
      <c r="Q114" s="15" t="str">
        <f t="shared" si="19"/>
        <v>113,</v>
      </c>
      <c r="R114" s="15" t="str">
        <f t="shared" si="20"/>
        <v>210,</v>
      </c>
      <c r="S114" s="15" t="str">
        <f t="shared" si="21"/>
        <v>0,</v>
      </c>
      <c r="T114" s="16">
        <f t="shared" si="22"/>
        <v>150</v>
      </c>
      <c r="U114" s="16" t="s">
        <v>32</v>
      </c>
      <c r="V114" s="16" t="str">
        <f t="shared" si="23"/>
        <v>113,</v>
      </c>
      <c r="W114" s="17" t="str">
        <f t="shared" si="24"/>
        <v/>
      </c>
      <c r="X114" s="17" t="str">
        <f t="shared" si="30"/>
        <v/>
      </c>
      <c r="Y114" s="17" t="str">
        <f t="shared" si="28"/>
        <v/>
      </c>
      <c r="Z114" s="17" t="s">
        <v>33</v>
      </c>
      <c r="AA114" s="17" t="str">
        <f t="shared" si="25"/>
        <v>113,</v>
      </c>
      <c r="AB114" s="17" t="s">
        <v>34</v>
      </c>
      <c r="AC114" s="18">
        <f t="shared" si="26"/>
        <v>0.873</v>
      </c>
    </row>
    <row r="115" spans="1:29" x14ac:dyDescent="0.3">
      <c r="A115" s="17">
        <v>114</v>
      </c>
      <c r="B115" s="17">
        <v>240</v>
      </c>
      <c r="C115" s="17">
        <v>0</v>
      </c>
      <c r="D115" s="17">
        <v>150</v>
      </c>
      <c r="H115" s="18">
        <v>900</v>
      </c>
      <c r="I115" s="18">
        <v>0</v>
      </c>
      <c r="J115" s="18">
        <v>0</v>
      </c>
      <c r="K115" s="18">
        <f t="shared" si="17"/>
        <v>-0.38250000000000001</v>
      </c>
      <c r="L115" s="18">
        <v>0</v>
      </c>
      <c r="M115" s="18">
        <v>0</v>
      </c>
      <c r="N115" s="18">
        <f t="shared" si="18"/>
        <v>-0.22500000000000001</v>
      </c>
      <c r="P115" s="15" t="s">
        <v>31</v>
      </c>
      <c r="Q115" s="15" t="str">
        <f t="shared" si="19"/>
        <v>114,</v>
      </c>
      <c r="R115" s="15" t="str">
        <f t="shared" si="20"/>
        <v>240,</v>
      </c>
      <c r="S115" s="15" t="str">
        <f t="shared" si="21"/>
        <v>0,</v>
      </c>
      <c r="T115" s="16">
        <f t="shared" si="22"/>
        <v>150</v>
      </c>
      <c r="U115" s="16" t="s">
        <v>32</v>
      </c>
      <c r="V115" s="16" t="str">
        <f t="shared" si="23"/>
        <v>114,</v>
      </c>
      <c r="W115" s="17" t="str">
        <f t="shared" si="24"/>
        <v/>
      </c>
      <c r="X115" s="17" t="str">
        <f t="shared" si="30"/>
        <v/>
      </c>
      <c r="Y115" s="17" t="str">
        <f t="shared" si="28"/>
        <v/>
      </c>
      <c r="Z115" s="17" t="s">
        <v>33</v>
      </c>
      <c r="AA115" s="17" t="str">
        <f t="shared" si="25"/>
        <v>114,</v>
      </c>
      <c r="AB115" s="17" t="s">
        <v>34</v>
      </c>
      <c r="AC115" s="18">
        <f t="shared" si="26"/>
        <v>0.873</v>
      </c>
    </row>
    <row r="116" spans="1:29" x14ac:dyDescent="0.3">
      <c r="A116" s="17">
        <v>115</v>
      </c>
      <c r="B116" s="17">
        <v>270</v>
      </c>
      <c r="C116" s="17">
        <v>0</v>
      </c>
      <c r="D116" s="17">
        <v>150</v>
      </c>
      <c r="H116" s="18">
        <v>900</v>
      </c>
      <c r="I116" s="18">
        <v>0</v>
      </c>
      <c r="J116" s="18">
        <v>0</v>
      </c>
      <c r="K116" s="18">
        <f t="shared" si="17"/>
        <v>-0.38250000000000001</v>
      </c>
      <c r="L116" s="18">
        <v>0</v>
      </c>
      <c r="M116" s="18">
        <v>0</v>
      </c>
      <c r="N116" s="18">
        <f t="shared" si="18"/>
        <v>-0.22500000000000001</v>
      </c>
      <c r="P116" s="15" t="s">
        <v>31</v>
      </c>
      <c r="Q116" s="15" t="str">
        <f t="shared" si="19"/>
        <v>115,</v>
      </c>
      <c r="R116" s="15" t="str">
        <f t="shared" si="20"/>
        <v>270,</v>
      </c>
      <c r="S116" s="15" t="str">
        <f t="shared" si="21"/>
        <v>0,</v>
      </c>
      <c r="T116" s="16">
        <f t="shared" si="22"/>
        <v>150</v>
      </c>
      <c r="U116" s="16" t="s">
        <v>32</v>
      </c>
      <c r="V116" s="16" t="str">
        <f t="shared" si="23"/>
        <v>115,</v>
      </c>
      <c r="W116" s="17" t="str">
        <f t="shared" si="24"/>
        <v/>
      </c>
      <c r="X116" s="17" t="str">
        <f t="shared" si="30"/>
        <v/>
      </c>
      <c r="Y116" s="17" t="str">
        <f t="shared" si="28"/>
        <v/>
      </c>
      <c r="Z116" s="17" t="s">
        <v>33</v>
      </c>
      <c r="AA116" s="17" t="str">
        <f t="shared" si="25"/>
        <v>115,</v>
      </c>
      <c r="AB116" s="17" t="s">
        <v>34</v>
      </c>
      <c r="AC116" s="18">
        <f t="shared" si="26"/>
        <v>0.873</v>
      </c>
    </row>
    <row r="117" spans="1:29" x14ac:dyDescent="0.3">
      <c r="A117" s="17">
        <v>116</v>
      </c>
      <c r="B117" s="17">
        <v>300</v>
      </c>
      <c r="C117" s="17">
        <v>0</v>
      </c>
      <c r="D117" s="17">
        <v>150</v>
      </c>
      <c r="H117" s="18">
        <v>900</v>
      </c>
      <c r="I117" s="18">
        <v>0</v>
      </c>
      <c r="J117" s="18">
        <v>0</v>
      </c>
      <c r="K117" s="18">
        <f t="shared" si="17"/>
        <v>-0.38250000000000001</v>
      </c>
      <c r="L117" s="18">
        <v>0</v>
      </c>
      <c r="M117" s="18">
        <v>0</v>
      </c>
      <c r="N117" s="18">
        <f t="shared" si="18"/>
        <v>-0.22500000000000001</v>
      </c>
      <c r="P117" s="15" t="s">
        <v>31</v>
      </c>
      <c r="Q117" s="15" t="str">
        <f t="shared" si="19"/>
        <v>116,</v>
      </c>
      <c r="R117" s="15" t="str">
        <f t="shared" si="20"/>
        <v>300,</v>
      </c>
      <c r="S117" s="15" t="str">
        <f t="shared" si="21"/>
        <v>0,</v>
      </c>
      <c r="T117" s="16">
        <f t="shared" si="22"/>
        <v>150</v>
      </c>
      <c r="U117" s="16" t="s">
        <v>32</v>
      </c>
      <c r="V117" s="16" t="str">
        <f t="shared" si="23"/>
        <v>116,</v>
      </c>
      <c r="W117" s="17" t="str">
        <f t="shared" si="24"/>
        <v/>
      </c>
      <c r="X117" s="17" t="str">
        <f t="shared" si="30"/>
        <v/>
      </c>
      <c r="Y117" s="17" t="str">
        <f t="shared" si="28"/>
        <v/>
      </c>
      <c r="Z117" s="17" t="s">
        <v>33</v>
      </c>
      <c r="AA117" s="17" t="str">
        <f t="shared" si="25"/>
        <v>116,</v>
      </c>
      <c r="AB117" s="17" t="s">
        <v>34</v>
      </c>
      <c r="AC117" s="18">
        <f t="shared" si="26"/>
        <v>0.873</v>
      </c>
    </row>
    <row r="118" spans="1:29" x14ac:dyDescent="0.3">
      <c r="A118" s="17">
        <v>117</v>
      </c>
      <c r="B118" s="17">
        <v>330</v>
      </c>
      <c r="C118" s="17">
        <v>0</v>
      </c>
      <c r="D118" s="17">
        <v>150</v>
      </c>
      <c r="H118" s="18">
        <v>900</v>
      </c>
      <c r="I118" s="18">
        <v>0</v>
      </c>
      <c r="J118" s="18">
        <v>0</v>
      </c>
      <c r="K118" s="18">
        <f t="shared" si="17"/>
        <v>-0.38250000000000001</v>
      </c>
      <c r="L118" s="18">
        <v>0</v>
      </c>
      <c r="M118" s="18">
        <v>0</v>
      </c>
      <c r="N118" s="18">
        <f t="shared" si="18"/>
        <v>-0.22500000000000001</v>
      </c>
      <c r="P118" s="15" t="s">
        <v>31</v>
      </c>
      <c r="Q118" s="15" t="str">
        <f t="shared" si="19"/>
        <v>117,</v>
      </c>
      <c r="R118" s="15" t="str">
        <f t="shared" si="20"/>
        <v>330,</v>
      </c>
      <c r="S118" s="15" t="str">
        <f t="shared" si="21"/>
        <v>0,</v>
      </c>
      <c r="T118" s="16">
        <f t="shared" si="22"/>
        <v>150</v>
      </c>
      <c r="U118" s="16" t="s">
        <v>32</v>
      </c>
      <c r="V118" s="16" t="str">
        <f t="shared" si="23"/>
        <v>117,</v>
      </c>
      <c r="W118" s="17" t="str">
        <f t="shared" si="24"/>
        <v/>
      </c>
      <c r="X118" s="17" t="str">
        <f t="shared" si="30"/>
        <v/>
      </c>
      <c r="Y118" s="17" t="str">
        <f t="shared" si="28"/>
        <v/>
      </c>
      <c r="Z118" s="17" t="s">
        <v>33</v>
      </c>
      <c r="AA118" s="17" t="str">
        <f t="shared" si="25"/>
        <v>117,</v>
      </c>
      <c r="AB118" s="17" t="s">
        <v>34</v>
      </c>
      <c r="AC118" s="18">
        <f t="shared" si="26"/>
        <v>0.873</v>
      </c>
    </row>
    <row r="119" spans="1:29" x14ac:dyDescent="0.3">
      <c r="A119" s="17">
        <v>118</v>
      </c>
      <c r="B119" s="17">
        <v>360</v>
      </c>
      <c r="C119" s="17">
        <v>0</v>
      </c>
      <c r="D119" s="17">
        <v>150</v>
      </c>
      <c r="H119" s="18">
        <v>900</v>
      </c>
      <c r="I119" s="18">
        <v>0</v>
      </c>
      <c r="J119" s="18">
        <v>0</v>
      </c>
      <c r="K119" s="18">
        <f t="shared" si="17"/>
        <v>-0.38250000000000001</v>
      </c>
      <c r="L119" s="18">
        <v>0</v>
      </c>
      <c r="M119" s="18">
        <v>0</v>
      </c>
      <c r="N119" s="18">
        <f t="shared" si="18"/>
        <v>-0.22500000000000001</v>
      </c>
      <c r="P119" s="15" t="s">
        <v>31</v>
      </c>
      <c r="Q119" s="15" t="str">
        <f t="shared" si="19"/>
        <v>118,</v>
      </c>
      <c r="R119" s="15" t="str">
        <f t="shared" si="20"/>
        <v>360,</v>
      </c>
      <c r="S119" s="15" t="str">
        <f t="shared" si="21"/>
        <v>0,</v>
      </c>
      <c r="T119" s="16">
        <f t="shared" si="22"/>
        <v>150</v>
      </c>
      <c r="U119" s="16" t="s">
        <v>32</v>
      </c>
      <c r="V119" s="16" t="str">
        <f t="shared" si="23"/>
        <v>118,</v>
      </c>
      <c r="W119" s="17" t="str">
        <f t="shared" si="24"/>
        <v/>
      </c>
      <c r="X119" s="17" t="str">
        <f t="shared" si="30"/>
        <v/>
      </c>
      <c r="Y119" s="17" t="str">
        <f t="shared" si="28"/>
        <v/>
      </c>
      <c r="Z119" s="17" t="s">
        <v>33</v>
      </c>
      <c r="AA119" s="17" t="str">
        <f t="shared" si="25"/>
        <v>118,</v>
      </c>
      <c r="AB119" s="17" t="s">
        <v>34</v>
      </c>
      <c r="AC119" s="18">
        <f t="shared" si="26"/>
        <v>0.873</v>
      </c>
    </row>
    <row r="120" spans="1:29" x14ac:dyDescent="0.3">
      <c r="A120" s="17">
        <v>119</v>
      </c>
      <c r="B120" s="17">
        <v>390</v>
      </c>
      <c r="C120" s="17">
        <v>0</v>
      </c>
      <c r="D120" s="17">
        <v>150</v>
      </c>
      <c r="H120" s="18">
        <v>900</v>
      </c>
      <c r="I120" s="18">
        <v>0</v>
      </c>
      <c r="J120" s="18">
        <v>0</v>
      </c>
      <c r="K120" s="18">
        <f t="shared" si="17"/>
        <v>-0.38250000000000001</v>
      </c>
      <c r="L120" s="18">
        <v>0</v>
      </c>
      <c r="M120" s="18">
        <v>0</v>
      </c>
      <c r="N120" s="18">
        <f t="shared" si="18"/>
        <v>-0.22500000000000001</v>
      </c>
      <c r="P120" s="15" t="s">
        <v>31</v>
      </c>
      <c r="Q120" s="15" t="str">
        <f t="shared" si="19"/>
        <v>119,</v>
      </c>
      <c r="R120" s="15" t="str">
        <f t="shared" si="20"/>
        <v>390,</v>
      </c>
      <c r="S120" s="15" t="str">
        <f t="shared" si="21"/>
        <v>0,</v>
      </c>
      <c r="T120" s="16">
        <f t="shared" si="22"/>
        <v>150</v>
      </c>
      <c r="U120" s="16" t="s">
        <v>32</v>
      </c>
      <c r="V120" s="16" t="str">
        <f t="shared" si="23"/>
        <v>119,</v>
      </c>
      <c r="W120" s="17" t="str">
        <f t="shared" si="24"/>
        <v/>
      </c>
      <c r="X120" s="17" t="str">
        <f t="shared" si="30"/>
        <v/>
      </c>
      <c r="Y120" s="17" t="str">
        <f t="shared" si="28"/>
        <v/>
      </c>
      <c r="Z120" s="17" t="s">
        <v>33</v>
      </c>
      <c r="AA120" s="17" t="str">
        <f t="shared" si="25"/>
        <v>119,</v>
      </c>
      <c r="AB120" s="17" t="s">
        <v>34</v>
      </c>
      <c r="AC120" s="18">
        <f t="shared" si="26"/>
        <v>0.873</v>
      </c>
    </row>
    <row r="121" spans="1:29" x14ac:dyDescent="0.3">
      <c r="A121" s="17">
        <v>120</v>
      </c>
      <c r="B121" s="17">
        <v>420</v>
      </c>
      <c r="C121" s="17">
        <v>0</v>
      </c>
      <c r="D121" s="17">
        <v>150</v>
      </c>
      <c r="H121" s="18">
        <v>900</v>
      </c>
      <c r="I121" s="18">
        <v>0</v>
      </c>
      <c r="J121" s="18">
        <v>0</v>
      </c>
      <c r="K121" s="18">
        <f t="shared" si="17"/>
        <v>-0.38250000000000001</v>
      </c>
      <c r="L121" s="18">
        <v>0</v>
      </c>
      <c r="M121" s="18">
        <v>0</v>
      </c>
      <c r="N121" s="18">
        <f t="shared" si="18"/>
        <v>-0.22500000000000001</v>
      </c>
      <c r="P121" s="15" t="s">
        <v>31</v>
      </c>
      <c r="Q121" s="15" t="str">
        <f t="shared" si="19"/>
        <v>120,</v>
      </c>
      <c r="R121" s="15" t="str">
        <f t="shared" si="20"/>
        <v>420,</v>
      </c>
      <c r="S121" s="15" t="str">
        <f t="shared" si="21"/>
        <v>0,</v>
      </c>
      <c r="T121" s="16">
        <f t="shared" si="22"/>
        <v>150</v>
      </c>
      <c r="U121" s="16" t="s">
        <v>32</v>
      </c>
      <c r="V121" s="16" t="str">
        <f t="shared" si="23"/>
        <v>120,</v>
      </c>
      <c r="W121" s="17" t="str">
        <f t="shared" si="24"/>
        <v/>
      </c>
      <c r="X121" s="17" t="str">
        <f t="shared" si="30"/>
        <v/>
      </c>
      <c r="Y121" s="17" t="str">
        <f t="shared" si="28"/>
        <v/>
      </c>
      <c r="Z121" s="17" t="s">
        <v>33</v>
      </c>
      <c r="AA121" s="17" t="str">
        <f t="shared" si="25"/>
        <v>120,</v>
      </c>
      <c r="AB121" s="17" t="s">
        <v>34</v>
      </c>
      <c r="AC121" s="18">
        <f t="shared" si="26"/>
        <v>0.873</v>
      </c>
    </row>
    <row r="122" spans="1:29" x14ac:dyDescent="0.3">
      <c r="A122" s="17">
        <v>121</v>
      </c>
      <c r="B122" s="17">
        <v>450</v>
      </c>
      <c r="C122" s="17">
        <v>0</v>
      </c>
      <c r="D122" s="17">
        <v>150</v>
      </c>
      <c r="H122" s="18">
        <v>900</v>
      </c>
      <c r="I122" s="18">
        <v>0</v>
      </c>
      <c r="J122" s="18">
        <v>0</v>
      </c>
      <c r="K122" s="18">
        <f t="shared" si="17"/>
        <v>-0.38250000000000001</v>
      </c>
      <c r="L122" s="18">
        <v>0</v>
      </c>
      <c r="M122" s="18">
        <v>0</v>
      </c>
      <c r="N122" s="18">
        <f t="shared" si="18"/>
        <v>-0.22500000000000001</v>
      </c>
      <c r="P122" s="15" t="s">
        <v>31</v>
      </c>
      <c r="Q122" s="15" t="str">
        <f t="shared" si="19"/>
        <v>121,</v>
      </c>
      <c r="R122" s="15" t="str">
        <f t="shared" si="20"/>
        <v>450,</v>
      </c>
      <c r="S122" s="15" t="str">
        <f t="shared" si="21"/>
        <v>0,</v>
      </c>
      <c r="T122" s="16">
        <f t="shared" si="22"/>
        <v>150</v>
      </c>
      <c r="U122" s="16" t="s">
        <v>32</v>
      </c>
      <c r="V122" s="16" t="str">
        <f t="shared" si="23"/>
        <v>121,</v>
      </c>
      <c r="W122" s="17" t="str">
        <f t="shared" si="24"/>
        <v/>
      </c>
      <c r="X122" s="17" t="str">
        <f t="shared" si="30"/>
        <v/>
      </c>
      <c r="Y122" s="17" t="str">
        <f t="shared" si="28"/>
        <v/>
      </c>
      <c r="Z122" s="17" t="s">
        <v>33</v>
      </c>
      <c r="AA122" s="17" t="str">
        <f t="shared" si="25"/>
        <v>121,</v>
      </c>
      <c r="AB122" s="17" t="s">
        <v>34</v>
      </c>
      <c r="AC122" s="18">
        <f t="shared" si="26"/>
        <v>0.873</v>
      </c>
    </row>
    <row r="123" spans="1:29" x14ac:dyDescent="0.3">
      <c r="A123" s="17">
        <v>122</v>
      </c>
      <c r="B123" s="17">
        <v>480</v>
      </c>
      <c r="C123" s="17">
        <v>0</v>
      </c>
      <c r="D123" s="17">
        <v>150</v>
      </c>
      <c r="H123" s="18">
        <v>900</v>
      </c>
      <c r="I123" s="18">
        <v>0</v>
      </c>
      <c r="J123" s="18">
        <v>0</v>
      </c>
      <c r="K123" s="18">
        <f t="shared" si="17"/>
        <v>-0.38250000000000001</v>
      </c>
      <c r="L123" s="18">
        <v>0</v>
      </c>
      <c r="M123" s="18">
        <v>0</v>
      </c>
      <c r="N123" s="18">
        <f t="shared" si="18"/>
        <v>-0.22500000000000001</v>
      </c>
      <c r="P123" s="15" t="s">
        <v>31</v>
      </c>
      <c r="Q123" s="15" t="str">
        <f t="shared" si="19"/>
        <v>122,</v>
      </c>
      <c r="R123" s="15" t="str">
        <f t="shared" si="20"/>
        <v>480,</v>
      </c>
      <c r="S123" s="15" t="str">
        <f t="shared" si="21"/>
        <v>0,</v>
      </c>
      <c r="T123" s="16">
        <f t="shared" si="22"/>
        <v>150</v>
      </c>
      <c r="U123" s="16" t="s">
        <v>32</v>
      </c>
      <c r="V123" s="16" t="str">
        <f t="shared" si="23"/>
        <v>122,</v>
      </c>
      <c r="W123" s="17" t="str">
        <f t="shared" si="24"/>
        <v/>
      </c>
      <c r="X123" s="17" t="str">
        <f t="shared" si="30"/>
        <v/>
      </c>
      <c r="Y123" s="17" t="str">
        <f t="shared" si="28"/>
        <v/>
      </c>
      <c r="Z123" s="17" t="s">
        <v>33</v>
      </c>
      <c r="AA123" s="17" t="str">
        <f t="shared" si="25"/>
        <v>122,</v>
      </c>
      <c r="AB123" s="17" t="s">
        <v>34</v>
      </c>
      <c r="AC123" s="18">
        <f t="shared" si="26"/>
        <v>0.873</v>
      </c>
    </row>
    <row r="124" spans="1:29" x14ac:dyDescent="0.3">
      <c r="A124" s="17">
        <v>123</v>
      </c>
      <c r="B124" s="17">
        <v>509.99999999999994</v>
      </c>
      <c r="C124" s="17">
        <v>0</v>
      </c>
      <c r="D124" s="17">
        <v>150</v>
      </c>
      <c r="H124" s="18">
        <v>900</v>
      </c>
      <c r="I124" s="18">
        <v>0</v>
      </c>
      <c r="J124" s="18">
        <v>0</v>
      </c>
      <c r="K124" s="18">
        <f t="shared" si="17"/>
        <v>-0.38250000000000001</v>
      </c>
      <c r="L124" s="18">
        <v>0</v>
      </c>
      <c r="M124" s="18">
        <v>0</v>
      </c>
      <c r="N124" s="18">
        <f t="shared" si="18"/>
        <v>-0.22500000000000001</v>
      </c>
      <c r="P124" s="15" t="s">
        <v>31</v>
      </c>
      <c r="Q124" s="15" t="str">
        <f t="shared" si="19"/>
        <v>123,</v>
      </c>
      <c r="R124" s="15" t="str">
        <f t="shared" si="20"/>
        <v>510,</v>
      </c>
      <c r="S124" s="15" t="str">
        <f t="shared" si="21"/>
        <v>0,</v>
      </c>
      <c r="T124" s="16">
        <f t="shared" si="22"/>
        <v>150</v>
      </c>
      <c r="U124" s="16" t="s">
        <v>32</v>
      </c>
      <c r="V124" s="16" t="str">
        <f t="shared" si="23"/>
        <v>123,</v>
      </c>
      <c r="W124" s="17" t="str">
        <f t="shared" si="24"/>
        <v/>
      </c>
      <c r="X124" s="17" t="str">
        <f t="shared" si="30"/>
        <v/>
      </c>
      <c r="Y124" s="17" t="str">
        <f t="shared" si="28"/>
        <v/>
      </c>
      <c r="Z124" s="17" t="s">
        <v>33</v>
      </c>
      <c r="AA124" s="17" t="str">
        <f t="shared" si="25"/>
        <v>123,</v>
      </c>
      <c r="AB124" s="17" t="s">
        <v>34</v>
      </c>
      <c r="AC124" s="18">
        <f t="shared" si="26"/>
        <v>0.873</v>
      </c>
    </row>
    <row r="125" spans="1:29" x14ac:dyDescent="0.3">
      <c r="A125" s="17">
        <v>124</v>
      </c>
      <c r="B125" s="17">
        <v>540</v>
      </c>
      <c r="C125" s="17">
        <v>0</v>
      </c>
      <c r="D125" s="17">
        <v>150</v>
      </c>
      <c r="H125" s="18">
        <v>900</v>
      </c>
      <c r="I125" s="18">
        <v>0</v>
      </c>
      <c r="J125" s="18">
        <v>0</v>
      </c>
      <c r="K125" s="18">
        <f t="shared" si="17"/>
        <v>-0.38250000000000001</v>
      </c>
      <c r="L125" s="18">
        <v>0</v>
      </c>
      <c r="M125" s="18">
        <v>0</v>
      </c>
      <c r="N125" s="18">
        <f t="shared" si="18"/>
        <v>-0.22500000000000001</v>
      </c>
      <c r="P125" s="15" t="s">
        <v>31</v>
      </c>
      <c r="Q125" s="15" t="str">
        <f t="shared" si="19"/>
        <v>124,</v>
      </c>
      <c r="R125" s="15" t="str">
        <f t="shared" si="20"/>
        <v>540,</v>
      </c>
      <c r="S125" s="15" t="str">
        <f t="shared" si="21"/>
        <v>0,</v>
      </c>
      <c r="T125" s="16">
        <f t="shared" si="22"/>
        <v>150</v>
      </c>
      <c r="U125" s="16" t="s">
        <v>32</v>
      </c>
      <c r="V125" s="16" t="str">
        <f t="shared" si="23"/>
        <v>124,</v>
      </c>
      <c r="W125" s="17" t="str">
        <f t="shared" si="24"/>
        <v/>
      </c>
      <c r="X125" s="17" t="str">
        <f t="shared" si="30"/>
        <v/>
      </c>
      <c r="Y125" s="17" t="str">
        <f t="shared" si="28"/>
        <v/>
      </c>
      <c r="Z125" s="17" t="s">
        <v>33</v>
      </c>
      <c r="AA125" s="17" t="str">
        <f t="shared" si="25"/>
        <v>124,</v>
      </c>
      <c r="AB125" s="17" t="s">
        <v>34</v>
      </c>
      <c r="AC125" s="18">
        <f t="shared" si="26"/>
        <v>0.873</v>
      </c>
    </row>
    <row r="126" spans="1:29" x14ac:dyDescent="0.3">
      <c r="A126" s="17">
        <v>125</v>
      </c>
      <c r="B126" s="17">
        <v>570</v>
      </c>
      <c r="C126" s="17">
        <v>0</v>
      </c>
      <c r="D126" s="17">
        <v>150</v>
      </c>
      <c r="H126" s="18">
        <v>900</v>
      </c>
      <c r="I126" s="18">
        <v>0</v>
      </c>
      <c r="J126" s="18">
        <v>0</v>
      </c>
      <c r="K126" s="18">
        <f t="shared" si="17"/>
        <v>-0.38250000000000001</v>
      </c>
      <c r="L126" s="18">
        <v>0</v>
      </c>
      <c r="M126" s="18">
        <v>0</v>
      </c>
      <c r="N126" s="18">
        <f t="shared" si="18"/>
        <v>-0.22500000000000001</v>
      </c>
      <c r="P126" s="15" t="s">
        <v>31</v>
      </c>
      <c r="Q126" s="15" t="str">
        <f t="shared" si="19"/>
        <v>125,</v>
      </c>
      <c r="R126" s="15" t="str">
        <f t="shared" si="20"/>
        <v>570,</v>
      </c>
      <c r="S126" s="15" t="str">
        <f t="shared" si="21"/>
        <v>0,</v>
      </c>
      <c r="T126" s="16">
        <f t="shared" si="22"/>
        <v>150</v>
      </c>
      <c r="U126" s="16" t="s">
        <v>32</v>
      </c>
      <c r="V126" s="16" t="str">
        <f t="shared" si="23"/>
        <v>125,</v>
      </c>
      <c r="W126" s="17" t="str">
        <f t="shared" si="24"/>
        <v/>
      </c>
      <c r="X126" s="17" t="str">
        <f t="shared" si="30"/>
        <v/>
      </c>
      <c r="Y126" s="17" t="str">
        <f t="shared" si="28"/>
        <v/>
      </c>
      <c r="Z126" s="17" t="s">
        <v>33</v>
      </c>
      <c r="AA126" s="17" t="str">
        <f t="shared" si="25"/>
        <v>125,</v>
      </c>
      <c r="AB126" s="17" t="s">
        <v>34</v>
      </c>
      <c r="AC126" s="18">
        <f t="shared" si="26"/>
        <v>0.873</v>
      </c>
    </row>
    <row r="127" spans="1:29" x14ac:dyDescent="0.3">
      <c r="A127" s="17">
        <v>126</v>
      </c>
      <c r="B127" s="17">
        <v>600</v>
      </c>
      <c r="C127" s="17">
        <v>0</v>
      </c>
      <c r="D127" s="17">
        <v>150</v>
      </c>
      <c r="E127" s="17">
        <v>0</v>
      </c>
      <c r="F127" s="17">
        <v>0</v>
      </c>
      <c r="G127" s="17">
        <v>1</v>
      </c>
      <c r="H127" s="18">
        <v>900</v>
      </c>
      <c r="I127" s="18">
        <v>0</v>
      </c>
      <c r="J127" s="18">
        <v>0</v>
      </c>
      <c r="K127" s="18">
        <f t="shared" si="17"/>
        <v>-0.38250000000000001</v>
      </c>
      <c r="L127" s="18">
        <v>0</v>
      </c>
      <c r="M127" s="18">
        <v>0</v>
      </c>
      <c r="N127" s="18">
        <f t="shared" si="18"/>
        <v>-0.22500000000000001</v>
      </c>
      <c r="P127" s="15" t="s">
        <v>31</v>
      </c>
      <c r="Q127" s="15" t="str">
        <f t="shared" si="19"/>
        <v>126,</v>
      </c>
      <c r="R127" s="15" t="str">
        <f t="shared" si="20"/>
        <v>600,</v>
      </c>
      <c r="S127" s="15" t="str">
        <f t="shared" si="21"/>
        <v>0,</v>
      </c>
      <c r="T127" s="16">
        <f t="shared" si="22"/>
        <v>150</v>
      </c>
      <c r="U127" s="16" t="s">
        <v>32</v>
      </c>
      <c r="V127" s="16" t="str">
        <f t="shared" si="23"/>
        <v>126,</v>
      </c>
      <c r="W127" s="17" t="str">
        <f t="shared" si="24"/>
        <v/>
      </c>
      <c r="X127" s="17" t="str">
        <f t="shared" si="30"/>
        <v/>
      </c>
      <c r="Y127" s="17" t="str">
        <f t="shared" si="28"/>
        <v>UY</v>
      </c>
      <c r="Z127" s="17" t="s">
        <v>33</v>
      </c>
      <c r="AA127" s="17" t="str">
        <f t="shared" si="25"/>
        <v>126,</v>
      </c>
      <c r="AB127" s="17" t="s">
        <v>34</v>
      </c>
      <c r="AC127" s="18">
        <f t="shared" si="26"/>
        <v>0.873</v>
      </c>
    </row>
    <row r="128" spans="1:29" x14ac:dyDescent="0.3">
      <c r="A128" s="17">
        <v>127</v>
      </c>
      <c r="B128" s="17">
        <v>0</v>
      </c>
      <c r="C128" s="17">
        <v>0</v>
      </c>
      <c r="D128" s="17">
        <v>120</v>
      </c>
      <c r="E128" s="17">
        <v>0</v>
      </c>
      <c r="F128" s="17">
        <v>0</v>
      </c>
      <c r="G128" s="17">
        <v>1</v>
      </c>
      <c r="H128" s="18">
        <v>900</v>
      </c>
      <c r="I128" s="18">
        <v>0</v>
      </c>
      <c r="J128" s="18">
        <v>0</v>
      </c>
      <c r="K128" s="18">
        <f t="shared" si="17"/>
        <v>-0.38250000000000001</v>
      </c>
      <c r="L128" s="18">
        <v>0</v>
      </c>
      <c r="M128" s="18">
        <v>0</v>
      </c>
      <c r="N128" s="18">
        <f t="shared" si="18"/>
        <v>-0.22500000000000001</v>
      </c>
      <c r="P128" s="15" t="s">
        <v>31</v>
      </c>
      <c r="Q128" s="15" t="str">
        <f t="shared" si="19"/>
        <v>127,</v>
      </c>
      <c r="R128" s="15" t="str">
        <f t="shared" si="20"/>
        <v>0,</v>
      </c>
      <c r="S128" s="15" t="str">
        <f t="shared" si="21"/>
        <v>0,</v>
      </c>
      <c r="T128" s="16">
        <f t="shared" si="22"/>
        <v>120</v>
      </c>
      <c r="U128" s="16" t="s">
        <v>32</v>
      </c>
      <c r="V128" s="16" t="str">
        <f t="shared" si="23"/>
        <v>127,</v>
      </c>
      <c r="W128" s="17" t="str">
        <f t="shared" si="24"/>
        <v/>
      </c>
      <c r="X128" s="17" t="str">
        <f t="shared" si="30"/>
        <v/>
      </c>
      <c r="Y128" s="17" t="str">
        <f t="shared" si="28"/>
        <v>UY</v>
      </c>
      <c r="Z128" s="17" t="s">
        <v>33</v>
      </c>
      <c r="AA128" s="17" t="str">
        <f t="shared" si="25"/>
        <v>127,</v>
      </c>
      <c r="AB128" s="17" t="s">
        <v>34</v>
      </c>
      <c r="AC128" s="18">
        <f t="shared" si="26"/>
        <v>0.873</v>
      </c>
    </row>
    <row r="129" spans="1:29" x14ac:dyDescent="0.3">
      <c r="A129" s="17">
        <v>128</v>
      </c>
      <c r="B129" s="17">
        <v>30</v>
      </c>
      <c r="C129" s="17">
        <v>0</v>
      </c>
      <c r="D129" s="17">
        <v>120</v>
      </c>
      <c r="H129" s="18">
        <v>900</v>
      </c>
      <c r="I129" s="18">
        <v>0</v>
      </c>
      <c r="J129" s="18">
        <v>0</v>
      </c>
      <c r="K129" s="18">
        <f t="shared" si="17"/>
        <v>-0.38250000000000001</v>
      </c>
      <c r="L129" s="18">
        <v>0</v>
      </c>
      <c r="M129" s="18">
        <v>0</v>
      </c>
      <c r="N129" s="18">
        <f t="shared" si="18"/>
        <v>-0.22500000000000001</v>
      </c>
      <c r="P129" s="15" t="s">
        <v>31</v>
      </c>
      <c r="Q129" s="15" t="str">
        <f t="shared" si="19"/>
        <v>128,</v>
      </c>
      <c r="R129" s="15" t="str">
        <f t="shared" si="20"/>
        <v>30,</v>
      </c>
      <c r="S129" s="15" t="str">
        <f t="shared" si="21"/>
        <v>0,</v>
      </c>
      <c r="T129" s="16">
        <f t="shared" si="22"/>
        <v>120</v>
      </c>
      <c r="U129" s="16" t="s">
        <v>32</v>
      </c>
      <c r="V129" s="16" t="str">
        <f t="shared" si="23"/>
        <v>128,</v>
      </c>
      <c r="W129" s="17" t="str">
        <f t="shared" si="24"/>
        <v/>
      </c>
      <c r="X129" s="17" t="str">
        <f>IF(F129=1,"UZ","")</f>
        <v/>
      </c>
      <c r="Y129" s="17" t="str">
        <f t="shared" si="28"/>
        <v/>
      </c>
      <c r="Z129" s="17" t="s">
        <v>33</v>
      </c>
      <c r="AA129" s="17" t="str">
        <f t="shared" si="25"/>
        <v>128,</v>
      </c>
      <c r="AB129" s="17" t="s">
        <v>34</v>
      </c>
      <c r="AC129" s="18">
        <f t="shared" si="26"/>
        <v>0.873</v>
      </c>
    </row>
    <row r="130" spans="1:29" x14ac:dyDescent="0.3">
      <c r="A130" s="17">
        <v>129</v>
      </c>
      <c r="B130" s="17">
        <v>60</v>
      </c>
      <c r="C130" s="17">
        <v>0</v>
      </c>
      <c r="D130" s="17">
        <v>120</v>
      </c>
      <c r="H130" s="18">
        <v>900</v>
      </c>
      <c r="I130" s="18">
        <v>0</v>
      </c>
      <c r="J130" s="18">
        <v>0</v>
      </c>
      <c r="K130" s="18">
        <f t="shared" ref="K130:K193" si="31">-H130*4.25/10000</f>
        <v>-0.38250000000000001</v>
      </c>
      <c r="L130" s="18">
        <v>0</v>
      </c>
      <c r="M130" s="18">
        <v>0</v>
      </c>
      <c r="N130" s="18">
        <f t="shared" ref="N130:N193" si="32">-H130*2.5/10000</f>
        <v>-0.22500000000000001</v>
      </c>
      <c r="P130" s="15" t="s">
        <v>31</v>
      </c>
      <c r="Q130" s="15" t="str">
        <f t="shared" ref="Q130:Q193" si="33">A130&amp;","</f>
        <v>129,</v>
      </c>
      <c r="R130" s="15" t="str">
        <f t="shared" ref="R130:R193" si="34">B130&amp;","</f>
        <v>60,</v>
      </c>
      <c r="S130" s="15" t="str">
        <f t="shared" ref="S130:S193" si="35">C130&amp;","</f>
        <v>0,</v>
      </c>
      <c r="T130" s="16">
        <f t="shared" ref="T130:T193" si="36">D130</f>
        <v>120</v>
      </c>
      <c r="U130" s="16" t="s">
        <v>32</v>
      </c>
      <c r="V130" s="16" t="str">
        <f t="shared" ref="V130:V193" si="37">A130&amp;","</f>
        <v>129,</v>
      </c>
      <c r="W130" s="17" t="str">
        <f t="shared" ref="W130:W193" si="38">IF(E130=1,"UX","")</f>
        <v/>
      </c>
      <c r="X130" s="17" t="str">
        <f>IF(F130=1,"UZ","")</f>
        <v/>
      </c>
      <c r="Y130" s="17" t="str">
        <f t="shared" si="28"/>
        <v/>
      </c>
      <c r="Z130" s="17" t="s">
        <v>33</v>
      </c>
      <c r="AA130" s="17" t="str">
        <f t="shared" ref="AA130:AA193" si="39">Q130</f>
        <v>129,</v>
      </c>
      <c r="AB130" s="17" t="s">
        <v>34</v>
      </c>
      <c r="AC130" s="18">
        <f t="shared" ref="AC130:AC193" si="40">-(1.4*K130+1.5*N130)</f>
        <v>0.873</v>
      </c>
    </row>
    <row r="131" spans="1:29" x14ac:dyDescent="0.3">
      <c r="A131" s="17">
        <v>130</v>
      </c>
      <c r="B131" s="17">
        <v>90</v>
      </c>
      <c r="C131" s="17">
        <v>0</v>
      </c>
      <c r="D131" s="17">
        <v>120</v>
      </c>
      <c r="H131" s="18">
        <v>900</v>
      </c>
      <c r="I131" s="18">
        <v>0</v>
      </c>
      <c r="J131" s="18">
        <v>0</v>
      </c>
      <c r="K131" s="18">
        <f t="shared" si="31"/>
        <v>-0.38250000000000001</v>
      </c>
      <c r="L131" s="18">
        <v>0</v>
      </c>
      <c r="M131" s="18">
        <v>0</v>
      </c>
      <c r="N131" s="18">
        <f t="shared" si="32"/>
        <v>-0.22500000000000001</v>
      </c>
      <c r="P131" s="15" t="s">
        <v>31</v>
      </c>
      <c r="Q131" s="15" t="str">
        <f t="shared" si="33"/>
        <v>130,</v>
      </c>
      <c r="R131" s="15" t="str">
        <f t="shared" si="34"/>
        <v>90,</v>
      </c>
      <c r="S131" s="15" t="str">
        <f t="shared" si="35"/>
        <v>0,</v>
      </c>
      <c r="T131" s="16">
        <f t="shared" si="36"/>
        <v>120</v>
      </c>
      <c r="U131" s="16" t="s">
        <v>32</v>
      </c>
      <c r="V131" s="16" t="str">
        <f t="shared" si="37"/>
        <v>130,</v>
      </c>
      <c r="W131" s="17" t="str">
        <f t="shared" si="38"/>
        <v/>
      </c>
      <c r="X131" s="17" t="str">
        <f t="shared" ref="X131:X148" si="41">IF(F131=1,"UY","")</f>
        <v/>
      </c>
      <c r="Y131" s="17" t="str">
        <f t="shared" si="28"/>
        <v/>
      </c>
      <c r="Z131" s="17" t="s">
        <v>33</v>
      </c>
      <c r="AA131" s="17" t="str">
        <f t="shared" si="39"/>
        <v>130,</v>
      </c>
      <c r="AB131" s="17" t="s">
        <v>34</v>
      </c>
      <c r="AC131" s="18">
        <f t="shared" si="40"/>
        <v>0.873</v>
      </c>
    </row>
    <row r="132" spans="1:29" x14ac:dyDescent="0.3">
      <c r="A132" s="17">
        <v>131</v>
      </c>
      <c r="B132" s="17">
        <v>120</v>
      </c>
      <c r="C132" s="17">
        <v>0</v>
      </c>
      <c r="D132" s="17">
        <v>120</v>
      </c>
      <c r="H132" s="18">
        <v>900</v>
      </c>
      <c r="I132" s="18">
        <v>0</v>
      </c>
      <c r="J132" s="18">
        <v>0</v>
      </c>
      <c r="K132" s="18">
        <f t="shared" si="31"/>
        <v>-0.38250000000000001</v>
      </c>
      <c r="L132" s="18">
        <v>0</v>
      </c>
      <c r="M132" s="18">
        <v>0</v>
      </c>
      <c r="N132" s="18">
        <f t="shared" si="32"/>
        <v>-0.22500000000000001</v>
      </c>
      <c r="P132" s="15" t="s">
        <v>31</v>
      </c>
      <c r="Q132" s="15" t="str">
        <f t="shared" si="33"/>
        <v>131,</v>
      </c>
      <c r="R132" s="15" t="str">
        <f t="shared" si="34"/>
        <v>120,</v>
      </c>
      <c r="S132" s="15" t="str">
        <f t="shared" si="35"/>
        <v>0,</v>
      </c>
      <c r="T132" s="16">
        <f t="shared" si="36"/>
        <v>120</v>
      </c>
      <c r="U132" s="16" t="s">
        <v>32</v>
      </c>
      <c r="V132" s="16" t="str">
        <f t="shared" si="37"/>
        <v>131,</v>
      </c>
      <c r="W132" s="17" t="str">
        <f t="shared" si="38"/>
        <v/>
      </c>
      <c r="X132" s="17" t="str">
        <f t="shared" si="41"/>
        <v/>
      </c>
      <c r="Y132" s="17" t="str">
        <f t="shared" si="28"/>
        <v/>
      </c>
      <c r="Z132" s="17" t="s">
        <v>33</v>
      </c>
      <c r="AA132" s="17" t="str">
        <f t="shared" si="39"/>
        <v>131,</v>
      </c>
      <c r="AB132" s="17" t="s">
        <v>34</v>
      </c>
      <c r="AC132" s="18">
        <f t="shared" si="40"/>
        <v>0.873</v>
      </c>
    </row>
    <row r="133" spans="1:29" x14ac:dyDescent="0.3">
      <c r="A133" s="17">
        <v>132</v>
      </c>
      <c r="B133" s="17">
        <v>150</v>
      </c>
      <c r="C133" s="17">
        <v>0</v>
      </c>
      <c r="D133" s="17">
        <v>120</v>
      </c>
      <c r="H133" s="18">
        <v>900</v>
      </c>
      <c r="I133" s="18">
        <v>0</v>
      </c>
      <c r="J133" s="18">
        <v>0</v>
      </c>
      <c r="K133" s="18">
        <f t="shared" si="31"/>
        <v>-0.38250000000000001</v>
      </c>
      <c r="L133" s="18">
        <v>0</v>
      </c>
      <c r="M133" s="18">
        <v>0</v>
      </c>
      <c r="N133" s="18">
        <f t="shared" si="32"/>
        <v>-0.22500000000000001</v>
      </c>
      <c r="P133" s="15" t="s">
        <v>31</v>
      </c>
      <c r="Q133" s="15" t="str">
        <f t="shared" si="33"/>
        <v>132,</v>
      </c>
      <c r="R133" s="15" t="str">
        <f t="shared" si="34"/>
        <v>150,</v>
      </c>
      <c r="S133" s="15" t="str">
        <f t="shared" si="35"/>
        <v>0,</v>
      </c>
      <c r="T133" s="16">
        <f t="shared" si="36"/>
        <v>120</v>
      </c>
      <c r="U133" s="16" t="s">
        <v>32</v>
      </c>
      <c r="V133" s="16" t="str">
        <f t="shared" si="37"/>
        <v>132,</v>
      </c>
      <c r="W133" s="17" t="str">
        <f t="shared" si="38"/>
        <v/>
      </c>
      <c r="X133" s="17" t="str">
        <f t="shared" si="41"/>
        <v/>
      </c>
      <c r="Y133" s="17" t="str">
        <f t="shared" si="28"/>
        <v/>
      </c>
      <c r="Z133" s="17" t="s">
        <v>33</v>
      </c>
      <c r="AA133" s="17" t="str">
        <f t="shared" si="39"/>
        <v>132,</v>
      </c>
      <c r="AB133" s="17" t="s">
        <v>34</v>
      </c>
      <c r="AC133" s="18">
        <f t="shared" si="40"/>
        <v>0.873</v>
      </c>
    </row>
    <row r="134" spans="1:29" x14ac:dyDescent="0.3">
      <c r="A134" s="17">
        <v>133</v>
      </c>
      <c r="B134" s="17">
        <v>180</v>
      </c>
      <c r="C134" s="17">
        <v>0</v>
      </c>
      <c r="D134" s="17">
        <v>120</v>
      </c>
      <c r="H134" s="18">
        <v>900</v>
      </c>
      <c r="I134" s="18">
        <v>0</v>
      </c>
      <c r="J134" s="18">
        <v>0</v>
      </c>
      <c r="K134" s="18">
        <f t="shared" si="31"/>
        <v>-0.38250000000000001</v>
      </c>
      <c r="L134" s="18">
        <v>0</v>
      </c>
      <c r="M134" s="18">
        <v>0</v>
      </c>
      <c r="N134" s="18">
        <f t="shared" si="32"/>
        <v>-0.22500000000000001</v>
      </c>
      <c r="P134" s="15" t="s">
        <v>31</v>
      </c>
      <c r="Q134" s="15" t="str">
        <f t="shared" si="33"/>
        <v>133,</v>
      </c>
      <c r="R134" s="15" t="str">
        <f t="shared" si="34"/>
        <v>180,</v>
      </c>
      <c r="S134" s="15" t="str">
        <f t="shared" si="35"/>
        <v>0,</v>
      </c>
      <c r="T134" s="16">
        <f t="shared" si="36"/>
        <v>120</v>
      </c>
      <c r="U134" s="16" t="s">
        <v>32</v>
      </c>
      <c r="V134" s="16" t="str">
        <f t="shared" si="37"/>
        <v>133,</v>
      </c>
      <c r="W134" s="17" t="str">
        <f t="shared" si="38"/>
        <v/>
      </c>
      <c r="X134" s="17" t="str">
        <f t="shared" si="41"/>
        <v/>
      </c>
      <c r="Y134" s="17" t="str">
        <f t="shared" si="28"/>
        <v/>
      </c>
      <c r="Z134" s="17" t="s">
        <v>33</v>
      </c>
      <c r="AA134" s="17" t="str">
        <f t="shared" si="39"/>
        <v>133,</v>
      </c>
      <c r="AB134" s="17" t="s">
        <v>34</v>
      </c>
      <c r="AC134" s="18">
        <f t="shared" si="40"/>
        <v>0.873</v>
      </c>
    </row>
    <row r="135" spans="1:29" x14ac:dyDescent="0.3">
      <c r="A135" s="17">
        <v>134</v>
      </c>
      <c r="B135" s="17">
        <v>210</v>
      </c>
      <c r="C135" s="17">
        <v>0</v>
      </c>
      <c r="D135" s="17">
        <v>120</v>
      </c>
      <c r="H135" s="18">
        <v>900</v>
      </c>
      <c r="I135" s="18">
        <v>0</v>
      </c>
      <c r="J135" s="18">
        <v>0</v>
      </c>
      <c r="K135" s="18">
        <f t="shared" si="31"/>
        <v>-0.38250000000000001</v>
      </c>
      <c r="L135" s="18">
        <v>0</v>
      </c>
      <c r="M135" s="18">
        <v>0</v>
      </c>
      <c r="N135" s="18">
        <f t="shared" si="32"/>
        <v>-0.22500000000000001</v>
      </c>
      <c r="P135" s="15" t="s">
        <v>31</v>
      </c>
      <c r="Q135" s="15" t="str">
        <f t="shared" si="33"/>
        <v>134,</v>
      </c>
      <c r="R135" s="15" t="str">
        <f t="shared" si="34"/>
        <v>210,</v>
      </c>
      <c r="S135" s="15" t="str">
        <f t="shared" si="35"/>
        <v>0,</v>
      </c>
      <c r="T135" s="16">
        <f t="shared" si="36"/>
        <v>120</v>
      </c>
      <c r="U135" s="16" t="s">
        <v>32</v>
      </c>
      <c r="V135" s="16" t="str">
        <f t="shared" si="37"/>
        <v>134,</v>
      </c>
      <c r="W135" s="17" t="str">
        <f t="shared" si="38"/>
        <v/>
      </c>
      <c r="X135" s="17" t="str">
        <f t="shared" si="41"/>
        <v/>
      </c>
      <c r="Y135" s="17" t="str">
        <f t="shared" si="28"/>
        <v/>
      </c>
      <c r="Z135" s="17" t="s">
        <v>33</v>
      </c>
      <c r="AA135" s="17" t="str">
        <f t="shared" si="39"/>
        <v>134,</v>
      </c>
      <c r="AB135" s="17" t="s">
        <v>34</v>
      </c>
      <c r="AC135" s="18">
        <f t="shared" si="40"/>
        <v>0.873</v>
      </c>
    </row>
    <row r="136" spans="1:29" x14ac:dyDescent="0.3">
      <c r="A136" s="17">
        <v>135</v>
      </c>
      <c r="B136" s="17">
        <v>240</v>
      </c>
      <c r="C136" s="17">
        <v>0</v>
      </c>
      <c r="D136" s="17">
        <v>120</v>
      </c>
      <c r="H136" s="18">
        <v>900</v>
      </c>
      <c r="I136" s="18">
        <v>0</v>
      </c>
      <c r="J136" s="18">
        <v>0</v>
      </c>
      <c r="K136" s="18">
        <f t="shared" si="31"/>
        <v>-0.38250000000000001</v>
      </c>
      <c r="L136" s="18">
        <v>0</v>
      </c>
      <c r="M136" s="18">
        <v>0</v>
      </c>
      <c r="N136" s="18">
        <f t="shared" si="32"/>
        <v>-0.22500000000000001</v>
      </c>
      <c r="P136" s="15" t="s">
        <v>31</v>
      </c>
      <c r="Q136" s="15" t="str">
        <f t="shared" si="33"/>
        <v>135,</v>
      </c>
      <c r="R136" s="15" t="str">
        <f t="shared" si="34"/>
        <v>240,</v>
      </c>
      <c r="S136" s="15" t="str">
        <f t="shared" si="35"/>
        <v>0,</v>
      </c>
      <c r="T136" s="16">
        <f t="shared" si="36"/>
        <v>120</v>
      </c>
      <c r="U136" s="16" t="s">
        <v>32</v>
      </c>
      <c r="V136" s="16" t="str">
        <f t="shared" si="37"/>
        <v>135,</v>
      </c>
      <c r="W136" s="17" t="str">
        <f t="shared" si="38"/>
        <v/>
      </c>
      <c r="X136" s="17" t="str">
        <f t="shared" si="41"/>
        <v/>
      </c>
      <c r="Y136" s="17" t="str">
        <f t="shared" si="28"/>
        <v/>
      </c>
      <c r="Z136" s="17" t="s">
        <v>33</v>
      </c>
      <c r="AA136" s="17" t="str">
        <f t="shared" si="39"/>
        <v>135,</v>
      </c>
      <c r="AB136" s="17" t="s">
        <v>34</v>
      </c>
      <c r="AC136" s="18">
        <f t="shared" si="40"/>
        <v>0.873</v>
      </c>
    </row>
    <row r="137" spans="1:29" x14ac:dyDescent="0.3">
      <c r="A137" s="17">
        <v>136</v>
      </c>
      <c r="B137" s="17">
        <v>270</v>
      </c>
      <c r="C137" s="17">
        <v>0</v>
      </c>
      <c r="D137" s="17">
        <v>120</v>
      </c>
      <c r="H137" s="18">
        <v>900</v>
      </c>
      <c r="I137" s="18">
        <v>0</v>
      </c>
      <c r="J137" s="18">
        <v>0</v>
      </c>
      <c r="K137" s="18">
        <f t="shared" si="31"/>
        <v>-0.38250000000000001</v>
      </c>
      <c r="L137" s="18">
        <v>0</v>
      </c>
      <c r="M137" s="18">
        <v>0</v>
      </c>
      <c r="N137" s="18">
        <f t="shared" si="32"/>
        <v>-0.22500000000000001</v>
      </c>
      <c r="P137" s="15" t="s">
        <v>31</v>
      </c>
      <c r="Q137" s="15" t="str">
        <f t="shared" si="33"/>
        <v>136,</v>
      </c>
      <c r="R137" s="15" t="str">
        <f t="shared" si="34"/>
        <v>270,</v>
      </c>
      <c r="S137" s="15" t="str">
        <f t="shared" si="35"/>
        <v>0,</v>
      </c>
      <c r="T137" s="16">
        <f t="shared" si="36"/>
        <v>120</v>
      </c>
      <c r="U137" s="16" t="s">
        <v>32</v>
      </c>
      <c r="V137" s="16" t="str">
        <f t="shared" si="37"/>
        <v>136,</v>
      </c>
      <c r="W137" s="17" t="str">
        <f t="shared" si="38"/>
        <v/>
      </c>
      <c r="X137" s="17" t="str">
        <f t="shared" si="41"/>
        <v/>
      </c>
      <c r="Y137" s="17" t="str">
        <f t="shared" si="28"/>
        <v/>
      </c>
      <c r="Z137" s="17" t="s">
        <v>33</v>
      </c>
      <c r="AA137" s="17" t="str">
        <f t="shared" si="39"/>
        <v>136,</v>
      </c>
      <c r="AB137" s="17" t="s">
        <v>34</v>
      </c>
      <c r="AC137" s="18">
        <f t="shared" si="40"/>
        <v>0.873</v>
      </c>
    </row>
    <row r="138" spans="1:29" x14ac:dyDescent="0.3">
      <c r="A138" s="17">
        <v>137</v>
      </c>
      <c r="B138" s="17">
        <v>300</v>
      </c>
      <c r="C138" s="17">
        <v>0</v>
      </c>
      <c r="D138" s="17">
        <v>120</v>
      </c>
      <c r="H138" s="18">
        <v>900</v>
      </c>
      <c r="I138" s="18">
        <v>0</v>
      </c>
      <c r="J138" s="18">
        <v>0</v>
      </c>
      <c r="K138" s="18">
        <f t="shared" si="31"/>
        <v>-0.38250000000000001</v>
      </c>
      <c r="L138" s="18">
        <v>0</v>
      </c>
      <c r="M138" s="18">
        <v>0</v>
      </c>
      <c r="N138" s="18">
        <f t="shared" si="32"/>
        <v>-0.22500000000000001</v>
      </c>
      <c r="P138" s="15" t="s">
        <v>31</v>
      </c>
      <c r="Q138" s="15" t="str">
        <f t="shared" si="33"/>
        <v>137,</v>
      </c>
      <c r="R138" s="15" t="str">
        <f t="shared" si="34"/>
        <v>300,</v>
      </c>
      <c r="S138" s="15" t="str">
        <f t="shared" si="35"/>
        <v>0,</v>
      </c>
      <c r="T138" s="16">
        <f t="shared" si="36"/>
        <v>120</v>
      </c>
      <c r="U138" s="16" t="s">
        <v>32</v>
      </c>
      <c r="V138" s="16" t="str">
        <f t="shared" si="37"/>
        <v>137,</v>
      </c>
      <c r="W138" s="17" t="str">
        <f t="shared" si="38"/>
        <v/>
      </c>
      <c r="X138" s="17" t="str">
        <f t="shared" si="41"/>
        <v/>
      </c>
      <c r="Y138" s="17" t="str">
        <f t="shared" si="28"/>
        <v/>
      </c>
      <c r="Z138" s="17" t="s">
        <v>33</v>
      </c>
      <c r="AA138" s="17" t="str">
        <f t="shared" si="39"/>
        <v>137,</v>
      </c>
      <c r="AB138" s="17" t="s">
        <v>34</v>
      </c>
      <c r="AC138" s="18">
        <f t="shared" si="40"/>
        <v>0.873</v>
      </c>
    </row>
    <row r="139" spans="1:29" x14ac:dyDescent="0.3">
      <c r="A139" s="17">
        <v>138</v>
      </c>
      <c r="B139" s="17">
        <v>330</v>
      </c>
      <c r="C139" s="17">
        <v>0</v>
      </c>
      <c r="D139" s="17">
        <v>120</v>
      </c>
      <c r="H139" s="18">
        <v>900</v>
      </c>
      <c r="I139" s="18">
        <v>0</v>
      </c>
      <c r="J139" s="18">
        <v>0</v>
      </c>
      <c r="K139" s="18">
        <f t="shared" si="31"/>
        <v>-0.38250000000000001</v>
      </c>
      <c r="L139" s="18">
        <v>0</v>
      </c>
      <c r="M139" s="18">
        <v>0</v>
      </c>
      <c r="N139" s="18">
        <f t="shared" si="32"/>
        <v>-0.22500000000000001</v>
      </c>
      <c r="P139" s="15" t="s">
        <v>31</v>
      </c>
      <c r="Q139" s="15" t="str">
        <f t="shared" si="33"/>
        <v>138,</v>
      </c>
      <c r="R139" s="15" t="str">
        <f t="shared" si="34"/>
        <v>330,</v>
      </c>
      <c r="S139" s="15" t="str">
        <f t="shared" si="35"/>
        <v>0,</v>
      </c>
      <c r="T139" s="16">
        <f t="shared" si="36"/>
        <v>120</v>
      </c>
      <c r="U139" s="16" t="s">
        <v>32</v>
      </c>
      <c r="V139" s="16" t="str">
        <f t="shared" si="37"/>
        <v>138,</v>
      </c>
      <c r="W139" s="17" t="str">
        <f t="shared" si="38"/>
        <v/>
      </c>
      <c r="X139" s="17" t="str">
        <f t="shared" si="41"/>
        <v/>
      </c>
      <c r="Y139" s="17" t="str">
        <f t="shared" si="28"/>
        <v/>
      </c>
      <c r="Z139" s="17" t="s">
        <v>33</v>
      </c>
      <c r="AA139" s="17" t="str">
        <f t="shared" si="39"/>
        <v>138,</v>
      </c>
      <c r="AB139" s="17" t="s">
        <v>34</v>
      </c>
      <c r="AC139" s="18">
        <f t="shared" si="40"/>
        <v>0.873</v>
      </c>
    </row>
    <row r="140" spans="1:29" x14ac:dyDescent="0.3">
      <c r="A140" s="17">
        <v>139</v>
      </c>
      <c r="B140" s="17">
        <v>360</v>
      </c>
      <c r="C140" s="17">
        <v>0</v>
      </c>
      <c r="D140" s="17">
        <v>120</v>
      </c>
      <c r="H140" s="18">
        <v>900</v>
      </c>
      <c r="I140" s="18">
        <v>0</v>
      </c>
      <c r="J140" s="18">
        <v>0</v>
      </c>
      <c r="K140" s="18">
        <f t="shared" si="31"/>
        <v>-0.38250000000000001</v>
      </c>
      <c r="L140" s="18">
        <v>0</v>
      </c>
      <c r="M140" s="18">
        <v>0</v>
      </c>
      <c r="N140" s="18">
        <f t="shared" si="32"/>
        <v>-0.22500000000000001</v>
      </c>
      <c r="P140" s="15" t="s">
        <v>31</v>
      </c>
      <c r="Q140" s="15" t="str">
        <f t="shared" si="33"/>
        <v>139,</v>
      </c>
      <c r="R140" s="15" t="str">
        <f t="shared" si="34"/>
        <v>360,</v>
      </c>
      <c r="S140" s="15" t="str">
        <f t="shared" si="35"/>
        <v>0,</v>
      </c>
      <c r="T140" s="16">
        <f t="shared" si="36"/>
        <v>120</v>
      </c>
      <c r="U140" s="16" t="s">
        <v>32</v>
      </c>
      <c r="V140" s="16" t="str">
        <f t="shared" si="37"/>
        <v>139,</v>
      </c>
      <c r="W140" s="17" t="str">
        <f t="shared" si="38"/>
        <v/>
      </c>
      <c r="X140" s="17" t="str">
        <f t="shared" si="41"/>
        <v/>
      </c>
      <c r="Y140" s="17" t="str">
        <f t="shared" si="28"/>
        <v/>
      </c>
      <c r="Z140" s="17" t="s">
        <v>33</v>
      </c>
      <c r="AA140" s="17" t="str">
        <f t="shared" si="39"/>
        <v>139,</v>
      </c>
      <c r="AB140" s="17" t="s">
        <v>34</v>
      </c>
      <c r="AC140" s="18">
        <f t="shared" si="40"/>
        <v>0.873</v>
      </c>
    </row>
    <row r="141" spans="1:29" x14ac:dyDescent="0.3">
      <c r="A141" s="17">
        <v>140</v>
      </c>
      <c r="B141" s="17">
        <v>390</v>
      </c>
      <c r="C141" s="17">
        <v>0</v>
      </c>
      <c r="D141" s="17">
        <v>120</v>
      </c>
      <c r="H141" s="18">
        <v>900</v>
      </c>
      <c r="I141" s="18">
        <v>0</v>
      </c>
      <c r="J141" s="18">
        <v>0</v>
      </c>
      <c r="K141" s="18">
        <f t="shared" si="31"/>
        <v>-0.38250000000000001</v>
      </c>
      <c r="L141" s="18">
        <v>0</v>
      </c>
      <c r="M141" s="18">
        <v>0</v>
      </c>
      <c r="N141" s="18">
        <f t="shared" si="32"/>
        <v>-0.22500000000000001</v>
      </c>
      <c r="P141" s="15" t="s">
        <v>31</v>
      </c>
      <c r="Q141" s="15" t="str">
        <f t="shared" si="33"/>
        <v>140,</v>
      </c>
      <c r="R141" s="15" t="str">
        <f t="shared" si="34"/>
        <v>390,</v>
      </c>
      <c r="S141" s="15" t="str">
        <f t="shared" si="35"/>
        <v>0,</v>
      </c>
      <c r="T141" s="16">
        <f t="shared" si="36"/>
        <v>120</v>
      </c>
      <c r="U141" s="16" t="s">
        <v>32</v>
      </c>
      <c r="V141" s="16" t="str">
        <f t="shared" si="37"/>
        <v>140,</v>
      </c>
      <c r="W141" s="17" t="str">
        <f t="shared" si="38"/>
        <v/>
      </c>
      <c r="X141" s="17" t="str">
        <f t="shared" si="41"/>
        <v/>
      </c>
      <c r="Y141" s="17" t="str">
        <f t="shared" si="28"/>
        <v/>
      </c>
      <c r="Z141" s="17" t="s">
        <v>33</v>
      </c>
      <c r="AA141" s="17" t="str">
        <f t="shared" si="39"/>
        <v>140,</v>
      </c>
      <c r="AB141" s="17" t="s">
        <v>34</v>
      </c>
      <c r="AC141" s="18">
        <f t="shared" si="40"/>
        <v>0.873</v>
      </c>
    </row>
    <row r="142" spans="1:29" x14ac:dyDescent="0.3">
      <c r="A142" s="17">
        <v>141</v>
      </c>
      <c r="B142" s="17">
        <v>420</v>
      </c>
      <c r="C142" s="17">
        <v>0</v>
      </c>
      <c r="D142" s="17">
        <v>120</v>
      </c>
      <c r="H142" s="18">
        <v>900</v>
      </c>
      <c r="I142" s="18">
        <v>0</v>
      </c>
      <c r="J142" s="18">
        <v>0</v>
      </c>
      <c r="K142" s="18">
        <f t="shared" si="31"/>
        <v>-0.38250000000000001</v>
      </c>
      <c r="L142" s="18">
        <v>0</v>
      </c>
      <c r="M142" s="18">
        <v>0</v>
      </c>
      <c r="N142" s="18">
        <f t="shared" si="32"/>
        <v>-0.22500000000000001</v>
      </c>
      <c r="P142" s="15" t="s">
        <v>31</v>
      </c>
      <c r="Q142" s="15" t="str">
        <f t="shared" si="33"/>
        <v>141,</v>
      </c>
      <c r="R142" s="15" t="str">
        <f t="shared" si="34"/>
        <v>420,</v>
      </c>
      <c r="S142" s="15" t="str">
        <f t="shared" si="35"/>
        <v>0,</v>
      </c>
      <c r="T142" s="16">
        <f t="shared" si="36"/>
        <v>120</v>
      </c>
      <c r="U142" s="16" t="s">
        <v>32</v>
      </c>
      <c r="V142" s="16" t="str">
        <f t="shared" si="37"/>
        <v>141,</v>
      </c>
      <c r="W142" s="17" t="str">
        <f t="shared" si="38"/>
        <v/>
      </c>
      <c r="X142" s="17" t="str">
        <f t="shared" si="41"/>
        <v/>
      </c>
      <c r="Y142" s="17" t="str">
        <f t="shared" si="28"/>
        <v/>
      </c>
      <c r="Z142" s="17" t="s">
        <v>33</v>
      </c>
      <c r="AA142" s="17" t="str">
        <f t="shared" si="39"/>
        <v>141,</v>
      </c>
      <c r="AB142" s="17" t="s">
        <v>34</v>
      </c>
      <c r="AC142" s="18">
        <f t="shared" si="40"/>
        <v>0.873</v>
      </c>
    </row>
    <row r="143" spans="1:29" x14ac:dyDescent="0.3">
      <c r="A143" s="17">
        <v>142</v>
      </c>
      <c r="B143" s="17">
        <v>450</v>
      </c>
      <c r="C143" s="17">
        <v>0</v>
      </c>
      <c r="D143" s="17">
        <v>120</v>
      </c>
      <c r="H143" s="18">
        <v>900</v>
      </c>
      <c r="I143" s="18">
        <v>0</v>
      </c>
      <c r="J143" s="18">
        <v>0</v>
      </c>
      <c r="K143" s="18">
        <f t="shared" si="31"/>
        <v>-0.38250000000000001</v>
      </c>
      <c r="L143" s="18">
        <v>0</v>
      </c>
      <c r="M143" s="18">
        <v>0</v>
      </c>
      <c r="N143" s="18">
        <f t="shared" si="32"/>
        <v>-0.22500000000000001</v>
      </c>
      <c r="P143" s="15" t="s">
        <v>31</v>
      </c>
      <c r="Q143" s="15" t="str">
        <f t="shared" si="33"/>
        <v>142,</v>
      </c>
      <c r="R143" s="15" t="str">
        <f t="shared" si="34"/>
        <v>450,</v>
      </c>
      <c r="S143" s="15" t="str">
        <f t="shared" si="35"/>
        <v>0,</v>
      </c>
      <c r="T143" s="16">
        <f t="shared" si="36"/>
        <v>120</v>
      </c>
      <c r="U143" s="16" t="s">
        <v>32</v>
      </c>
      <c r="V143" s="16" t="str">
        <f t="shared" si="37"/>
        <v>142,</v>
      </c>
      <c r="W143" s="17" t="str">
        <f t="shared" si="38"/>
        <v/>
      </c>
      <c r="X143" s="17" t="str">
        <f t="shared" si="41"/>
        <v/>
      </c>
      <c r="Y143" s="17" t="str">
        <f t="shared" si="28"/>
        <v/>
      </c>
      <c r="Z143" s="17" t="s">
        <v>33</v>
      </c>
      <c r="AA143" s="17" t="str">
        <f t="shared" si="39"/>
        <v>142,</v>
      </c>
      <c r="AB143" s="17" t="s">
        <v>34</v>
      </c>
      <c r="AC143" s="18">
        <f t="shared" si="40"/>
        <v>0.873</v>
      </c>
    </row>
    <row r="144" spans="1:29" x14ac:dyDescent="0.3">
      <c r="A144" s="17">
        <v>143</v>
      </c>
      <c r="B144" s="17">
        <v>480</v>
      </c>
      <c r="C144" s="17">
        <v>0</v>
      </c>
      <c r="D144" s="17">
        <v>120</v>
      </c>
      <c r="H144" s="18">
        <v>900</v>
      </c>
      <c r="I144" s="18">
        <v>0</v>
      </c>
      <c r="J144" s="18">
        <v>0</v>
      </c>
      <c r="K144" s="18">
        <f t="shared" si="31"/>
        <v>-0.38250000000000001</v>
      </c>
      <c r="L144" s="18">
        <v>0</v>
      </c>
      <c r="M144" s="18">
        <v>0</v>
      </c>
      <c r="N144" s="18">
        <f t="shared" si="32"/>
        <v>-0.22500000000000001</v>
      </c>
      <c r="P144" s="15" t="s">
        <v>31</v>
      </c>
      <c r="Q144" s="15" t="str">
        <f t="shared" si="33"/>
        <v>143,</v>
      </c>
      <c r="R144" s="15" t="str">
        <f t="shared" si="34"/>
        <v>480,</v>
      </c>
      <c r="S144" s="15" t="str">
        <f t="shared" si="35"/>
        <v>0,</v>
      </c>
      <c r="T144" s="16">
        <f t="shared" si="36"/>
        <v>120</v>
      </c>
      <c r="U144" s="16" t="s">
        <v>32</v>
      </c>
      <c r="V144" s="16" t="str">
        <f t="shared" si="37"/>
        <v>143,</v>
      </c>
      <c r="W144" s="17" t="str">
        <f t="shared" si="38"/>
        <v/>
      </c>
      <c r="X144" s="17" t="str">
        <f t="shared" si="41"/>
        <v/>
      </c>
      <c r="Y144" s="17" t="str">
        <f t="shared" si="28"/>
        <v/>
      </c>
      <c r="Z144" s="17" t="s">
        <v>33</v>
      </c>
      <c r="AA144" s="17" t="str">
        <f t="shared" si="39"/>
        <v>143,</v>
      </c>
      <c r="AB144" s="17" t="s">
        <v>34</v>
      </c>
      <c r="AC144" s="18">
        <f t="shared" si="40"/>
        <v>0.873</v>
      </c>
    </row>
    <row r="145" spans="1:29" x14ac:dyDescent="0.3">
      <c r="A145" s="17">
        <v>144</v>
      </c>
      <c r="B145" s="17">
        <v>509.99999999999994</v>
      </c>
      <c r="C145" s="17">
        <v>0</v>
      </c>
      <c r="D145" s="17">
        <v>120</v>
      </c>
      <c r="H145" s="18">
        <v>900</v>
      </c>
      <c r="I145" s="18">
        <v>0</v>
      </c>
      <c r="J145" s="18">
        <v>0</v>
      </c>
      <c r="K145" s="18">
        <f t="shared" si="31"/>
        <v>-0.38250000000000001</v>
      </c>
      <c r="L145" s="18">
        <v>0</v>
      </c>
      <c r="M145" s="18">
        <v>0</v>
      </c>
      <c r="N145" s="18">
        <f t="shared" si="32"/>
        <v>-0.22500000000000001</v>
      </c>
      <c r="P145" s="15" t="s">
        <v>31</v>
      </c>
      <c r="Q145" s="15" t="str">
        <f t="shared" si="33"/>
        <v>144,</v>
      </c>
      <c r="R145" s="15" t="str">
        <f t="shared" si="34"/>
        <v>510,</v>
      </c>
      <c r="S145" s="15" t="str">
        <f t="shared" si="35"/>
        <v>0,</v>
      </c>
      <c r="T145" s="16">
        <f t="shared" si="36"/>
        <v>120</v>
      </c>
      <c r="U145" s="16" t="s">
        <v>32</v>
      </c>
      <c r="V145" s="16" t="str">
        <f t="shared" si="37"/>
        <v>144,</v>
      </c>
      <c r="W145" s="17" t="str">
        <f t="shared" si="38"/>
        <v/>
      </c>
      <c r="X145" s="17" t="str">
        <f t="shared" si="41"/>
        <v/>
      </c>
      <c r="Y145" s="17" t="str">
        <f t="shared" si="28"/>
        <v/>
      </c>
      <c r="Z145" s="17" t="s">
        <v>33</v>
      </c>
      <c r="AA145" s="17" t="str">
        <f t="shared" si="39"/>
        <v>144,</v>
      </c>
      <c r="AB145" s="17" t="s">
        <v>34</v>
      </c>
      <c r="AC145" s="18">
        <f t="shared" si="40"/>
        <v>0.873</v>
      </c>
    </row>
    <row r="146" spans="1:29" x14ac:dyDescent="0.3">
      <c r="A146" s="17">
        <v>145</v>
      </c>
      <c r="B146" s="17">
        <v>540</v>
      </c>
      <c r="C146" s="17">
        <v>0</v>
      </c>
      <c r="D146" s="17">
        <v>120</v>
      </c>
      <c r="H146" s="18">
        <v>900</v>
      </c>
      <c r="I146" s="18">
        <v>0</v>
      </c>
      <c r="J146" s="18">
        <v>0</v>
      </c>
      <c r="K146" s="18">
        <f t="shared" si="31"/>
        <v>-0.38250000000000001</v>
      </c>
      <c r="L146" s="18">
        <v>0</v>
      </c>
      <c r="M146" s="18">
        <v>0</v>
      </c>
      <c r="N146" s="18">
        <f t="shared" si="32"/>
        <v>-0.22500000000000001</v>
      </c>
      <c r="P146" s="15" t="s">
        <v>31</v>
      </c>
      <c r="Q146" s="15" t="str">
        <f t="shared" si="33"/>
        <v>145,</v>
      </c>
      <c r="R146" s="15" t="str">
        <f t="shared" si="34"/>
        <v>540,</v>
      </c>
      <c r="S146" s="15" t="str">
        <f t="shared" si="35"/>
        <v>0,</v>
      </c>
      <c r="T146" s="16">
        <f t="shared" si="36"/>
        <v>120</v>
      </c>
      <c r="U146" s="16" t="s">
        <v>32</v>
      </c>
      <c r="V146" s="16" t="str">
        <f t="shared" si="37"/>
        <v>145,</v>
      </c>
      <c r="W146" s="17" t="str">
        <f t="shared" si="38"/>
        <v/>
      </c>
      <c r="X146" s="17" t="str">
        <f t="shared" si="41"/>
        <v/>
      </c>
      <c r="Y146" s="17" t="str">
        <f t="shared" si="28"/>
        <v/>
      </c>
      <c r="Z146" s="17" t="s">
        <v>33</v>
      </c>
      <c r="AA146" s="17" t="str">
        <f t="shared" si="39"/>
        <v>145,</v>
      </c>
      <c r="AB146" s="17" t="s">
        <v>34</v>
      </c>
      <c r="AC146" s="18">
        <f t="shared" si="40"/>
        <v>0.873</v>
      </c>
    </row>
    <row r="147" spans="1:29" x14ac:dyDescent="0.3">
      <c r="A147" s="17">
        <v>146</v>
      </c>
      <c r="B147" s="17">
        <v>570</v>
      </c>
      <c r="C147" s="17">
        <v>0</v>
      </c>
      <c r="D147" s="17">
        <v>120</v>
      </c>
      <c r="H147" s="18">
        <v>900</v>
      </c>
      <c r="I147" s="18">
        <v>0</v>
      </c>
      <c r="J147" s="18">
        <v>0</v>
      </c>
      <c r="K147" s="18">
        <f t="shared" si="31"/>
        <v>-0.38250000000000001</v>
      </c>
      <c r="L147" s="18">
        <v>0</v>
      </c>
      <c r="M147" s="18">
        <v>0</v>
      </c>
      <c r="N147" s="18">
        <f t="shared" si="32"/>
        <v>-0.22500000000000001</v>
      </c>
      <c r="P147" s="15" t="s">
        <v>31</v>
      </c>
      <c r="Q147" s="15" t="str">
        <f t="shared" si="33"/>
        <v>146,</v>
      </c>
      <c r="R147" s="15" t="str">
        <f t="shared" si="34"/>
        <v>570,</v>
      </c>
      <c r="S147" s="15" t="str">
        <f t="shared" si="35"/>
        <v>0,</v>
      </c>
      <c r="T147" s="16">
        <f t="shared" si="36"/>
        <v>120</v>
      </c>
      <c r="U147" s="16" t="s">
        <v>32</v>
      </c>
      <c r="V147" s="16" t="str">
        <f t="shared" si="37"/>
        <v>146,</v>
      </c>
      <c r="W147" s="17" t="str">
        <f t="shared" si="38"/>
        <v/>
      </c>
      <c r="X147" s="17" t="str">
        <f t="shared" si="41"/>
        <v/>
      </c>
      <c r="Y147" s="17" t="str">
        <f t="shared" si="28"/>
        <v/>
      </c>
      <c r="Z147" s="17" t="s">
        <v>33</v>
      </c>
      <c r="AA147" s="17" t="str">
        <f t="shared" si="39"/>
        <v>146,</v>
      </c>
      <c r="AB147" s="17" t="s">
        <v>34</v>
      </c>
      <c r="AC147" s="18">
        <f t="shared" si="40"/>
        <v>0.873</v>
      </c>
    </row>
    <row r="148" spans="1:29" x14ac:dyDescent="0.3">
      <c r="A148" s="17">
        <v>147</v>
      </c>
      <c r="B148" s="17">
        <v>600</v>
      </c>
      <c r="C148" s="17">
        <v>0</v>
      </c>
      <c r="D148" s="17">
        <v>120</v>
      </c>
      <c r="E148" s="17">
        <v>0</v>
      </c>
      <c r="F148" s="17">
        <v>0</v>
      </c>
      <c r="G148" s="17">
        <v>1</v>
      </c>
      <c r="H148" s="18">
        <v>900</v>
      </c>
      <c r="I148" s="18">
        <v>0</v>
      </c>
      <c r="J148" s="18">
        <v>0</v>
      </c>
      <c r="K148" s="18">
        <f t="shared" si="31"/>
        <v>-0.38250000000000001</v>
      </c>
      <c r="L148" s="18">
        <v>0</v>
      </c>
      <c r="M148" s="18">
        <v>0</v>
      </c>
      <c r="N148" s="18">
        <f t="shared" si="32"/>
        <v>-0.22500000000000001</v>
      </c>
      <c r="P148" s="15" t="s">
        <v>31</v>
      </c>
      <c r="Q148" s="15" t="str">
        <f t="shared" si="33"/>
        <v>147,</v>
      </c>
      <c r="R148" s="15" t="str">
        <f t="shared" si="34"/>
        <v>600,</v>
      </c>
      <c r="S148" s="15" t="str">
        <f t="shared" si="35"/>
        <v>0,</v>
      </c>
      <c r="T148" s="16">
        <f t="shared" si="36"/>
        <v>120</v>
      </c>
      <c r="U148" s="16" t="s">
        <v>32</v>
      </c>
      <c r="V148" s="16" t="str">
        <f t="shared" si="37"/>
        <v>147,</v>
      </c>
      <c r="W148" s="17" t="str">
        <f t="shared" si="38"/>
        <v/>
      </c>
      <c r="X148" s="17" t="str">
        <f t="shared" si="41"/>
        <v/>
      </c>
      <c r="Y148" s="17" t="str">
        <f t="shared" si="28"/>
        <v>UY</v>
      </c>
      <c r="Z148" s="17" t="s">
        <v>33</v>
      </c>
      <c r="AA148" s="17" t="str">
        <f t="shared" si="39"/>
        <v>147,</v>
      </c>
      <c r="AB148" s="17" t="s">
        <v>34</v>
      </c>
      <c r="AC148" s="18">
        <f t="shared" si="40"/>
        <v>0.873</v>
      </c>
    </row>
    <row r="149" spans="1:29" x14ac:dyDescent="0.3">
      <c r="A149" s="17">
        <v>148</v>
      </c>
      <c r="B149" s="17">
        <v>0</v>
      </c>
      <c r="C149" s="17">
        <v>0</v>
      </c>
      <c r="D149" s="17">
        <v>90</v>
      </c>
      <c r="E149" s="17">
        <v>0</v>
      </c>
      <c r="F149" s="17">
        <v>0</v>
      </c>
      <c r="G149" s="17">
        <v>1</v>
      </c>
      <c r="H149" s="18">
        <v>900</v>
      </c>
      <c r="I149" s="18">
        <v>0</v>
      </c>
      <c r="J149" s="18">
        <v>0</v>
      </c>
      <c r="K149" s="18">
        <f t="shared" si="31"/>
        <v>-0.38250000000000001</v>
      </c>
      <c r="L149" s="18">
        <v>0</v>
      </c>
      <c r="M149" s="18">
        <v>0</v>
      </c>
      <c r="N149" s="18">
        <f t="shared" si="32"/>
        <v>-0.22500000000000001</v>
      </c>
      <c r="P149" s="15" t="s">
        <v>31</v>
      </c>
      <c r="Q149" s="15" t="str">
        <f t="shared" si="33"/>
        <v>148,</v>
      </c>
      <c r="R149" s="15" t="str">
        <f t="shared" si="34"/>
        <v>0,</v>
      </c>
      <c r="S149" s="15" t="str">
        <f t="shared" si="35"/>
        <v>0,</v>
      </c>
      <c r="T149" s="16">
        <f t="shared" si="36"/>
        <v>90</v>
      </c>
      <c r="U149" s="16" t="s">
        <v>32</v>
      </c>
      <c r="V149" s="16" t="str">
        <f t="shared" si="37"/>
        <v>148,</v>
      </c>
      <c r="W149" s="17" t="str">
        <f t="shared" si="38"/>
        <v/>
      </c>
      <c r="X149" s="17" t="str">
        <f>IF(F149=1,"UZ","")</f>
        <v/>
      </c>
      <c r="Y149" s="17" t="str">
        <f t="shared" si="28"/>
        <v>UY</v>
      </c>
      <c r="Z149" s="17" t="s">
        <v>33</v>
      </c>
      <c r="AA149" s="17" t="str">
        <f t="shared" si="39"/>
        <v>148,</v>
      </c>
      <c r="AB149" s="17" t="s">
        <v>34</v>
      </c>
      <c r="AC149" s="18">
        <f t="shared" si="40"/>
        <v>0.873</v>
      </c>
    </row>
    <row r="150" spans="1:29" x14ac:dyDescent="0.3">
      <c r="A150" s="17">
        <v>149</v>
      </c>
      <c r="B150" s="17">
        <v>30</v>
      </c>
      <c r="C150" s="17">
        <v>0</v>
      </c>
      <c r="D150" s="17">
        <v>90</v>
      </c>
      <c r="H150" s="18">
        <v>900</v>
      </c>
      <c r="I150" s="18">
        <v>0</v>
      </c>
      <c r="J150" s="18">
        <v>0</v>
      </c>
      <c r="K150" s="18">
        <f t="shared" si="31"/>
        <v>-0.38250000000000001</v>
      </c>
      <c r="L150" s="18">
        <v>0</v>
      </c>
      <c r="M150" s="18">
        <v>0</v>
      </c>
      <c r="N150" s="18">
        <f t="shared" si="32"/>
        <v>-0.22500000000000001</v>
      </c>
      <c r="P150" s="15" t="s">
        <v>31</v>
      </c>
      <c r="Q150" s="15" t="str">
        <f t="shared" si="33"/>
        <v>149,</v>
      </c>
      <c r="R150" s="15" t="str">
        <f t="shared" si="34"/>
        <v>30,</v>
      </c>
      <c r="S150" s="15" t="str">
        <f t="shared" si="35"/>
        <v>0,</v>
      </c>
      <c r="T150" s="16">
        <f t="shared" si="36"/>
        <v>90</v>
      </c>
      <c r="U150" s="16" t="s">
        <v>32</v>
      </c>
      <c r="V150" s="16" t="str">
        <f t="shared" si="37"/>
        <v>149,</v>
      </c>
      <c r="W150" s="17" t="str">
        <f t="shared" si="38"/>
        <v/>
      </c>
      <c r="X150" s="17" t="str">
        <f>IF(F150=1,"UZ","")</f>
        <v/>
      </c>
      <c r="Y150" s="17" t="str">
        <f t="shared" si="28"/>
        <v/>
      </c>
      <c r="Z150" s="17" t="s">
        <v>33</v>
      </c>
      <c r="AA150" s="17" t="str">
        <f t="shared" si="39"/>
        <v>149,</v>
      </c>
      <c r="AB150" s="17" t="s">
        <v>34</v>
      </c>
      <c r="AC150" s="18">
        <f t="shared" si="40"/>
        <v>0.873</v>
      </c>
    </row>
    <row r="151" spans="1:29" x14ac:dyDescent="0.3">
      <c r="A151" s="17">
        <v>150</v>
      </c>
      <c r="B151" s="17">
        <v>60</v>
      </c>
      <c r="C151" s="17">
        <v>0</v>
      </c>
      <c r="D151" s="17">
        <v>90</v>
      </c>
      <c r="H151" s="18">
        <v>900</v>
      </c>
      <c r="I151" s="18">
        <v>0</v>
      </c>
      <c r="J151" s="18">
        <v>0</v>
      </c>
      <c r="K151" s="18">
        <f t="shared" si="31"/>
        <v>-0.38250000000000001</v>
      </c>
      <c r="L151" s="18">
        <v>0</v>
      </c>
      <c r="M151" s="18">
        <v>0</v>
      </c>
      <c r="N151" s="18">
        <f t="shared" si="32"/>
        <v>-0.22500000000000001</v>
      </c>
      <c r="P151" s="15" t="s">
        <v>31</v>
      </c>
      <c r="Q151" s="15" t="str">
        <f t="shared" si="33"/>
        <v>150,</v>
      </c>
      <c r="R151" s="15" t="str">
        <f t="shared" si="34"/>
        <v>60,</v>
      </c>
      <c r="S151" s="15" t="str">
        <f t="shared" si="35"/>
        <v>0,</v>
      </c>
      <c r="T151" s="16">
        <f t="shared" si="36"/>
        <v>90</v>
      </c>
      <c r="U151" s="16" t="s">
        <v>32</v>
      </c>
      <c r="V151" s="16" t="str">
        <f t="shared" si="37"/>
        <v>150,</v>
      </c>
      <c r="W151" s="17" t="str">
        <f t="shared" si="38"/>
        <v/>
      </c>
      <c r="X151" s="17" t="str">
        <f t="shared" ref="X151:X169" si="42">IF(F151=1,"UY","")</f>
        <v/>
      </c>
      <c r="Y151" s="17" t="str">
        <f t="shared" ref="Y151:Y211" si="43">IF(G151=1,"UY","")</f>
        <v/>
      </c>
      <c r="Z151" s="17" t="s">
        <v>33</v>
      </c>
      <c r="AA151" s="17" t="str">
        <f t="shared" si="39"/>
        <v>150,</v>
      </c>
      <c r="AB151" s="17" t="s">
        <v>34</v>
      </c>
      <c r="AC151" s="18">
        <f t="shared" si="40"/>
        <v>0.873</v>
      </c>
    </row>
    <row r="152" spans="1:29" x14ac:dyDescent="0.3">
      <c r="A152" s="17">
        <v>151</v>
      </c>
      <c r="B152" s="17">
        <v>90</v>
      </c>
      <c r="C152" s="17">
        <v>0</v>
      </c>
      <c r="D152" s="17">
        <v>90</v>
      </c>
      <c r="H152" s="18">
        <v>900</v>
      </c>
      <c r="I152" s="18">
        <v>0</v>
      </c>
      <c r="J152" s="18">
        <v>0</v>
      </c>
      <c r="K152" s="18">
        <f t="shared" si="31"/>
        <v>-0.38250000000000001</v>
      </c>
      <c r="L152" s="18">
        <v>0</v>
      </c>
      <c r="M152" s="18">
        <v>0</v>
      </c>
      <c r="N152" s="18">
        <f t="shared" si="32"/>
        <v>-0.22500000000000001</v>
      </c>
      <c r="P152" s="15" t="s">
        <v>31</v>
      </c>
      <c r="Q152" s="15" t="str">
        <f t="shared" si="33"/>
        <v>151,</v>
      </c>
      <c r="R152" s="15" t="str">
        <f t="shared" si="34"/>
        <v>90,</v>
      </c>
      <c r="S152" s="15" t="str">
        <f t="shared" si="35"/>
        <v>0,</v>
      </c>
      <c r="T152" s="16">
        <f t="shared" si="36"/>
        <v>90</v>
      </c>
      <c r="U152" s="16" t="s">
        <v>32</v>
      </c>
      <c r="V152" s="16" t="str">
        <f t="shared" si="37"/>
        <v>151,</v>
      </c>
      <c r="W152" s="17" t="str">
        <f t="shared" si="38"/>
        <v/>
      </c>
      <c r="X152" s="17" t="str">
        <f t="shared" si="42"/>
        <v/>
      </c>
      <c r="Y152" s="17" t="str">
        <f t="shared" si="43"/>
        <v/>
      </c>
      <c r="Z152" s="17" t="s">
        <v>33</v>
      </c>
      <c r="AA152" s="17" t="str">
        <f t="shared" si="39"/>
        <v>151,</v>
      </c>
      <c r="AB152" s="17" t="s">
        <v>34</v>
      </c>
      <c r="AC152" s="18">
        <f t="shared" si="40"/>
        <v>0.873</v>
      </c>
    </row>
    <row r="153" spans="1:29" x14ac:dyDescent="0.3">
      <c r="A153" s="17">
        <v>152</v>
      </c>
      <c r="B153" s="17">
        <v>120</v>
      </c>
      <c r="C153" s="17">
        <v>0</v>
      </c>
      <c r="D153" s="17">
        <v>90</v>
      </c>
      <c r="H153" s="18">
        <v>900</v>
      </c>
      <c r="I153" s="18">
        <v>0</v>
      </c>
      <c r="J153" s="18">
        <v>0</v>
      </c>
      <c r="K153" s="18">
        <f t="shared" si="31"/>
        <v>-0.38250000000000001</v>
      </c>
      <c r="L153" s="18">
        <v>0</v>
      </c>
      <c r="M153" s="18">
        <v>0</v>
      </c>
      <c r="N153" s="18">
        <f t="shared" si="32"/>
        <v>-0.22500000000000001</v>
      </c>
      <c r="P153" s="15" t="s">
        <v>31</v>
      </c>
      <c r="Q153" s="15" t="str">
        <f t="shared" si="33"/>
        <v>152,</v>
      </c>
      <c r="R153" s="15" t="str">
        <f t="shared" si="34"/>
        <v>120,</v>
      </c>
      <c r="S153" s="15" t="str">
        <f t="shared" si="35"/>
        <v>0,</v>
      </c>
      <c r="T153" s="16">
        <f t="shared" si="36"/>
        <v>90</v>
      </c>
      <c r="U153" s="16" t="s">
        <v>32</v>
      </c>
      <c r="V153" s="16" t="str">
        <f t="shared" si="37"/>
        <v>152,</v>
      </c>
      <c r="W153" s="17" t="str">
        <f t="shared" si="38"/>
        <v/>
      </c>
      <c r="X153" s="17" t="str">
        <f t="shared" si="42"/>
        <v/>
      </c>
      <c r="Y153" s="17" t="str">
        <f t="shared" si="43"/>
        <v/>
      </c>
      <c r="Z153" s="17" t="s">
        <v>33</v>
      </c>
      <c r="AA153" s="17" t="str">
        <f t="shared" si="39"/>
        <v>152,</v>
      </c>
      <c r="AB153" s="17" t="s">
        <v>34</v>
      </c>
      <c r="AC153" s="18">
        <f t="shared" si="40"/>
        <v>0.873</v>
      </c>
    </row>
    <row r="154" spans="1:29" x14ac:dyDescent="0.3">
      <c r="A154" s="17">
        <v>153</v>
      </c>
      <c r="B154" s="17">
        <v>150</v>
      </c>
      <c r="C154" s="17">
        <v>0</v>
      </c>
      <c r="D154" s="17">
        <v>90</v>
      </c>
      <c r="H154" s="18">
        <v>900</v>
      </c>
      <c r="I154" s="18">
        <v>0</v>
      </c>
      <c r="J154" s="18">
        <v>0</v>
      </c>
      <c r="K154" s="18">
        <f t="shared" si="31"/>
        <v>-0.38250000000000001</v>
      </c>
      <c r="L154" s="18">
        <v>0</v>
      </c>
      <c r="M154" s="18">
        <v>0</v>
      </c>
      <c r="N154" s="18">
        <f t="shared" si="32"/>
        <v>-0.22500000000000001</v>
      </c>
      <c r="P154" s="15" t="s">
        <v>31</v>
      </c>
      <c r="Q154" s="15" t="str">
        <f t="shared" si="33"/>
        <v>153,</v>
      </c>
      <c r="R154" s="15" t="str">
        <f t="shared" si="34"/>
        <v>150,</v>
      </c>
      <c r="S154" s="15" t="str">
        <f t="shared" si="35"/>
        <v>0,</v>
      </c>
      <c r="T154" s="16">
        <f t="shared" si="36"/>
        <v>90</v>
      </c>
      <c r="U154" s="16" t="s">
        <v>32</v>
      </c>
      <c r="V154" s="16" t="str">
        <f t="shared" si="37"/>
        <v>153,</v>
      </c>
      <c r="W154" s="17" t="str">
        <f t="shared" si="38"/>
        <v/>
      </c>
      <c r="X154" s="17" t="str">
        <f t="shared" si="42"/>
        <v/>
      </c>
      <c r="Y154" s="17" t="str">
        <f t="shared" si="43"/>
        <v/>
      </c>
      <c r="Z154" s="17" t="s">
        <v>33</v>
      </c>
      <c r="AA154" s="17" t="str">
        <f t="shared" si="39"/>
        <v>153,</v>
      </c>
      <c r="AB154" s="17" t="s">
        <v>34</v>
      </c>
      <c r="AC154" s="18">
        <f t="shared" si="40"/>
        <v>0.873</v>
      </c>
    </row>
    <row r="155" spans="1:29" x14ac:dyDescent="0.3">
      <c r="A155" s="17">
        <v>154</v>
      </c>
      <c r="B155" s="17">
        <v>180</v>
      </c>
      <c r="C155" s="17">
        <v>0</v>
      </c>
      <c r="D155" s="17">
        <v>90</v>
      </c>
      <c r="H155" s="18">
        <v>900</v>
      </c>
      <c r="I155" s="18">
        <v>0</v>
      </c>
      <c r="J155" s="18">
        <v>0</v>
      </c>
      <c r="K155" s="18">
        <f t="shared" si="31"/>
        <v>-0.38250000000000001</v>
      </c>
      <c r="L155" s="18">
        <v>0</v>
      </c>
      <c r="M155" s="18">
        <v>0</v>
      </c>
      <c r="N155" s="18">
        <f t="shared" si="32"/>
        <v>-0.22500000000000001</v>
      </c>
      <c r="P155" s="15" t="s">
        <v>31</v>
      </c>
      <c r="Q155" s="15" t="str">
        <f t="shared" si="33"/>
        <v>154,</v>
      </c>
      <c r="R155" s="15" t="str">
        <f t="shared" si="34"/>
        <v>180,</v>
      </c>
      <c r="S155" s="15" t="str">
        <f t="shared" si="35"/>
        <v>0,</v>
      </c>
      <c r="T155" s="16">
        <f t="shared" si="36"/>
        <v>90</v>
      </c>
      <c r="U155" s="16" t="s">
        <v>32</v>
      </c>
      <c r="V155" s="16" t="str">
        <f t="shared" si="37"/>
        <v>154,</v>
      </c>
      <c r="W155" s="17" t="str">
        <f t="shared" si="38"/>
        <v/>
      </c>
      <c r="X155" s="17" t="str">
        <f t="shared" si="42"/>
        <v/>
      </c>
      <c r="Y155" s="17" t="str">
        <f t="shared" si="43"/>
        <v/>
      </c>
      <c r="Z155" s="17" t="s">
        <v>33</v>
      </c>
      <c r="AA155" s="17" t="str">
        <f t="shared" si="39"/>
        <v>154,</v>
      </c>
      <c r="AB155" s="17" t="s">
        <v>34</v>
      </c>
      <c r="AC155" s="18">
        <f t="shared" si="40"/>
        <v>0.873</v>
      </c>
    </row>
    <row r="156" spans="1:29" x14ac:dyDescent="0.3">
      <c r="A156" s="17">
        <v>155</v>
      </c>
      <c r="B156" s="17">
        <v>210</v>
      </c>
      <c r="C156" s="17">
        <v>0</v>
      </c>
      <c r="D156" s="17">
        <v>90</v>
      </c>
      <c r="H156" s="18">
        <v>900</v>
      </c>
      <c r="I156" s="18">
        <v>0</v>
      </c>
      <c r="J156" s="18">
        <v>0</v>
      </c>
      <c r="K156" s="18">
        <f t="shared" si="31"/>
        <v>-0.38250000000000001</v>
      </c>
      <c r="L156" s="18">
        <v>0</v>
      </c>
      <c r="M156" s="18">
        <v>0</v>
      </c>
      <c r="N156" s="18">
        <f t="shared" si="32"/>
        <v>-0.22500000000000001</v>
      </c>
      <c r="P156" s="15" t="s">
        <v>31</v>
      </c>
      <c r="Q156" s="15" t="str">
        <f t="shared" si="33"/>
        <v>155,</v>
      </c>
      <c r="R156" s="15" t="str">
        <f t="shared" si="34"/>
        <v>210,</v>
      </c>
      <c r="S156" s="15" t="str">
        <f t="shared" si="35"/>
        <v>0,</v>
      </c>
      <c r="T156" s="16">
        <f t="shared" si="36"/>
        <v>90</v>
      </c>
      <c r="U156" s="16" t="s">
        <v>32</v>
      </c>
      <c r="V156" s="16" t="str">
        <f t="shared" si="37"/>
        <v>155,</v>
      </c>
      <c r="W156" s="17" t="str">
        <f t="shared" si="38"/>
        <v/>
      </c>
      <c r="X156" s="17" t="str">
        <f t="shared" si="42"/>
        <v/>
      </c>
      <c r="Y156" s="17" t="str">
        <f t="shared" si="43"/>
        <v/>
      </c>
      <c r="Z156" s="17" t="s">
        <v>33</v>
      </c>
      <c r="AA156" s="17" t="str">
        <f t="shared" si="39"/>
        <v>155,</v>
      </c>
      <c r="AB156" s="17" t="s">
        <v>34</v>
      </c>
      <c r="AC156" s="18">
        <f t="shared" si="40"/>
        <v>0.873</v>
      </c>
    </row>
    <row r="157" spans="1:29" x14ac:dyDescent="0.3">
      <c r="A157" s="17">
        <v>156</v>
      </c>
      <c r="B157" s="17">
        <v>240</v>
      </c>
      <c r="C157" s="17">
        <v>0</v>
      </c>
      <c r="D157" s="17">
        <v>90</v>
      </c>
      <c r="H157" s="18">
        <v>900</v>
      </c>
      <c r="I157" s="18">
        <v>0</v>
      </c>
      <c r="J157" s="18">
        <v>0</v>
      </c>
      <c r="K157" s="18">
        <f t="shared" si="31"/>
        <v>-0.38250000000000001</v>
      </c>
      <c r="L157" s="18">
        <v>0</v>
      </c>
      <c r="M157" s="18">
        <v>0</v>
      </c>
      <c r="N157" s="18">
        <f t="shared" si="32"/>
        <v>-0.22500000000000001</v>
      </c>
      <c r="P157" s="15" t="s">
        <v>31</v>
      </c>
      <c r="Q157" s="15" t="str">
        <f t="shared" si="33"/>
        <v>156,</v>
      </c>
      <c r="R157" s="15" t="str">
        <f t="shared" si="34"/>
        <v>240,</v>
      </c>
      <c r="S157" s="15" t="str">
        <f t="shared" si="35"/>
        <v>0,</v>
      </c>
      <c r="T157" s="16">
        <f t="shared" si="36"/>
        <v>90</v>
      </c>
      <c r="U157" s="16" t="s">
        <v>32</v>
      </c>
      <c r="V157" s="16" t="str">
        <f t="shared" si="37"/>
        <v>156,</v>
      </c>
      <c r="W157" s="17" t="str">
        <f t="shared" si="38"/>
        <v/>
      </c>
      <c r="X157" s="17" t="str">
        <f t="shared" si="42"/>
        <v/>
      </c>
      <c r="Y157" s="17" t="str">
        <f t="shared" si="43"/>
        <v/>
      </c>
      <c r="Z157" s="17" t="s">
        <v>33</v>
      </c>
      <c r="AA157" s="17" t="str">
        <f t="shared" si="39"/>
        <v>156,</v>
      </c>
      <c r="AB157" s="17" t="s">
        <v>34</v>
      </c>
      <c r="AC157" s="18">
        <f t="shared" si="40"/>
        <v>0.873</v>
      </c>
    </row>
    <row r="158" spans="1:29" x14ac:dyDescent="0.3">
      <c r="A158" s="17">
        <v>157</v>
      </c>
      <c r="B158" s="17">
        <v>270</v>
      </c>
      <c r="C158" s="17">
        <v>0</v>
      </c>
      <c r="D158" s="17">
        <v>90</v>
      </c>
      <c r="H158" s="18">
        <v>900</v>
      </c>
      <c r="I158" s="18">
        <v>0</v>
      </c>
      <c r="J158" s="18">
        <v>0</v>
      </c>
      <c r="K158" s="18">
        <f t="shared" si="31"/>
        <v>-0.38250000000000001</v>
      </c>
      <c r="L158" s="18">
        <v>0</v>
      </c>
      <c r="M158" s="18">
        <v>0</v>
      </c>
      <c r="N158" s="18">
        <f t="shared" si="32"/>
        <v>-0.22500000000000001</v>
      </c>
      <c r="P158" s="15" t="s">
        <v>31</v>
      </c>
      <c r="Q158" s="15" t="str">
        <f t="shared" si="33"/>
        <v>157,</v>
      </c>
      <c r="R158" s="15" t="str">
        <f t="shared" si="34"/>
        <v>270,</v>
      </c>
      <c r="S158" s="15" t="str">
        <f t="shared" si="35"/>
        <v>0,</v>
      </c>
      <c r="T158" s="16">
        <f t="shared" si="36"/>
        <v>90</v>
      </c>
      <c r="U158" s="16" t="s">
        <v>32</v>
      </c>
      <c r="V158" s="16" t="str">
        <f t="shared" si="37"/>
        <v>157,</v>
      </c>
      <c r="W158" s="17" t="str">
        <f t="shared" si="38"/>
        <v/>
      </c>
      <c r="X158" s="17" t="str">
        <f t="shared" si="42"/>
        <v/>
      </c>
      <c r="Y158" s="17" t="str">
        <f t="shared" si="43"/>
        <v/>
      </c>
      <c r="Z158" s="17" t="s">
        <v>33</v>
      </c>
      <c r="AA158" s="17" t="str">
        <f t="shared" si="39"/>
        <v>157,</v>
      </c>
      <c r="AB158" s="17" t="s">
        <v>34</v>
      </c>
      <c r="AC158" s="18">
        <f t="shared" si="40"/>
        <v>0.873</v>
      </c>
    </row>
    <row r="159" spans="1:29" x14ac:dyDescent="0.3">
      <c r="A159" s="17">
        <v>158</v>
      </c>
      <c r="B159" s="17">
        <v>300</v>
      </c>
      <c r="C159" s="17">
        <v>0</v>
      </c>
      <c r="D159" s="17">
        <v>90</v>
      </c>
      <c r="H159" s="18">
        <v>900</v>
      </c>
      <c r="I159" s="18">
        <v>0</v>
      </c>
      <c r="J159" s="18">
        <v>0</v>
      </c>
      <c r="K159" s="18">
        <f t="shared" si="31"/>
        <v>-0.38250000000000001</v>
      </c>
      <c r="L159" s="18">
        <v>0</v>
      </c>
      <c r="M159" s="18">
        <v>0</v>
      </c>
      <c r="N159" s="18">
        <f t="shared" si="32"/>
        <v>-0.22500000000000001</v>
      </c>
      <c r="P159" s="15" t="s">
        <v>31</v>
      </c>
      <c r="Q159" s="15" t="str">
        <f t="shared" si="33"/>
        <v>158,</v>
      </c>
      <c r="R159" s="15" t="str">
        <f t="shared" si="34"/>
        <v>300,</v>
      </c>
      <c r="S159" s="15" t="str">
        <f t="shared" si="35"/>
        <v>0,</v>
      </c>
      <c r="T159" s="16">
        <f t="shared" si="36"/>
        <v>90</v>
      </c>
      <c r="U159" s="16" t="s">
        <v>32</v>
      </c>
      <c r="V159" s="16" t="str">
        <f t="shared" si="37"/>
        <v>158,</v>
      </c>
      <c r="W159" s="17" t="str">
        <f t="shared" si="38"/>
        <v/>
      </c>
      <c r="X159" s="17" t="str">
        <f t="shared" si="42"/>
        <v/>
      </c>
      <c r="Y159" s="17" t="str">
        <f t="shared" si="43"/>
        <v/>
      </c>
      <c r="Z159" s="17" t="s">
        <v>33</v>
      </c>
      <c r="AA159" s="17" t="str">
        <f t="shared" si="39"/>
        <v>158,</v>
      </c>
      <c r="AB159" s="17" t="s">
        <v>34</v>
      </c>
      <c r="AC159" s="18">
        <f t="shared" si="40"/>
        <v>0.873</v>
      </c>
    </row>
    <row r="160" spans="1:29" x14ac:dyDescent="0.3">
      <c r="A160" s="17">
        <v>159</v>
      </c>
      <c r="B160" s="17">
        <v>330</v>
      </c>
      <c r="C160" s="17">
        <v>0</v>
      </c>
      <c r="D160" s="17">
        <v>90</v>
      </c>
      <c r="H160" s="18">
        <v>900</v>
      </c>
      <c r="I160" s="18">
        <v>0</v>
      </c>
      <c r="J160" s="18">
        <v>0</v>
      </c>
      <c r="K160" s="18">
        <f t="shared" si="31"/>
        <v>-0.38250000000000001</v>
      </c>
      <c r="L160" s="18">
        <v>0</v>
      </c>
      <c r="M160" s="18">
        <v>0</v>
      </c>
      <c r="N160" s="18">
        <f t="shared" si="32"/>
        <v>-0.22500000000000001</v>
      </c>
      <c r="P160" s="15" t="s">
        <v>31</v>
      </c>
      <c r="Q160" s="15" t="str">
        <f t="shared" si="33"/>
        <v>159,</v>
      </c>
      <c r="R160" s="15" t="str">
        <f t="shared" si="34"/>
        <v>330,</v>
      </c>
      <c r="S160" s="15" t="str">
        <f t="shared" si="35"/>
        <v>0,</v>
      </c>
      <c r="T160" s="16">
        <f t="shared" si="36"/>
        <v>90</v>
      </c>
      <c r="U160" s="16" t="s">
        <v>32</v>
      </c>
      <c r="V160" s="16" t="str">
        <f t="shared" si="37"/>
        <v>159,</v>
      </c>
      <c r="W160" s="17" t="str">
        <f t="shared" si="38"/>
        <v/>
      </c>
      <c r="X160" s="17" t="str">
        <f t="shared" si="42"/>
        <v/>
      </c>
      <c r="Y160" s="17" t="str">
        <f t="shared" si="43"/>
        <v/>
      </c>
      <c r="Z160" s="17" t="s">
        <v>33</v>
      </c>
      <c r="AA160" s="17" t="str">
        <f t="shared" si="39"/>
        <v>159,</v>
      </c>
      <c r="AB160" s="17" t="s">
        <v>34</v>
      </c>
      <c r="AC160" s="18">
        <f t="shared" si="40"/>
        <v>0.873</v>
      </c>
    </row>
    <row r="161" spans="1:29" x14ac:dyDescent="0.3">
      <c r="A161" s="17">
        <v>160</v>
      </c>
      <c r="B161" s="17">
        <v>360</v>
      </c>
      <c r="C161" s="17">
        <v>0</v>
      </c>
      <c r="D161" s="17">
        <v>90</v>
      </c>
      <c r="H161" s="18">
        <v>900</v>
      </c>
      <c r="I161" s="18">
        <v>0</v>
      </c>
      <c r="J161" s="18">
        <v>0</v>
      </c>
      <c r="K161" s="18">
        <f t="shared" si="31"/>
        <v>-0.38250000000000001</v>
      </c>
      <c r="L161" s="18">
        <v>0</v>
      </c>
      <c r="M161" s="18">
        <v>0</v>
      </c>
      <c r="N161" s="18">
        <f t="shared" si="32"/>
        <v>-0.22500000000000001</v>
      </c>
      <c r="P161" s="15" t="s">
        <v>31</v>
      </c>
      <c r="Q161" s="15" t="str">
        <f t="shared" si="33"/>
        <v>160,</v>
      </c>
      <c r="R161" s="15" t="str">
        <f t="shared" si="34"/>
        <v>360,</v>
      </c>
      <c r="S161" s="15" t="str">
        <f t="shared" si="35"/>
        <v>0,</v>
      </c>
      <c r="T161" s="16">
        <f t="shared" si="36"/>
        <v>90</v>
      </c>
      <c r="U161" s="16" t="s">
        <v>32</v>
      </c>
      <c r="V161" s="16" t="str">
        <f t="shared" si="37"/>
        <v>160,</v>
      </c>
      <c r="W161" s="17" t="str">
        <f t="shared" si="38"/>
        <v/>
      </c>
      <c r="X161" s="17" t="str">
        <f t="shared" si="42"/>
        <v/>
      </c>
      <c r="Y161" s="17" t="str">
        <f t="shared" si="43"/>
        <v/>
      </c>
      <c r="Z161" s="17" t="s">
        <v>33</v>
      </c>
      <c r="AA161" s="17" t="str">
        <f t="shared" si="39"/>
        <v>160,</v>
      </c>
      <c r="AB161" s="17" t="s">
        <v>34</v>
      </c>
      <c r="AC161" s="18">
        <f t="shared" si="40"/>
        <v>0.873</v>
      </c>
    </row>
    <row r="162" spans="1:29" x14ac:dyDescent="0.3">
      <c r="A162" s="17">
        <v>161</v>
      </c>
      <c r="B162" s="17">
        <v>390</v>
      </c>
      <c r="C162" s="17">
        <v>0</v>
      </c>
      <c r="D162" s="17">
        <v>90</v>
      </c>
      <c r="H162" s="18">
        <v>900</v>
      </c>
      <c r="I162" s="18">
        <v>0</v>
      </c>
      <c r="J162" s="18">
        <v>0</v>
      </c>
      <c r="K162" s="18">
        <f t="shared" si="31"/>
        <v>-0.38250000000000001</v>
      </c>
      <c r="L162" s="18">
        <v>0</v>
      </c>
      <c r="M162" s="18">
        <v>0</v>
      </c>
      <c r="N162" s="18">
        <f t="shared" si="32"/>
        <v>-0.22500000000000001</v>
      </c>
      <c r="P162" s="15" t="s">
        <v>31</v>
      </c>
      <c r="Q162" s="15" t="str">
        <f t="shared" si="33"/>
        <v>161,</v>
      </c>
      <c r="R162" s="15" t="str">
        <f t="shared" si="34"/>
        <v>390,</v>
      </c>
      <c r="S162" s="15" t="str">
        <f t="shared" si="35"/>
        <v>0,</v>
      </c>
      <c r="T162" s="16">
        <f t="shared" si="36"/>
        <v>90</v>
      </c>
      <c r="U162" s="16" t="s">
        <v>32</v>
      </c>
      <c r="V162" s="16" t="str">
        <f t="shared" si="37"/>
        <v>161,</v>
      </c>
      <c r="W162" s="17" t="str">
        <f t="shared" si="38"/>
        <v/>
      </c>
      <c r="X162" s="17" t="str">
        <f t="shared" si="42"/>
        <v/>
      </c>
      <c r="Y162" s="17" t="str">
        <f t="shared" si="43"/>
        <v/>
      </c>
      <c r="Z162" s="17" t="s">
        <v>33</v>
      </c>
      <c r="AA162" s="17" t="str">
        <f t="shared" si="39"/>
        <v>161,</v>
      </c>
      <c r="AB162" s="17" t="s">
        <v>34</v>
      </c>
      <c r="AC162" s="18">
        <f t="shared" si="40"/>
        <v>0.873</v>
      </c>
    </row>
    <row r="163" spans="1:29" x14ac:dyDescent="0.3">
      <c r="A163" s="17">
        <v>162</v>
      </c>
      <c r="B163" s="17">
        <v>420</v>
      </c>
      <c r="C163" s="17">
        <v>0</v>
      </c>
      <c r="D163" s="17">
        <v>90</v>
      </c>
      <c r="H163" s="18">
        <v>900</v>
      </c>
      <c r="I163" s="18">
        <v>0</v>
      </c>
      <c r="J163" s="18">
        <v>0</v>
      </c>
      <c r="K163" s="18">
        <f t="shared" si="31"/>
        <v>-0.38250000000000001</v>
      </c>
      <c r="L163" s="18">
        <v>0</v>
      </c>
      <c r="M163" s="18">
        <v>0</v>
      </c>
      <c r="N163" s="18">
        <f t="shared" si="32"/>
        <v>-0.22500000000000001</v>
      </c>
      <c r="P163" s="15" t="s">
        <v>31</v>
      </c>
      <c r="Q163" s="15" t="str">
        <f t="shared" si="33"/>
        <v>162,</v>
      </c>
      <c r="R163" s="15" t="str">
        <f t="shared" si="34"/>
        <v>420,</v>
      </c>
      <c r="S163" s="15" t="str">
        <f t="shared" si="35"/>
        <v>0,</v>
      </c>
      <c r="T163" s="16">
        <f t="shared" si="36"/>
        <v>90</v>
      </c>
      <c r="U163" s="16" t="s">
        <v>32</v>
      </c>
      <c r="V163" s="16" t="str">
        <f t="shared" si="37"/>
        <v>162,</v>
      </c>
      <c r="W163" s="17" t="str">
        <f t="shared" si="38"/>
        <v/>
      </c>
      <c r="X163" s="17" t="str">
        <f t="shared" si="42"/>
        <v/>
      </c>
      <c r="Y163" s="17" t="str">
        <f t="shared" si="43"/>
        <v/>
      </c>
      <c r="Z163" s="17" t="s">
        <v>33</v>
      </c>
      <c r="AA163" s="17" t="str">
        <f t="shared" si="39"/>
        <v>162,</v>
      </c>
      <c r="AB163" s="17" t="s">
        <v>34</v>
      </c>
      <c r="AC163" s="18">
        <f t="shared" si="40"/>
        <v>0.873</v>
      </c>
    </row>
    <row r="164" spans="1:29" x14ac:dyDescent="0.3">
      <c r="A164" s="17">
        <v>163</v>
      </c>
      <c r="B164" s="17">
        <v>450</v>
      </c>
      <c r="C164" s="17">
        <v>0</v>
      </c>
      <c r="D164" s="17">
        <v>90</v>
      </c>
      <c r="H164" s="18">
        <v>900</v>
      </c>
      <c r="I164" s="18">
        <v>0</v>
      </c>
      <c r="J164" s="18">
        <v>0</v>
      </c>
      <c r="K164" s="18">
        <f t="shared" si="31"/>
        <v>-0.38250000000000001</v>
      </c>
      <c r="L164" s="18">
        <v>0</v>
      </c>
      <c r="M164" s="18">
        <v>0</v>
      </c>
      <c r="N164" s="18">
        <f t="shared" si="32"/>
        <v>-0.22500000000000001</v>
      </c>
      <c r="P164" s="15" t="s">
        <v>31</v>
      </c>
      <c r="Q164" s="15" t="str">
        <f t="shared" si="33"/>
        <v>163,</v>
      </c>
      <c r="R164" s="15" t="str">
        <f t="shared" si="34"/>
        <v>450,</v>
      </c>
      <c r="S164" s="15" t="str">
        <f t="shared" si="35"/>
        <v>0,</v>
      </c>
      <c r="T164" s="16">
        <f t="shared" si="36"/>
        <v>90</v>
      </c>
      <c r="U164" s="16" t="s">
        <v>32</v>
      </c>
      <c r="V164" s="16" t="str">
        <f t="shared" si="37"/>
        <v>163,</v>
      </c>
      <c r="W164" s="17" t="str">
        <f t="shared" si="38"/>
        <v/>
      </c>
      <c r="X164" s="17" t="str">
        <f t="shared" si="42"/>
        <v/>
      </c>
      <c r="Y164" s="17" t="str">
        <f t="shared" si="43"/>
        <v/>
      </c>
      <c r="Z164" s="17" t="s">
        <v>33</v>
      </c>
      <c r="AA164" s="17" t="str">
        <f t="shared" si="39"/>
        <v>163,</v>
      </c>
      <c r="AB164" s="17" t="s">
        <v>34</v>
      </c>
      <c r="AC164" s="18">
        <f t="shared" si="40"/>
        <v>0.873</v>
      </c>
    </row>
    <row r="165" spans="1:29" x14ac:dyDescent="0.3">
      <c r="A165" s="17">
        <v>164</v>
      </c>
      <c r="B165" s="17">
        <v>480</v>
      </c>
      <c r="C165" s="17">
        <v>0</v>
      </c>
      <c r="D165" s="17">
        <v>90</v>
      </c>
      <c r="H165" s="18">
        <v>900</v>
      </c>
      <c r="I165" s="18">
        <v>0</v>
      </c>
      <c r="J165" s="18">
        <v>0</v>
      </c>
      <c r="K165" s="18">
        <f t="shared" si="31"/>
        <v>-0.38250000000000001</v>
      </c>
      <c r="L165" s="18">
        <v>0</v>
      </c>
      <c r="M165" s="18">
        <v>0</v>
      </c>
      <c r="N165" s="18">
        <f t="shared" si="32"/>
        <v>-0.22500000000000001</v>
      </c>
      <c r="P165" s="15" t="s">
        <v>31</v>
      </c>
      <c r="Q165" s="15" t="str">
        <f t="shared" si="33"/>
        <v>164,</v>
      </c>
      <c r="R165" s="15" t="str">
        <f t="shared" si="34"/>
        <v>480,</v>
      </c>
      <c r="S165" s="15" t="str">
        <f t="shared" si="35"/>
        <v>0,</v>
      </c>
      <c r="T165" s="16">
        <f t="shared" si="36"/>
        <v>90</v>
      </c>
      <c r="U165" s="16" t="s">
        <v>32</v>
      </c>
      <c r="V165" s="16" t="str">
        <f t="shared" si="37"/>
        <v>164,</v>
      </c>
      <c r="W165" s="17" t="str">
        <f t="shared" si="38"/>
        <v/>
      </c>
      <c r="X165" s="17" t="str">
        <f t="shared" si="42"/>
        <v/>
      </c>
      <c r="Y165" s="17" t="str">
        <f t="shared" si="43"/>
        <v/>
      </c>
      <c r="Z165" s="17" t="s">
        <v>33</v>
      </c>
      <c r="AA165" s="17" t="str">
        <f t="shared" si="39"/>
        <v>164,</v>
      </c>
      <c r="AB165" s="17" t="s">
        <v>34</v>
      </c>
      <c r="AC165" s="18">
        <f t="shared" si="40"/>
        <v>0.873</v>
      </c>
    </row>
    <row r="166" spans="1:29" x14ac:dyDescent="0.3">
      <c r="A166" s="17">
        <v>165</v>
      </c>
      <c r="B166" s="17">
        <v>509.99999999999994</v>
      </c>
      <c r="C166" s="17">
        <v>0</v>
      </c>
      <c r="D166" s="17">
        <v>90</v>
      </c>
      <c r="H166" s="18">
        <v>900</v>
      </c>
      <c r="I166" s="18">
        <v>0</v>
      </c>
      <c r="J166" s="18">
        <v>0</v>
      </c>
      <c r="K166" s="18">
        <f t="shared" si="31"/>
        <v>-0.38250000000000001</v>
      </c>
      <c r="L166" s="18">
        <v>0</v>
      </c>
      <c r="M166" s="18">
        <v>0</v>
      </c>
      <c r="N166" s="18">
        <f t="shared" si="32"/>
        <v>-0.22500000000000001</v>
      </c>
      <c r="P166" s="15" t="s">
        <v>31</v>
      </c>
      <c r="Q166" s="15" t="str">
        <f t="shared" si="33"/>
        <v>165,</v>
      </c>
      <c r="R166" s="15" t="str">
        <f t="shared" si="34"/>
        <v>510,</v>
      </c>
      <c r="S166" s="15" t="str">
        <f t="shared" si="35"/>
        <v>0,</v>
      </c>
      <c r="T166" s="16">
        <f t="shared" si="36"/>
        <v>90</v>
      </c>
      <c r="U166" s="16" t="s">
        <v>32</v>
      </c>
      <c r="V166" s="16" t="str">
        <f t="shared" si="37"/>
        <v>165,</v>
      </c>
      <c r="W166" s="17" t="str">
        <f t="shared" si="38"/>
        <v/>
      </c>
      <c r="X166" s="17" t="str">
        <f t="shared" si="42"/>
        <v/>
      </c>
      <c r="Y166" s="17" t="str">
        <f t="shared" si="43"/>
        <v/>
      </c>
      <c r="Z166" s="17" t="s">
        <v>33</v>
      </c>
      <c r="AA166" s="17" t="str">
        <f t="shared" si="39"/>
        <v>165,</v>
      </c>
      <c r="AB166" s="17" t="s">
        <v>34</v>
      </c>
      <c r="AC166" s="18">
        <f t="shared" si="40"/>
        <v>0.873</v>
      </c>
    </row>
    <row r="167" spans="1:29" x14ac:dyDescent="0.3">
      <c r="A167" s="17">
        <v>166</v>
      </c>
      <c r="B167" s="17">
        <v>540</v>
      </c>
      <c r="C167" s="17">
        <v>0</v>
      </c>
      <c r="D167" s="17">
        <v>90</v>
      </c>
      <c r="H167" s="18">
        <v>900</v>
      </c>
      <c r="I167" s="18">
        <v>0</v>
      </c>
      <c r="J167" s="18">
        <v>0</v>
      </c>
      <c r="K167" s="18">
        <f t="shared" si="31"/>
        <v>-0.38250000000000001</v>
      </c>
      <c r="L167" s="18">
        <v>0</v>
      </c>
      <c r="M167" s="18">
        <v>0</v>
      </c>
      <c r="N167" s="18">
        <f t="shared" si="32"/>
        <v>-0.22500000000000001</v>
      </c>
      <c r="P167" s="15" t="s">
        <v>31</v>
      </c>
      <c r="Q167" s="15" t="str">
        <f t="shared" si="33"/>
        <v>166,</v>
      </c>
      <c r="R167" s="15" t="str">
        <f t="shared" si="34"/>
        <v>540,</v>
      </c>
      <c r="S167" s="15" t="str">
        <f t="shared" si="35"/>
        <v>0,</v>
      </c>
      <c r="T167" s="16">
        <f t="shared" si="36"/>
        <v>90</v>
      </c>
      <c r="U167" s="16" t="s">
        <v>32</v>
      </c>
      <c r="V167" s="16" t="str">
        <f t="shared" si="37"/>
        <v>166,</v>
      </c>
      <c r="W167" s="17" t="str">
        <f t="shared" si="38"/>
        <v/>
      </c>
      <c r="X167" s="17" t="str">
        <f t="shared" si="42"/>
        <v/>
      </c>
      <c r="Y167" s="17" t="str">
        <f t="shared" si="43"/>
        <v/>
      </c>
      <c r="Z167" s="17" t="s">
        <v>33</v>
      </c>
      <c r="AA167" s="17" t="str">
        <f t="shared" si="39"/>
        <v>166,</v>
      </c>
      <c r="AB167" s="17" t="s">
        <v>34</v>
      </c>
      <c r="AC167" s="18">
        <f t="shared" si="40"/>
        <v>0.873</v>
      </c>
    </row>
    <row r="168" spans="1:29" x14ac:dyDescent="0.3">
      <c r="A168" s="17">
        <v>167</v>
      </c>
      <c r="B168" s="17">
        <v>570</v>
      </c>
      <c r="C168" s="17">
        <v>0</v>
      </c>
      <c r="D168" s="17">
        <v>90</v>
      </c>
      <c r="H168" s="18">
        <v>900</v>
      </c>
      <c r="I168" s="18">
        <v>0</v>
      </c>
      <c r="J168" s="18">
        <v>0</v>
      </c>
      <c r="K168" s="18">
        <f t="shared" si="31"/>
        <v>-0.38250000000000001</v>
      </c>
      <c r="L168" s="18">
        <v>0</v>
      </c>
      <c r="M168" s="18">
        <v>0</v>
      </c>
      <c r="N168" s="18">
        <f t="shared" si="32"/>
        <v>-0.22500000000000001</v>
      </c>
      <c r="P168" s="15" t="s">
        <v>31</v>
      </c>
      <c r="Q168" s="15" t="str">
        <f t="shared" si="33"/>
        <v>167,</v>
      </c>
      <c r="R168" s="15" t="str">
        <f t="shared" si="34"/>
        <v>570,</v>
      </c>
      <c r="S168" s="15" t="str">
        <f t="shared" si="35"/>
        <v>0,</v>
      </c>
      <c r="T168" s="16">
        <f t="shared" si="36"/>
        <v>90</v>
      </c>
      <c r="U168" s="16" t="s">
        <v>32</v>
      </c>
      <c r="V168" s="16" t="str">
        <f t="shared" si="37"/>
        <v>167,</v>
      </c>
      <c r="W168" s="17" t="str">
        <f t="shared" si="38"/>
        <v/>
      </c>
      <c r="X168" s="17" t="str">
        <f t="shared" si="42"/>
        <v/>
      </c>
      <c r="Y168" s="17" t="str">
        <f t="shared" si="43"/>
        <v/>
      </c>
      <c r="Z168" s="17" t="s">
        <v>33</v>
      </c>
      <c r="AA168" s="17" t="str">
        <f t="shared" si="39"/>
        <v>167,</v>
      </c>
      <c r="AB168" s="17" t="s">
        <v>34</v>
      </c>
      <c r="AC168" s="18">
        <f t="shared" si="40"/>
        <v>0.873</v>
      </c>
    </row>
    <row r="169" spans="1:29" x14ac:dyDescent="0.3">
      <c r="A169" s="17">
        <v>168</v>
      </c>
      <c r="B169" s="17">
        <v>600</v>
      </c>
      <c r="C169" s="17">
        <v>0</v>
      </c>
      <c r="D169" s="17">
        <v>90</v>
      </c>
      <c r="E169" s="17">
        <v>0</v>
      </c>
      <c r="F169" s="17">
        <v>0</v>
      </c>
      <c r="G169" s="17">
        <v>1</v>
      </c>
      <c r="H169" s="18">
        <v>900</v>
      </c>
      <c r="I169" s="18">
        <v>0</v>
      </c>
      <c r="J169" s="18">
        <v>0</v>
      </c>
      <c r="K169" s="18">
        <f t="shared" si="31"/>
        <v>-0.38250000000000001</v>
      </c>
      <c r="L169" s="18">
        <v>0</v>
      </c>
      <c r="M169" s="18">
        <v>0</v>
      </c>
      <c r="N169" s="18">
        <f t="shared" si="32"/>
        <v>-0.22500000000000001</v>
      </c>
      <c r="P169" s="15" t="s">
        <v>31</v>
      </c>
      <c r="Q169" s="15" t="str">
        <f t="shared" si="33"/>
        <v>168,</v>
      </c>
      <c r="R169" s="15" t="str">
        <f t="shared" si="34"/>
        <v>600,</v>
      </c>
      <c r="S169" s="15" t="str">
        <f t="shared" si="35"/>
        <v>0,</v>
      </c>
      <c r="T169" s="16">
        <f t="shared" si="36"/>
        <v>90</v>
      </c>
      <c r="U169" s="16" t="s">
        <v>32</v>
      </c>
      <c r="V169" s="16" t="str">
        <f t="shared" si="37"/>
        <v>168,</v>
      </c>
      <c r="W169" s="17" t="str">
        <f t="shared" si="38"/>
        <v/>
      </c>
      <c r="X169" s="17" t="str">
        <f t="shared" si="42"/>
        <v/>
      </c>
      <c r="Y169" s="17" t="str">
        <f t="shared" si="43"/>
        <v>UY</v>
      </c>
      <c r="Z169" s="17" t="s">
        <v>33</v>
      </c>
      <c r="AA169" s="17" t="str">
        <f t="shared" si="39"/>
        <v>168,</v>
      </c>
      <c r="AB169" s="17" t="s">
        <v>34</v>
      </c>
      <c r="AC169" s="18">
        <f t="shared" si="40"/>
        <v>0.873</v>
      </c>
    </row>
    <row r="170" spans="1:29" x14ac:dyDescent="0.3">
      <c r="A170" s="17">
        <v>169</v>
      </c>
      <c r="B170" s="17">
        <v>0</v>
      </c>
      <c r="C170" s="17">
        <v>0</v>
      </c>
      <c r="D170" s="17">
        <v>60</v>
      </c>
      <c r="E170" s="17">
        <v>0</v>
      </c>
      <c r="F170" s="17">
        <v>0</v>
      </c>
      <c r="G170" s="17">
        <v>1</v>
      </c>
      <c r="H170" s="18">
        <v>900</v>
      </c>
      <c r="I170" s="18">
        <v>0</v>
      </c>
      <c r="J170" s="18">
        <v>0</v>
      </c>
      <c r="K170" s="18">
        <f t="shared" si="31"/>
        <v>-0.38250000000000001</v>
      </c>
      <c r="L170" s="18">
        <v>0</v>
      </c>
      <c r="M170" s="18">
        <v>0</v>
      </c>
      <c r="N170" s="18">
        <f t="shared" si="32"/>
        <v>-0.22500000000000001</v>
      </c>
      <c r="P170" s="15" t="s">
        <v>31</v>
      </c>
      <c r="Q170" s="15" t="str">
        <f t="shared" si="33"/>
        <v>169,</v>
      </c>
      <c r="R170" s="15" t="str">
        <f t="shared" si="34"/>
        <v>0,</v>
      </c>
      <c r="S170" s="15" t="str">
        <f t="shared" si="35"/>
        <v>0,</v>
      </c>
      <c r="T170" s="16">
        <f t="shared" si="36"/>
        <v>60</v>
      </c>
      <c r="U170" s="16" t="s">
        <v>32</v>
      </c>
      <c r="V170" s="16" t="str">
        <f t="shared" si="37"/>
        <v>169,</v>
      </c>
      <c r="W170" s="17" t="str">
        <f t="shared" si="38"/>
        <v/>
      </c>
      <c r="X170" s="17" t="str">
        <f>IF(F170=1,"UZ","")</f>
        <v/>
      </c>
      <c r="Y170" s="17" t="str">
        <f t="shared" si="43"/>
        <v>UY</v>
      </c>
      <c r="Z170" s="17" t="s">
        <v>33</v>
      </c>
      <c r="AA170" s="17" t="str">
        <f t="shared" si="39"/>
        <v>169,</v>
      </c>
      <c r="AB170" s="17" t="s">
        <v>34</v>
      </c>
      <c r="AC170" s="18">
        <f t="shared" si="40"/>
        <v>0.873</v>
      </c>
    </row>
    <row r="171" spans="1:29" x14ac:dyDescent="0.3">
      <c r="A171" s="17">
        <v>170</v>
      </c>
      <c r="B171" s="17">
        <v>30</v>
      </c>
      <c r="C171" s="17">
        <v>0</v>
      </c>
      <c r="D171" s="17">
        <v>60</v>
      </c>
      <c r="H171" s="18">
        <v>900</v>
      </c>
      <c r="I171" s="18">
        <v>0</v>
      </c>
      <c r="J171" s="18">
        <v>0</v>
      </c>
      <c r="K171" s="18">
        <f t="shared" si="31"/>
        <v>-0.38250000000000001</v>
      </c>
      <c r="L171" s="18">
        <v>0</v>
      </c>
      <c r="M171" s="18">
        <v>0</v>
      </c>
      <c r="N171" s="18">
        <f t="shared" si="32"/>
        <v>-0.22500000000000001</v>
      </c>
      <c r="P171" s="15" t="s">
        <v>31</v>
      </c>
      <c r="Q171" s="15" t="str">
        <f t="shared" si="33"/>
        <v>170,</v>
      </c>
      <c r="R171" s="15" t="str">
        <f t="shared" si="34"/>
        <v>30,</v>
      </c>
      <c r="S171" s="15" t="str">
        <f t="shared" si="35"/>
        <v>0,</v>
      </c>
      <c r="T171" s="16">
        <f t="shared" si="36"/>
        <v>60</v>
      </c>
      <c r="U171" s="16" t="s">
        <v>32</v>
      </c>
      <c r="V171" s="16" t="str">
        <f t="shared" si="37"/>
        <v>170,</v>
      </c>
      <c r="W171" s="17" t="str">
        <f t="shared" si="38"/>
        <v/>
      </c>
      <c r="X171" s="17" t="str">
        <f t="shared" ref="X171:X190" si="44">IF(F171=1,"UY","")</f>
        <v/>
      </c>
      <c r="Y171" s="17" t="str">
        <f t="shared" si="43"/>
        <v/>
      </c>
      <c r="Z171" s="17" t="s">
        <v>33</v>
      </c>
      <c r="AA171" s="17" t="str">
        <f t="shared" si="39"/>
        <v>170,</v>
      </c>
      <c r="AB171" s="17" t="s">
        <v>34</v>
      </c>
      <c r="AC171" s="18">
        <f t="shared" si="40"/>
        <v>0.873</v>
      </c>
    </row>
    <row r="172" spans="1:29" x14ac:dyDescent="0.3">
      <c r="A172" s="17">
        <v>171</v>
      </c>
      <c r="B172" s="17">
        <v>60</v>
      </c>
      <c r="C172" s="17">
        <v>0</v>
      </c>
      <c r="D172" s="17">
        <v>60</v>
      </c>
      <c r="H172" s="18">
        <v>900</v>
      </c>
      <c r="I172" s="18">
        <v>0</v>
      </c>
      <c r="J172" s="18">
        <v>0</v>
      </c>
      <c r="K172" s="18">
        <f t="shared" si="31"/>
        <v>-0.38250000000000001</v>
      </c>
      <c r="L172" s="18">
        <v>0</v>
      </c>
      <c r="M172" s="18">
        <v>0</v>
      </c>
      <c r="N172" s="18">
        <f t="shared" si="32"/>
        <v>-0.22500000000000001</v>
      </c>
      <c r="P172" s="15" t="s">
        <v>31</v>
      </c>
      <c r="Q172" s="15" t="str">
        <f t="shared" si="33"/>
        <v>171,</v>
      </c>
      <c r="R172" s="15" t="str">
        <f t="shared" si="34"/>
        <v>60,</v>
      </c>
      <c r="S172" s="15" t="str">
        <f t="shared" si="35"/>
        <v>0,</v>
      </c>
      <c r="T172" s="16">
        <f t="shared" si="36"/>
        <v>60</v>
      </c>
      <c r="U172" s="16" t="s">
        <v>32</v>
      </c>
      <c r="V172" s="16" t="str">
        <f t="shared" si="37"/>
        <v>171,</v>
      </c>
      <c r="W172" s="17" t="str">
        <f t="shared" si="38"/>
        <v/>
      </c>
      <c r="X172" s="17" t="str">
        <f t="shared" si="44"/>
        <v/>
      </c>
      <c r="Y172" s="17" t="str">
        <f t="shared" si="43"/>
        <v/>
      </c>
      <c r="Z172" s="17" t="s">
        <v>33</v>
      </c>
      <c r="AA172" s="17" t="str">
        <f t="shared" si="39"/>
        <v>171,</v>
      </c>
      <c r="AB172" s="17" t="s">
        <v>34</v>
      </c>
      <c r="AC172" s="18">
        <f t="shared" si="40"/>
        <v>0.873</v>
      </c>
    </row>
    <row r="173" spans="1:29" x14ac:dyDescent="0.3">
      <c r="A173" s="17">
        <v>172</v>
      </c>
      <c r="B173" s="17">
        <v>90</v>
      </c>
      <c r="C173" s="17">
        <v>0</v>
      </c>
      <c r="D173" s="17">
        <v>60</v>
      </c>
      <c r="H173" s="18">
        <v>900</v>
      </c>
      <c r="I173" s="18">
        <v>0</v>
      </c>
      <c r="J173" s="18">
        <v>0</v>
      </c>
      <c r="K173" s="18">
        <f t="shared" si="31"/>
        <v>-0.38250000000000001</v>
      </c>
      <c r="L173" s="18">
        <v>0</v>
      </c>
      <c r="M173" s="18">
        <v>0</v>
      </c>
      <c r="N173" s="18">
        <f t="shared" si="32"/>
        <v>-0.22500000000000001</v>
      </c>
      <c r="P173" s="15" t="s">
        <v>31</v>
      </c>
      <c r="Q173" s="15" t="str">
        <f t="shared" si="33"/>
        <v>172,</v>
      </c>
      <c r="R173" s="15" t="str">
        <f t="shared" si="34"/>
        <v>90,</v>
      </c>
      <c r="S173" s="15" t="str">
        <f t="shared" si="35"/>
        <v>0,</v>
      </c>
      <c r="T173" s="16">
        <f t="shared" si="36"/>
        <v>60</v>
      </c>
      <c r="U173" s="16" t="s">
        <v>32</v>
      </c>
      <c r="V173" s="16" t="str">
        <f t="shared" si="37"/>
        <v>172,</v>
      </c>
      <c r="W173" s="17" t="str">
        <f t="shared" si="38"/>
        <v/>
      </c>
      <c r="X173" s="17" t="str">
        <f t="shared" si="44"/>
        <v/>
      </c>
      <c r="Y173" s="17" t="str">
        <f t="shared" si="43"/>
        <v/>
      </c>
      <c r="Z173" s="17" t="s">
        <v>33</v>
      </c>
      <c r="AA173" s="17" t="str">
        <f t="shared" si="39"/>
        <v>172,</v>
      </c>
      <c r="AB173" s="17" t="s">
        <v>34</v>
      </c>
      <c r="AC173" s="18">
        <f t="shared" si="40"/>
        <v>0.873</v>
      </c>
    </row>
    <row r="174" spans="1:29" x14ac:dyDescent="0.3">
      <c r="A174" s="17">
        <v>173</v>
      </c>
      <c r="B174" s="17">
        <v>120</v>
      </c>
      <c r="C174" s="17">
        <v>0</v>
      </c>
      <c r="D174" s="17">
        <v>60</v>
      </c>
      <c r="H174" s="18">
        <v>900</v>
      </c>
      <c r="I174" s="18">
        <v>0</v>
      </c>
      <c r="J174" s="18">
        <v>0</v>
      </c>
      <c r="K174" s="18">
        <f t="shared" si="31"/>
        <v>-0.38250000000000001</v>
      </c>
      <c r="L174" s="18">
        <v>0</v>
      </c>
      <c r="M174" s="18">
        <v>0</v>
      </c>
      <c r="N174" s="18">
        <f t="shared" si="32"/>
        <v>-0.22500000000000001</v>
      </c>
      <c r="P174" s="15" t="s">
        <v>31</v>
      </c>
      <c r="Q174" s="15" t="str">
        <f t="shared" si="33"/>
        <v>173,</v>
      </c>
      <c r="R174" s="15" t="str">
        <f t="shared" si="34"/>
        <v>120,</v>
      </c>
      <c r="S174" s="15" t="str">
        <f t="shared" si="35"/>
        <v>0,</v>
      </c>
      <c r="T174" s="16">
        <f t="shared" si="36"/>
        <v>60</v>
      </c>
      <c r="U174" s="16" t="s">
        <v>32</v>
      </c>
      <c r="V174" s="16" t="str">
        <f t="shared" si="37"/>
        <v>173,</v>
      </c>
      <c r="W174" s="17" t="str">
        <f t="shared" si="38"/>
        <v/>
      </c>
      <c r="X174" s="17" t="str">
        <f t="shared" si="44"/>
        <v/>
      </c>
      <c r="Y174" s="17" t="str">
        <f t="shared" si="43"/>
        <v/>
      </c>
      <c r="Z174" s="17" t="s">
        <v>33</v>
      </c>
      <c r="AA174" s="17" t="str">
        <f t="shared" si="39"/>
        <v>173,</v>
      </c>
      <c r="AB174" s="17" t="s">
        <v>34</v>
      </c>
      <c r="AC174" s="18">
        <f t="shared" si="40"/>
        <v>0.873</v>
      </c>
    </row>
    <row r="175" spans="1:29" x14ac:dyDescent="0.3">
      <c r="A175" s="17">
        <v>174</v>
      </c>
      <c r="B175" s="17">
        <v>150</v>
      </c>
      <c r="C175" s="17">
        <v>0</v>
      </c>
      <c r="D175" s="17">
        <v>60</v>
      </c>
      <c r="H175" s="18">
        <v>900</v>
      </c>
      <c r="I175" s="18">
        <v>0</v>
      </c>
      <c r="J175" s="18">
        <v>0</v>
      </c>
      <c r="K175" s="18">
        <f t="shared" si="31"/>
        <v>-0.38250000000000001</v>
      </c>
      <c r="L175" s="18">
        <v>0</v>
      </c>
      <c r="M175" s="18">
        <v>0</v>
      </c>
      <c r="N175" s="18">
        <f t="shared" si="32"/>
        <v>-0.22500000000000001</v>
      </c>
      <c r="P175" s="15" t="s">
        <v>31</v>
      </c>
      <c r="Q175" s="15" t="str">
        <f t="shared" si="33"/>
        <v>174,</v>
      </c>
      <c r="R175" s="15" t="str">
        <f t="shared" si="34"/>
        <v>150,</v>
      </c>
      <c r="S175" s="15" t="str">
        <f t="shared" si="35"/>
        <v>0,</v>
      </c>
      <c r="T175" s="16">
        <f t="shared" si="36"/>
        <v>60</v>
      </c>
      <c r="U175" s="16" t="s">
        <v>32</v>
      </c>
      <c r="V175" s="16" t="str">
        <f t="shared" si="37"/>
        <v>174,</v>
      </c>
      <c r="W175" s="17" t="str">
        <f t="shared" si="38"/>
        <v/>
      </c>
      <c r="X175" s="17" t="str">
        <f t="shared" si="44"/>
        <v/>
      </c>
      <c r="Y175" s="17" t="str">
        <f t="shared" si="43"/>
        <v/>
      </c>
      <c r="Z175" s="17" t="s">
        <v>33</v>
      </c>
      <c r="AA175" s="17" t="str">
        <f t="shared" si="39"/>
        <v>174,</v>
      </c>
      <c r="AB175" s="17" t="s">
        <v>34</v>
      </c>
      <c r="AC175" s="18">
        <f t="shared" si="40"/>
        <v>0.873</v>
      </c>
    </row>
    <row r="176" spans="1:29" x14ac:dyDescent="0.3">
      <c r="A176" s="17">
        <v>175</v>
      </c>
      <c r="B176" s="17">
        <v>180</v>
      </c>
      <c r="C176" s="17">
        <v>0</v>
      </c>
      <c r="D176" s="17">
        <v>60</v>
      </c>
      <c r="H176" s="18">
        <v>900</v>
      </c>
      <c r="I176" s="18">
        <v>0</v>
      </c>
      <c r="J176" s="18">
        <v>0</v>
      </c>
      <c r="K176" s="18">
        <f t="shared" si="31"/>
        <v>-0.38250000000000001</v>
      </c>
      <c r="L176" s="18">
        <v>0</v>
      </c>
      <c r="M176" s="18">
        <v>0</v>
      </c>
      <c r="N176" s="18">
        <f t="shared" si="32"/>
        <v>-0.22500000000000001</v>
      </c>
      <c r="P176" s="15" t="s">
        <v>31</v>
      </c>
      <c r="Q176" s="15" t="str">
        <f t="shared" si="33"/>
        <v>175,</v>
      </c>
      <c r="R176" s="15" t="str">
        <f t="shared" si="34"/>
        <v>180,</v>
      </c>
      <c r="S176" s="15" t="str">
        <f t="shared" si="35"/>
        <v>0,</v>
      </c>
      <c r="T176" s="16">
        <f t="shared" si="36"/>
        <v>60</v>
      </c>
      <c r="U176" s="16" t="s">
        <v>32</v>
      </c>
      <c r="V176" s="16" t="str">
        <f t="shared" si="37"/>
        <v>175,</v>
      </c>
      <c r="W176" s="17" t="str">
        <f t="shared" si="38"/>
        <v/>
      </c>
      <c r="X176" s="17" t="str">
        <f t="shared" si="44"/>
        <v/>
      </c>
      <c r="Y176" s="17" t="str">
        <f t="shared" si="43"/>
        <v/>
      </c>
      <c r="Z176" s="17" t="s">
        <v>33</v>
      </c>
      <c r="AA176" s="17" t="str">
        <f t="shared" si="39"/>
        <v>175,</v>
      </c>
      <c r="AB176" s="17" t="s">
        <v>34</v>
      </c>
      <c r="AC176" s="18">
        <f t="shared" si="40"/>
        <v>0.873</v>
      </c>
    </row>
    <row r="177" spans="1:29" x14ac:dyDescent="0.3">
      <c r="A177" s="17">
        <v>176</v>
      </c>
      <c r="B177" s="17">
        <v>210</v>
      </c>
      <c r="C177" s="17">
        <v>0</v>
      </c>
      <c r="D177" s="17">
        <v>60</v>
      </c>
      <c r="H177" s="18">
        <v>900</v>
      </c>
      <c r="I177" s="18">
        <v>0</v>
      </c>
      <c r="J177" s="18">
        <v>0</v>
      </c>
      <c r="K177" s="18">
        <f t="shared" si="31"/>
        <v>-0.38250000000000001</v>
      </c>
      <c r="L177" s="18">
        <v>0</v>
      </c>
      <c r="M177" s="18">
        <v>0</v>
      </c>
      <c r="N177" s="18">
        <f t="shared" si="32"/>
        <v>-0.22500000000000001</v>
      </c>
      <c r="P177" s="15" t="s">
        <v>31</v>
      </c>
      <c r="Q177" s="15" t="str">
        <f t="shared" si="33"/>
        <v>176,</v>
      </c>
      <c r="R177" s="15" t="str">
        <f t="shared" si="34"/>
        <v>210,</v>
      </c>
      <c r="S177" s="15" t="str">
        <f t="shared" si="35"/>
        <v>0,</v>
      </c>
      <c r="T177" s="16">
        <f t="shared" si="36"/>
        <v>60</v>
      </c>
      <c r="U177" s="16" t="s">
        <v>32</v>
      </c>
      <c r="V177" s="16" t="str">
        <f t="shared" si="37"/>
        <v>176,</v>
      </c>
      <c r="W177" s="17" t="str">
        <f t="shared" si="38"/>
        <v/>
      </c>
      <c r="X177" s="17" t="str">
        <f t="shared" si="44"/>
        <v/>
      </c>
      <c r="Y177" s="17" t="str">
        <f t="shared" si="43"/>
        <v/>
      </c>
      <c r="Z177" s="17" t="s">
        <v>33</v>
      </c>
      <c r="AA177" s="17" t="str">
        <f t="shared" si="39"/>
        <v>176,</v>
      </c>
      <c r="AB177" s="17" t="s">
        <v>34</v>
      </c>
      <c r="AC177" s="18">
        <f t="shared" si="40"/>
        <v>0.873</v>
      </c>
    </row>
    <row r="178" spans="1:29" x14ac:dyDescent="0.3">
      <c r="A178" s="17">
        <v>177</v>
      </c>
      <c r="B178" s="17">
        <v>240</v>
      </c>
      <c r="C178" s="17">
        <v>0</v>
      </c>
      <c r="D178" s="17">
        <v>60</v>
      </c>
      <c r="H178" s="18">
        <v>900</v>
      </c>
      <c r="I178" s="18">
        <v>0</v>
      </c>
      <c r="J178" s="18">
        <v>0</v>
      </c>
      <c r="K178" s="18">
        <f t="shared" si="31"/>
        <v>-0.38250000000000001</v>
      </c>
      <c r="L178" s="18">
        <v>0</v>
      </c>
      <c r="M178" s="18">
        <v>0</v>
      </c>
      <c r="N178" s="18">
        <f t="shared" si="32"/>
        <v>-0.22500000000000001</v>
      </c>
      <c r="P178" s="15" t="s">
        <v>31</v>
      </c>
      <c r="Q178" s="15" t="str">
        <f t="shared" si="33"/>
        <v>177,</v>
      </c>
      <c r="R178" s="15" t="str">
        <f t="shared" si="34"/>
        <v>240,</v>
      </c>
      <c r="S178" s="15" t="str">
        <f t="shared" si="35"/>
        <v>0,</v>
      </c>
      <c r="T178" s="16">
        <f t="shared" si="36"/>
        <v>60</v>
      </c>
      <c r="U178" s="16" t="s">
        <v>32</v>
      </c>
      <c r="V178" s="16" t="str">
        <f t="shared" si="37"/>
        <v>177,</v>
      </c>
      <c r="W178" s="17" t="str">
        <f t="shared" si="38"/>
        <v/>
      </c>
      <c r="X178" s="17" t="str">
        <f t="shared" si="44"/>
        <v/>
      </c>
      <c r="Y178" s="17" t="str">
        <f t="shared" si="43"/>
        <v/>
      </c>
      <c r="Z178" s="17" t="s">
        <v>33</v>
      </c>
      <c r="AA178" s="17" t="str">
        <f t="shared" si="39"/>
        <v>177,</v>
      </c>
      <c r="AB178" s="17" t="s">
        <v>34</v>
      </c>
      <c r="AC178" s="18">
        <f t="shared" si="40"/>
        <v>0.873</v>
      </c>
    </row>
    <row r="179" spans="1:29" x14ac:dyDescent="0.3">
      <c r="A179" s="17">
        <v>178</v>
      </c>
      <c r="B179" s="17">
        <v>270</v>
      </c>
      <c r="C179" s="17">
        <v>0</v>
      </c>
      <c r="D179" s="17">
        <v>60</v>
      </c>
      <c r="H179" s="18">
        <v>900</v>
      </c>
      <c r="I179" s="18">
        <v>0</v>
      </c>
      <c r="J179" s="18">
        <v>0</v>
      </c>
      <c r="K179" s="18">
        <f t="shared" si="31"/>
        <v>-0.38250000000000001</v>
      </c>
      <c r="L179" s="18">
        <v>0</v>
      </c>
      <c r="M179" s="18">
        <v>0</v>
      </c>
      <c r="N179" s="18">
        <f t="shared" si="32"/>
        <v>-0.22500000000000001</v>
      </c>
      <c r="P179" s="15" t="s">
        <v>31</v>
      </c>
      <c r="Q179" s="15" t="str">
        <f t="shared" si="33"/>
        <v>178,</v>
      </c>
      <c r="R179" s="15" t="str">
        <f t="shared" si="34"/>
        <v>270,</v>
      </c>
      <c r="S179" s="15" t="str">
        <f t="shared" si="35"/>
        <v>0,</v>
      </c>
      <c r="T179" s="16">
        <f t="shared" si="36"/>
        <v>60</v>
      </c>
      <c r="U179" s="16" t="s">
        <v>32</v>
      </c>
      <c r="V179" s="16" t="str">
        <f t="shared" si="37"/>
        <v>178,</v>
      </c>
      <c r="W179" s="17" t="str">
        <f t="shared" si="38"/>
        <v/>
      </c>
      <c r="X179" s="17" t="str">
        <f t="shared" si="44"/>
        <v/>
      </c>
      <c r="Y179" s="17" t="str">
        <f t="shared" si="43"/>
        <v/>
      </c>
      <c r="Z179" s="17" t="s">
        <v>33</v>
      </c>
      <c r="AA179" s="17" t="str">
        <f t="shared" si="39"/>
        <v>178,</v>
      </c>
      <c r="AB179" s="17" t="s">
        <v>34</v>
      </c>
      <c r="AC179" s="18">
        <f t="shared" si="40"/>
        <v>0.873</v>
      </c>
    </row>
    <row r="180" spans="1:29" x14ac:dyDescent="0.3">
      <c r="A180" s="17">
        <v>179</v>
      </c>
      <c r="B180" s="17">
        <v>300</v>
      </c>
      <c r="C180" s="17">
        <v>0</v>
      </c>
      <c r="D180" s="17">
        <v>60</v>
      </c>
      <c r="H180" s="18">
        <v>900</v>
      </c>
      <c r="I180" s="18">
        <v>0</v>
      </c>
      <c r="J180" s="18">
        <v>0</v>
      </c>
      <c r="K180" s="18">
        <f t="shared" si="31"/>
        <v>-0.38250000000000001</v>
      </c>
      <c r="L180" s="18">
        <v>0</v>
      </c>
      <c r="M180" s="18">
        <v>0</v>
      </c>
      <c r="N180" s="18">
        <f t="shared" si="32"/>
        <v>-0.22500000000000001</v>
      </c>
      <c r="P180" s="15" t="s">
        <v>31</v>
      </c>
      <c r="Q180" s="15" t="str">
        <f t="shared" si="33"/>
        <v>179,</v>
      </c>
      <c r="R180" s="15" t="str">
        <f t="shared" si="34"/>
        <v>300,</v>
      </c>
      <c r="S180" s="15" t="str">
        <f t="shared" si="35"/>
        <v>0,</v>
      </c>
      <c r="T180" s="16">
        <f t="shared" si="36"/>
        <v>60</v>
      </c>
      <c r="U180" s="16" t="s">
        <v>32</v>
      </c>
      <c r="V180" s="16" t="str">
        <f t="shared" si="37"/>
        <v>179,</v>
      </c>
      <c r="W180" s="17" t="str">
        <f t="shared" si="38"/>
        <v/>
      </c>
      <c r="X180" s="17" t="str">
        <f t="shared" si="44"/>
        <v/>
      </c>
      <c r="Y180" s="17" t="str">
        <f t="shared" si="43"/>
        <v/>
      </c>
      <c r="Z180" s="17" t="s">
        <v>33</v>
      </c>
      <c r="AA180" s="17" t="str">
        <f t="shared" si="39"/>
        <v>179,</v>
      </c>
      <c r="AB180" s="17" t="s">
        <v>34</v>
      </c>
      <c r="AC180" s="18">
        <f t="shared" si="40"/>
        <v>0.873</v>
      </c>
    </row>
    <row r="181" spans="1:29" x14ac:dyDescent="0.3">
      <c r="A181" s="17">
        <v>180</v>
      </c>
      <c r="B181" s="17">
        <v>330</v>
      </c>
      <c r="C181" s="17">
        <v>0</v>
      </c>
      <c r="D181" s="17">
        <v>60</v>
      </c>
      <c r="H181" s="18">
        <v>900</v>
      </c>
      <c r="I181" s="18">
        <v>0</v>
      </c>
      <c r="J181" s="18">
        <v>0</v>
      </c>
      <c r="K181" s="18">
        <f t="shared" si="31"/>
        <v>-0.38250000000000001</v>
      </c>
      <c r="L181" s="18">
        <v>0</v>
      </c>
      <c r="M181" s="18">
        <v>0</v>
      </c>
      <c r="N181" s="18">
        <f t="shared" si="32"/>
        <v>-0.22500000000000001</v>
      </c>
      <c r="P181" s="15" t="s">
        <v>31</v>
      </c>
      <c r="Q181" s="15" t="str">
        <f t="shared" si="33"/>
        <v>180,</v>
      </c>
      <c r="R181" s="15" t="str">
        <f t="shared" si="34"/>
        <v>330,</v>
      </c>
      <c r="S181" s="15" t="str">
        <f t="shared" si="35"/>
        <v>0,</v>
      </c>
      <c r="T181" s="16">
        <f t="shared" si="36"/>
        <v>60</v>
      </c>
      <c r="U181" s="16" t="s">
        <v>32</v>
      </c>
      <c r="V181" s="16" t="str">
        <f t="shared" si="37"/>
        <v>180,</v>
      </c>
      <c r="W181" s="17" t="str">
        <f t="shared" si="38"/>
        <v/>
      </c>
      <c r="X181" s="17" t="str">
        <f t="shared" si="44"/>
        <v/>
      </c>
      <c r="Y181" s="17" t="str">
        <f t="shared" si="43"/>
        <v/>
      </c>
      <c r="Z181" s="17" t="s">
        <v>33</v>
      </c>
      <c r="AA181" s="17" t="str">
        <f t="shared" si="39"/>
        <v>180,</v>
      </c>
      <c r="AB181" s="17" t="s">
        <v>34</v>
      </c>
      <c r="AC181" s="18">
        <f t="shared" si="40"/>
        <v>0.873</v>
      </c>
    </row>
    <row r="182" spans="1:29" x14ac:dyDescent="0.3">
      <c r="A182" s="17">
        <v>181</v>
      </c>
      <c r="B182" s="17">
        <v>360</v>
      </c>
      <c r="C182" s="17">
        <v>0</v>
      </c>
      <c r="D182" s="17">
        <v>60</v>
      </c>
      <c r="H182" s="18">
        <v>900</v>
      </c>
      <c r="I182" s="18">
        <v>0</v>
      </c>
      <c r="J182" s="18">
        <v>0</v>
      </c>
      <c r="K182" s="18">
        <f t="shared" si="31"/>
        <v>-0.38250000000000001</v>
      </c>
      <c r="L182" s="18">
        <v>0</v>
      </c>
      <c r="M182" s="18">
        <v>0</v>
      </c>
      <c r="N182" s="18">
        <f t="shared" si="32"/>
        <v>-0.22500000000000001</v>
      </c>
      <c r="P182" s="15" t="s">
        <v>31</v>
      </c>
      <c r="Q182" s="15" t="str">
        <f t="shared" si="33"/>
        <v>181,</v>
      </c>
      <c r="R182" s="15" t="str">
        <f t="shared" si="34"/>
        <v>360,</v>
      </c>
      <c r="S182" s="15" t="str">
        <f t="shared" si="35"/>
        <v>0,</v>
      </c>
      <c r="T182" s="16">
        <f t="shared" si="36"/>
        <v>60</v>
      </c>
      <c r="U182" s="16" t="s">
        <v>32</v>
      </c>
      <c r="V182" s="16" t="str">
        <f t="shared" si="37"/>
        <v>181,</v>
      </c>
      <c r="W182" s="17" t="str">
        <f t="shared" si="38"/>
        <v/>
      </c>
      <c r="X182" s="17" t="str">
        <f t="shared" si="44"/>
        <v/>
      </c>
      <c r="Y182" s="17" t="str">
        <f t="shared" si="43"/>
        <v/>
      </c>
      <c r="Z182" s="17" t="s">
        <v>33</v>
      </c>
      <c r="AA182" s="17" t="str">
        <f t="shared" si="39"/>
        <v>181,</v>
      </c>
      <c r="AB182" s="17" t="s">
        <v>34</v>
      </c>
      <c r="AC182" s="18">
        <f t="shared" si="40"/>
        <v>0.873</v>
      </c>
    </row>
    <row r="183" spans="1:29" x14ac:dyDescent="0.3">
      <c r="A183" s="17">
        <v>182</v>
      </c>
      <c r="B183" s="17">
        <v>390</v>
      </c>
      <c r="C183" s="17">
        <v>0</v>
      </c>
      <c r="D183" s="17">
        <v>60</v>
      </c>
      <c r="H183" s="18">
        <v>900</v>
      </c>
      <c r="I183" s="18">
        <v>0</v>
      </c>
      <c r="J183" s="18">
        <v>0</v>
      </c>
      <c r="K183" s="18">
        <f t="shared" si="31"/>
        <v>-0.38250000000000001</v>
      </c>
      <c r="L183" s="18">
        <v>0</v>
      </c>
      <c r="M183" s="18">
        <v>0</v>
      </c>
      <c r="N183" s="18">
        <f t="shared" si="32"/>
        <v>-0.22500000000000001</v>
      </c>
      <c r="P183" s="15" t="s">
        <v>31</v>
      </c>
      <c r="Q183" s="15" t="str">
        <f t="shared" si="33"/>
        <v>182,</v>
      </c>
      <c r="R183" s="15" t="str">
        <f t="shared" si="34"/>
        <v>390,</v>
      </c>
      <c r="S183" s="15" t="str">
        <f t="shared" si="35"/>
        <v>0,</v>
      </c>
      <c r="T183" s="16">
        <f t="shared" si="36"/>
        <v>60</v>
      </c>
      <c r="U183" s="16" t="s">
        <v>32</v>
      </c>
      <c r="V183" s="16" t="str">
        <f t="shared" si="37"/>
        <v>182,</v>
      </c>
      <c r="W183" s="17" t="str">
        <f t="shared" si="38"/>
        <v/>
      </c>
      <c r="X183" s="17" t="str">
        <f t="shared" si="44"/>
        <v/>
      </c>
      <c r="Y183" s="17" t="str">
        <f t="shared" si="43"/>
        <v/>
      </c>
      <c r="Z183" s="17" t="s">
        <v>33</v>
      </c>
      <c r="AA183" s="17" t="str">
        <f t="shared" si="39"/>
        <v>182,</v>
      </c>
      <c r="AB183" s="17" t="s">
        <v>34</v>
      </c>
      <c r="AC183" s="18">
        <f t="shared" si="40"/>
        <v>0.873</v>
      </c>
    </row>
    <row r="184" spans="1:29" x14ac:dyDescent="0.3">
      <c r="A184" s="17">
        <v>183</v>
      </c>
      <c r="B184" s="17">
        <v>420</v>
      </c>
      <c r="C184" s="17">
        <v>0</v>
      </c>
      <c r="D184" s="17">
        <v>60</v>
      </c>
      <c r="H184" s="18">
        <v>900</v>
      </c>
      <c r="I184" s="18">
        <v>0</v>
      </c>
      <c r="J184" s="18">
        <v>0</v>
      </c>
      <c r="K184" s="18">
        <f t="shared" si="31"/>
        <v>-0.38250000000000001</v>
      </c>
      <c r="L184" s="18">
        <v>0</v>
      </c>
      <c r="M184" s="18">
        <v>0</v>
      </c>
      <c r="N184" s="18">
        <f t="shared" si="32"/>
        <v>-0.22500000000000001</v>
      </c>
      <c r="P184" s="15" t="s">
        <v>31</v>
      </c>
      <c r="Q184" s="15" t="str">
        <f t="shared" si="33"/>
        <v>183,</v>
      </c>
      <c r="R184" s="15" t="str">
        <f t="shared" si="34"/>
        <v>420,</v>
      </c>
      <c r="S184" s="15" t="str">
        <f t="shared" si="35"/>
        <v>0,</v>
      </c>
      <c r="T184" s="16">
        <f t="shared" si="36"/>
        <v>60</v>
      </c>
      <c r="U184" s="16" t="s">
        <v>32</v>
      </c>
      <c r="V184" s="16" t="str">
        <f t="shared" si="37"/>
        <v>183,</v>
      </c>
      <c r="W184" s="17" t="str">
        <f t="shared" si="38"/>
        <v/>
      </c>
      <c r="X184" s="17" t="str">
        <f t="shared" si="44"/>
        <v/>
      </c>
      <c r="Y184" s="17" t="str">
        <f t="shared" si="43"/>
        <v/>
      </c>
      <c r="Z184" s="17" t="s">
        <v>33</v>
      </c>
      <c r="AA184" s="17" t="str">
        <f t="shared" si="39"/>
        <v>183,</v>
      </c>
      <c r="AB184" s="17" t="s">
        <v>34</v>
      </c>
      <c r="AC184" s="18">
        <f t="shared" si="40"/>
        <v>0.873</v>
      </c>
    </row>
    <row r="185" spans="1:29" x14ac:dyDescent="0.3">
      <c r="A185" s="17">
        <v>184</v>
      </c>
      <c r="B185" s="17">
        <v>450</v>
      </c>
      <c r="C185" s="17">
        <v>0</v>
      </c>
      <c r="D185" s="17">
        <v>60</v>
      </c>
      <c r="H185" s="18">
        <v>900</v>
      </c>
      <c r="I185" s="18">
        <v>0</v>
      </c>
      <c r="J185" s="18">
        <v>0</v>
      </c>
      <c r="K185" s="18">
        <f t="shared" si="31"/>
        <v>-0.38250000000000001</v>
      </c>
      <c r="L185" s="18">
        <v>0</v>
      </c>
      <c r="M185" s="18">
        <v>0</v>
      </c>
      <c r="N185" s="18">
        <f t="shared" si="32"/>
        <v>-0.22500000000000001</v>
      </c>
      <c r="P185" s="15" t="s">
        <v>31</v>
      </c>
      <c r="Q185" s="15" t="str">
        <f t="shared" si="33"/>
        <v>184,</v>
      </c>
      <c r="R185" s="15" t="str">
        <f t="shared" si="34"/>
        <v>450,</v>
      </c>
      <c r="S185" s="15" t="str">
        <f t="shared" si="35"/>
        <v>0,</v>
      </c>
      <c r="T185" s="16">
        <f t="shared" si="36"/>
        <v>60</v>
      </c>
      <c r="U185" s="16" t="s">
        <v>32</v>
      </c>
      <c r="V185" s="16" t="str">
        <f t="shared" si="37"/>
        <v>184,</v>
      </c>
      <c r="W185" s="17" t="str">
        <f t="shared" si="38"/>
        <v/>
      </c>
      <c r="X185" s="17" t="str">
        <f t="shared" si="44"/>
        <v/>
      </c>
      <c r="Y185" s="17" t="str">
        <f t="shared" si="43"/>
        <v/>
      </c>
      <c r="Z185" s="17" t="s">
        <v>33</v>
      </c>
      <c r="AA185" s="17" t="str">
        <f t="shared" si="39"/>
        <v>184,</v>
      </c>
      <c r="AB185" s="17" t="s">
        <v>34</v>
      </c>
      <c r="AC185" s="18">
        <f t="shared" si="40"/>
        <v>0.873</v>
      </c>
    </row>
    <row r="186" spans="1:29" x14ac:dyDescent="0.3">
      <c r="A186" s="17">
        <v>185</v>
      </c>
      <c r="B186" s="17">
        <v>480</v>
      </c>
      <c r="C186" s="17">
        <v>0</v>
      </c>
      <c r="D186" s="17">
        <v>60</v>
      </c>
      <c r="H186" s="18">
        <v>900</v>
      </c>
      <c r="I186" s="18">
        <v>0</v>
      </c>
      <c r="J186" s="18">
        <v>0</v>
      </c>
      <c r="K186" s="18">
        <f t="shared" si="31"/>
        <v>-0.38250000000000001</v>
      </c>
      <c r="L186" s="18">
        <v>0</v>
      </c>
      <c r="M186" s="18">
        <v>0</v>
      </c>
      <c r="N186" s="18">
        <f t="shared" si="32"/>
        <v>-0.22500000000000001</v>
      </c>
      <c r="P186" s="15" t="s">
        <v>31</v>
      </c>
      <c r="Q186" s="15" t="str">
        <f t="shared" si="33"/>
        <v>185,</v>
      </c>
      <c r="R186" s="15" t="str">
        <f t="shared" si="34"/>
        <v>480,</v>
      </c>
      <c r="S186" s="15" t="str">
        <f t="shared" si="35"/>
        <v>0,</v>
      </c>
      <c r="T186" s="16">
        <f t="shared" si="36"/>
        <v>60</v>
      </c>
      <c r="U186" s="16" t="s">
        <v>32</v>
      </c>
      <c r="V186" s="16" t="str">
        <f t="shared" si="37"/>
        <v>185,</v>
      </c>
      <c r="W186" s="17" t="str">
        <f t="shared" si="38"/>
        <v/>
      </c>
      <c r="X186" s="17" t="str">
        <f t="shared" si="44"/>
        <v/>
      </c>
      <c r="Y186" s="17" t="str">
        <f t="shared" si="43"/>
        <v/>
      </c>
      <c r="Z186" s="17" t="s">
        <v>33</v>
      </c>
      <c r="AA186" s="17" t="str">
        <f t="shared" si="39"/>
        <v>185,</v>
      </c>
      <c r="AB186" s="17" t="s">
        <v>34</v>
      </c>
      <c r="AC186" s="18">
        <f t="shared" si="40"/>
        <v>0.873</v>
      </c>
    </row>
    <row r="187" spans="1:29" x14ac:dyDescent="0.3">
      <c r="A187" s="17">
        <v>186</v>
      </c>
      <c r="B187" s="17">
        <v>509.99999999999994</v>
      </c>
      <c r="C187" s="17">
        <v>0</v>
      </c>
      <c r="D187" s="17">
        <v>60</v>
      </c>
      <c r="H187" s="18">
        <v>900</v>
      </c>
      <c r="I187" s="18">
        <v>0</v>
      </c>
      <c r="J187" s="18">
        <v>0</v>
      </c>
      <c r="K187" s="18">
        <f t="shared" si="31"/>
        <v>-0.38250000000000001</v>
      </c>
      <c r="L187" s="18">
        <v>0</v>
      </c>
      <c r="M187" s="18">
        <v>0</v>
      </c>
      <c r="N187" s="18">
        <f t="shared" si="32"/>
        <v>-0.22500000000000001</v>
      </c>
      <c r="P187" s="15" t="s">
        <v>31</v>
      </c>
      <c r="Q187" s="15" t="str">
        <f t="shared" si="33"/>
        <v>186,</v>
      </c>
      <c r="R187" s="15" t="str">
        <f t="shared" si="34"/>
        <v>510,</v>
      </c>
      <c r="S187" s="15" t="str">
        <f t="shared" si="35"/>
        <v>0,</v>
      </c>
      <c r="T187" s="16">
        <f t="shared" si="36"/>
        <v>60</v>
      </c>
      <c r="U187" s="16" t="s">
        <v>32</v>
      </c>
      <c r="V187" s="16" t="str">
        <f t="shared" si="37"/>
        <v>186,</v>
      </c>
      <c r="W187" s="17" t="str">
        <f t="shared" si="38"/>
        <v/>
      </c>
      <c r="X187" s="17" t="str">
        <f t="shared" si="44"/>
        <v/>
      </c>
      <c r="Y187" s="17" t="str">
        <f t="shared" si="43"/>
        <v/>
      </c>
      <c r="Z187" s="17" t="s">
        <v>33</v>
      </c>
      <c r="AA187" s="17" t="str">
        <f t="shared" si="39"/>
        <v>186,</v>
      </c>
      <c r="AB187" s="17" t="s">
        <v>34</v>
      </c>
      <c r="AC187" s="18">
        <f t="shared" si="40"/>
        <v>0.873</v>
      </c>
    </row>
    <row r="188" spans="1:29" x14ac:dyDescent="0.3">
      <c r="A188" s="17">
        <v>187</v>
      </c>
      <c r="B188" s="17">
        <v>540</v>
      </c>
      <c r="C188" s="17">
        <v>0</v>
      </c>
      <c r="D188" s="17">
        <v>60</v>
      </c>
      <c r="H188" s="18">
        <v>900</v>
      </c>
      <c r="I188" s="18">
        <v>0</v>
      </c>
      <c r="J188" s="18">
        <v>0</v>
      </c>
      <c r="K188" s="18">
        <f t="shared" si="31"/>
        <v>-0.38250000000000001</v>
      </c>
      <c r="L188" s="18">
        <v>0</v>
      </c>
      <c r="M188" s="18">
        <v>0</v>
      </c>
      <c r="N188" s="18">
        <f t="shared" si="32"/>
        <v>-0.22500000000000001</v>
      </c>
      <c r="P188" s="15" t="s">
        <v>31</v>
      </c>
      <c r="Q188" s="15" t="str">
        <f t="shared" si="33"/>
        <v>187,</v>
      </c>
      <c r="R188" s="15" t="str">
        <f t="shared" si="34"/>
        <v>540,</v>
      </c>
      <c r="S188" s="15" t="str">
        <f t="shared" si="35"/>
        <v>0,</v>
      </c>
      <c r="T188" s="16">
        <f t="shared" si="36"/>
        <v>60</v>
      </c>
      <c r="U188" s="16" t="s">
        <v>32</v>
      </c>
      <c r="V188" s="16" t="str">
        <f t="shared" si="37"/>
        <v>187,</v>
      </c>
      <c r="W188" s="17" t="str">
        <f t="shared" si="38"/>
        <v/>
      </c>
      <c r="X188" s="17" t="str">
        <f t="shared" si="44"/>
        <v/>
      </c>
      <c r="Y188" s="17" t="str">
        <f t="shared" si="43"/>
        <v/>
      </c>
      <c r="Z188" s="17" t="s">
        <v>33</v>
      </c>
      <c r="AA188" s="17" t="str">
        <f t="shared" si="39"/>
        <v>187,</v>
      </c>
      <c r="AB188" s="17" t="s">
        <v>34</v>
      </c>
      <c r="AC188" s="18">
        <f t="shared" si="40"/>
        <v>0.873</v>
      </c>
    </row>
    <row r="189" spans="1:29" x14ac:dyDescent="0.3">
      <c r="A189" s="17">
        <v>188</v>
      </c>
      <c r="B189" s="17">
        <v>570</v>
      </c>
      <c r="C189" s="17">
        <v>0</v>
      </c>
      <c r="D189" s="17">
        <v>60</v>
      </c>
      <c r="H189" s="18">
        <v>900</v>
      </c>
      <c r="I189" s="18">
        <v>0</v>
      </c>
      <c r="J189" s="18">
        <v>0</v>
      </c>
      <c r="K189" s="18">
        <f t="shared" si="31"/>
        <v>-0.38250000000000001</v>
      </c>
      <c r="L189" s="18">
        <v>0</v>
      </c>
      <c r="M189" s="18">
        <v>0</v>
      </c>
      <c r="N189" s="18">
        <f t="shared" si="32"/>
        <v>-0.22500000000000001</v>
      </c>
      <c r="P189" s="15" t="s">
        <v>31</v>
      </c>
      <c r="Q189" s="15" t="str">
        <f t="shared" si="33"/>
        <v>188,</v>
      </c>
      <c r="R189" s="15" t="str">
        <f t="shared" si="34"/>
        <v>570,</v>
      </c>
      <c r="S189" s="15" t="str">
        <f t="shared" si="35"/>
        <v>0,</v>
      </c>
      <c r="T189" s="16">
        <f t="shared" si="36"/>
        <v>60</v>
      </c>
      <c r="U189" s="16" t="s">
        <v>32</v>
      </c>
      <c r="V189" s="16" t="str">
        <f t="shared" si="37"/>
        <v>188,</v>
      </c>
      <c r="W189" s="17" t="str">
        <f t="shared" si="38"/>
        <v/>
      </c>
      <c r="X189" s="17" t="str">
        <f t="shared" si="44"/>
        <v/>
      </c>
      <c r="Y189" s="17" t="str">
        <f t="shared" si="43"/>
        <v/>
      </c>
      <c r="Z189" s="17" t="s">
        <v>33</v>
      </c>
      <c r="AA189" s="17" t="str">
        <f t="shared" si="39"/>
        <v>188,</v>
      </c>
      <c r="AB189" s="17" t="s">
        <v>34</v>
      </c>
      <c r="AC189" s="18">
        <f t="shared" si="40"/>
        <v>0.873</v>
      </c>
    </row>
    <row r="190" spans="1:29" x14ac:dyDescent="0.3">
      <c r="A190" s="17">
        <v>189</v>
      </c>
      <c r="B190" s="17">
        <v>600</v>
      </c>
      <c r="C190" s="17">
        <v>0</v>
      </c>
      <c r="D190" s="17">
        <v>60</v>
      </c>
      <c r="E190" s="17">
        <v>0</v>
      </c>
      <c r="F190" s="17">
        <v>0</v>
      </c>
      <c r="G190" s="17">
        <v>1</v>
      </c>
      <c r="H190" s="18">
        <v>900</v>
      </c>
      <c r="I190" s="18">
        <v>0</v>
      </c>
      <c r="J190" s="18">
        <v>0</v>
      </c>
      <c r="K190" s="18">
        <f t="shared" si="31"/>
        <v>-0.38250000000000001</v>
      </c>
      <c r="L190" s="18">
        <v>0</v>
      </c>
      <c r="M190" s="18">
        <v>0</v>
      </c>
      <c r="N190" s="18">
        <f t="shared" si="32"/>
        <v>-0.22500000000000001</v>
      </c>
      <c r="P190" s="15" t="s">
        <v>31</v>
      </c>
      <c r="Q190" s="15" t="str">
        <f t="shared" si="33"/>
        <v>189,</v>
      </c>
      <c r="R190" s="15" t="str">
        <f t="shared" si="34"/>
        <v>600,</v>
      </c>
      <c r="S190" s="15" t="str">
        <f t="shared" si="35"/>
        <v>0,</v>
      </c>
      <c r="T190" s="16">
        <f t="shared" si="36"/>
        <v>60</v>
      </c>
      <c r="U190" s="16" t="s">
        <v>32</v>
      </c>
      <c r="V190" s="16" t="str">
        <f t="shared" si="37"/>
        <v>189,</v>
      </c>
      <c r="W190" s="17" t="str">
        <f t="shared" si="38"/>
        <v/>
      </c>
      <c r="X190" s="17" t="str">
        <f t="shared" si="44"/>
        <v/>
      </c>
      <c r="Y190" s="17" t="str">
        <f t="shared" si="43"/>
        <v>UY</v>
      </c>
      <c r="Z190" s="17" t="s">
        <v>33</v>
      </c>
      <c r="AA190" s="17" t="str">
        <f t="shared" si="39"/>
        <v>189,</v>
      </c>
      <c r="AB190" s="17" t="s">
        <v>34</v>
      </c>
      <c r="AC190" s="18">
        <f t="shared" si="40"/>
        <v>0.873</v>
      </c>
    </row>
    <row r="191" spans="1:29" x14ac:dyDescent="0.3">
      <c r="A191" s="17">
        <v>190</v>
      </c>
      <c r="B191" s="17">
        <v>0</v>
      </c>
      <c r="C191" s="17">
        <v>0</v>
      </c>
      <c r="D191" s="17">
        <v>30</v>
      </c>
      <c r="E191" s="17">
        <v>0</v>
      </c>
      <c r="F191" s="17">
        <v>0</v>
      </c>
      <c r="G191" s="17">
        <v>1</v>
      </c>
      <c r="H191" s="18">
        <v>900</v>
      </c>
      <c r="I191" s="18">
        <v>0</v>
      </c>
      <c r="J191" s="18">
        <v>0</v>
      </c>
      <c r="K191" s="18">
        <f t="shared" si="31"/>
        <v>-0.38250000000000001</v>
      </c>
      <c r="L191" s="18">
        <v>0</v>
      </c>
      <c r="M191" s="18">
        <v>0</v>
      </c>
      <c r="N191" s="18">
        <f t="shared" si="32"/>
        <v>-0.22500000000000001</v>
      </c>
      <c r="P191" s="15" t="s">
        <v>31</v>
      </c>
      <c r="Q191" s="15" t="str">
        <f t="shared" si="33"/>
        <v>190,</v>
      </c>
      <c r="R191" s="15" t="str">
        <f t="shared" si="34"/>
        <v>0,</v>
      </c>
      <c r="S191" s="15" t="str">
        <f t="shared" si="35"/>
        <v>0,</v>
      </c>
      <c r="T191" s="16">
        <f t="shared" si="36"/>
        <v>30</v>
      </c>
      <c r="U191" s="16" t="s">
        <v>32</v>
      </c>
      <c r="V191" s="16" t="str">
        <f t="shared" si="37"/>
        <v>190,</v>
      </c>
      <c r="W191" s="17" t="str">
        <f t="shared" si="38"/>
        <v/>
      </c>
      <c r="X191" s="17" t="str">
        <f>IF(F191=1,"UZ","")</f>
        <v/>
      </c>
      <c r="Y191" s="17" t="str">
        <f t="shared" si="43"/>
        <v>UY</v>
      </c>
      <c r="Z191" s="17" t="s">
        <v>33</v>
      </c>
      <c r="AA191" s="17" t="str">
        <f t="shared" si="39"/>
        <v>190,</v>
      </c>
      <c r="AB191" s="17" t="s">
        <v>34</v>
      </c>
      <c r="AC191" s="18">
        <f t="shared" si="40"/>
        <v>0.873</v>
      </c>
    </row>
    <row r="192" spans="1:29" x14ac:dyDescent="0.3">
      <c r="A192" s="17">
        <v>191</v>
      </c>
      <c r="B192" s="17">
        <v>30</v>
      </c>
      <c r="C192" s="17">
        <v>0</v>
      </c>
      <c r="D192" s="17">
        <v>30</v>
      </c>
      <c r="H192" s="18">
        <v>900</v>
      </c>
      <c r="I192" s="18">
        <v>0</v>
      </c>
      <c r="J192" s="18">
        <v>0</v>
      </c>
      <c r="K192" s="18">
        <f t="shared" si="31"/>
        <v>-0.38250000000000001</v>
      </c>
      <c r="L192" s="18">
        <v>0</v>
      </c>
      <c r="M192" s="18">
        <v>0</v>
      </c>
      <c r="N192" s="18">
        <f t="shared" si="32"/>
        <v>-0.22500000000000001</v>
      </c>
      <c r="P192" s="15" t="s">
        <v>31</v>
      </c>
      <c r="Q192" s="15" t="str">
        <f t="shared" si="33"/>
        <v>191,</v>
      </c>
      <c r="R192" s="15" t="str">
        <f t="shared" si="34"/>
        <v>30,</v>
      </c>
      <c r="S192" s="15" t="str">
        <f t="shared" si="35"/>
        <v>0,</v>
      </c>
      <c r="T192" s="16">
        <f t="shared" si="36"/>
        <v>30</v>
      </c>
      <c r="U192" s="16" t="s">
        <v>32</v>
      </c>
      <c r="V192" s="16" t="str">
        <f t="shared" si="37"/>
        <v>191,</v>
      </c>
      <c r="W192" s="17" t="str">
        <f t="shared" si="38"/>
        <v/>
      </c>
      <c r="X192" s="17" t="str">
        <f t="shared" ref="X192:X209" si="45">IF(F192=1,"UY","")</f>
        <v/>
      </c>
      <c r="Y192" s="17" t="str">
        <f t="shared" si="43"/>
        <v/>
      </c>
      <c r="Z192" s="17" t="s">
        <v>33</v>
      </c>
      <c r="AA192" s="17" t="str">
        <f t="shared" si="39"/>
        <v>191,</v>
      </c>
      <c r="AB192" s="17" t="s">
        <v>34</v>
      </c>
      <c r="AC192" s="18">
        <f t="shared" si="40"/>
        <v>0.873</v>
      </c>
    </row>
    <row r="193" spans="1:29" x14ac:dyDescent="0.3">
      <c r="A193" s="17">
        <v>192</v>
      </c>
      <c r="B193" s="17">
        <v>60</v>
      </c>
      <c r="C193" s="17">
        <v>0</v>
      </c>
      <c r="D193" s="17">
        <v>30</v>
      </c>
      <c r="H193" s="18">
        <v>900</v>
      </c>
      <c r="I193" s="18">
        <v>0</v>
      </c>
      <c r="J193" s="18">
        <v>0</v>
      </c>
      <c r="K193" s="18">
        <f t="shared" si="31"/>
        <v>-0.38250000000000001</v>
      </c>
      <c r="L193" s="18">
        <v>0</v>
      </c>
      <c r="M193" s="18">
        <v>0</v>
      </c>
      <c r="N193" s="18">
        <f t="shared" si="32"/>
        <v>-0.22500000000000001</v>
      </c>
      <c r="P193" s="15" t="s">
        <v>31</v>
      </c>
      <c r="Q193" s="15" t="str">
        <f t="shared" si="33"/>
        <v>192,</v>
      </c>
      <c r="R193" s="15" t="str">
        <f t="shared" si="34"/>
        <v>60,</v>
      </c>
      <c r="S193" s="15" t="str">
        <f t="shared" si="35"/>
        <v>0,</v>
      </c>
      <c r="T193" s="16">
        <f t="shared" si="36"/>
        <v>30</v>
      </c>
      <c r="U193" s="16" t="s">
        <v>32</v>
      </c>
      <c r="V193" s="16" t="str">
        <f t="shared" si="37"/>
        <v>192,</v>
      </c>
      <c r="W193" s="17" t="str">
        <f t="shared" si="38"/>
        <v/>
      </c>
      <c r="X193" s="17" t="str">
        <f t="shared" si="45"/>
        <v/>
      </c>
      <c r="Y193" s="17" t="str">
        <f t="shared" si="43"/>
        <v/>
      </c>
      <c r="Z193" s="17" t="s">
        <v>33</v>
      </c>
      <c r="AA193" s="17" t="str">
        <f t="shared" si="39"/>
        <v>192,</v>
      </c>
      <c r="AB193" s="17" t="s">
        <v>34</v>
      </c>
      <c r="AC193" s="18">
        <f t="shared" si="40"/>
        <v>0.873</v>
      </c>
    </row>
    <row r="194" spans="1:29" x14ac:dyDescent="0.3">
      <c r="A194" s="17">
        <v>193</v>
      </c>
      <c r="B194" s="17">
        <v>90</v>
      </c>
      <c r="C194" s="17">
        <v>0</v>
      </c>
      <c r="D194" s="17">
        <v>30</v>
      </c>
      <c r="H194" s="18">
        <v>900</v>
      </c>
      <c r="I194" s="18">
        <v>0</v>
      </c>
      <c r="J194" s="18">
        <v>0</v>
      </c>
      <c r="K194" s="18">
        <f t="shared" ref="K194:K232" si="46">-H194*4.25/10000</f>
        <v>-0.38250000000000001</v>
      </c>
      <c r="L194" s="18">
        <v>0</v>
      </c>
      <c r="M194" s="18">
        <v>0</v>
      </c>
      <c r="N194" s="18">
        <f t="shared" ref="N194:N232" si="47">-H194*2.5/10000</f>
        <v>-0.22500000000000001</v>
      </c>
      <c r="P194" s="15" t="s">
        <v>31</v>
      </c>
      <c r="Q194" s="15" t="str">
        <f t="shared" ref="Q194:Q232" si="48">A194&amp;","</f>
        <v>193,</v>
      </c>
      <c r="R194" s="15" t="str">
        <f t="shared" ref="R194:R232" si="49">B194&amp;","</f>
        <v>90,</v>
      </c>
      <c r="S194" s="15" t="str">
        <f t="shared" ref="S194:S232" si="50">C194&amp;","</f>
        <v>0,</v>
      </c>
      <c r="T194" s="16">
        <f t="shared" ref="T194:T232" si="51">D194</f>
        <v>30</v>
      </c>
      <c r="U194" s="16" t="s">
        <v>32</v>
      </c>
      <c r="V194" s="16" t="str">
        <f t="shared" ref="V194:V232" si="52">A194&amp;","</f>
        <v>193,</v>
      </c>
      <c r="W194" s="17" t="str">
        <f t="shared" ref="W194:W232" si="53">IF(E194=1,"UX","")</f>
        <v/>
      </c>
      <c r="X194" s="17" t="str">
        <f t="shared" si="45"/>
        <v/>
      </c>
      <c r="Y194" s="17" t="str">
        <f t="shared" si="43"/>
        <v/>
      </c>
      <c r="Z194" s="17" t="s">
        <v>33</v>
      </c>
      <c r="AA194" s="17" t="str">
        <f t="shared" ref="AA194:AA232" si="54">Q194</f>
        <v>193,</v>
      </c>
      <c r="AB194" s="17" t="s">
        <v>34</v>
      </c>
      <c r="AC194" s="18">
        <f t="shared" ref="AC194:AC232" si="55">-(1.4*K194+1.5*N194)</f>
        <v>0.873</v>
      </c>
    </row>
    <row r="195" spans="1:29" x14ac:dyDescent="0.3">
      <c r="A195" s="17">
        <v>194</v>
      </c>
      <c r="B195" s="17">
        <v>120</v>
      </c>
      <c r="C195" s="17">
        <v>0</v>
      </c>
      <c r="D195" s="17">
        <v>30</v>
      </c>
      <c r="H195" s="18">
        <v>900</v>
      </c>
      <c r="I195" s="18">
        <v>0</v>
      </c>
      <c r="J195" s="18">
        <v>0</v>
      </c>
      <c r="K195" s="18">
        <f t="shared" si="46"/>
        <v>-0.38250000000000001</v>
      </c>
      <c r="L195" s="18">
        <v>0</v>
      </c>
      <c r="M195" s="18">
        <v>0</v>
      </c>
      <c r="N195" s="18">
        <f t="shared" si="47"/>
        <v>-0.22500000000000001</v>
      </c>
      <c r="P195" s="15" t="s">
        <v>31</v>
      </c>
      <c r="Q195" s="15" t="str">
        <f t="shared" si="48"/>
        <v>194,</v>
      </c>
      <c r="R195" s="15" t="str">
        <f t="shared" si="49"/>
        <v>120,</v>
      </c>
      <c r="S195" s="15" t="str">
        <f t="shared" si="50"/>
        <v>0,</v>
      </c>
      <c r="T195" s="16">
        <f t="shared" si="51"/>
        <v>30</v>
      </c>
      <c r="U195" s="16" t="s">
        <v>32</v>
      </c>
      <c r="V195" s="16" t="str">
        <f t="shared" si="52"/>
        <v>194,</v>
      </c>
      <c r="W195" s="17" t="str">
        <f t="shared" si="53"/>
        <v/>
      </c>
      <c r="X195" s="17" t="str">
        <f t="shared" si="45"/>
        <v/>
      </c>
      <c r="Y195" s="17" t="str">
        <f t="shared" si="43"/>
        <v/>
      </c>
      <c r="Z195" s="17" t="s">
        <v>33</v>
      </c>
      <c r="AA195" s="17" t="str">
        <f t="shared" si="54"/>
        <v>194,</v>
      </c>
      <c r="AB195" s="17" t="s">
        <v>34</v>
      </c>
      <c r="AC195" s="18">
        <f t="shared" si="55"/>
        <v>0.873</v>
      </c>
    </row>
    <row r="196" spans="1:29" x14ac:dyDescent="0.3">
      <c r="A196" s="17">
        <v>195</v>
      </c>
      <c r="B196" s="17">
        <v>150</v>
      </c>
      <c r="C196" s="17">
        <v>0</v>
      </c>
      <c r="D196" s="17">
        <v>30</v>
      </c>
      <c r="H196" s="18">
        <v>900</v>
      </c>
      <c r="I196" s="18">
        <v>0</v>
      </c>
      <c r="J196" s="18">
        <v>0</v>
      </c>
      <c r="K196" s="18">
        <f t="shared" si="46"/>
        <v>-0.38250000000000001</v>
      </c>
      <c r="L196" s="18">
        <v>0</v>
      </c>
      <c r="M196" s="18">
        <v>0</v>
      </c>
      <c r="N196" s="18">
        <f t="shared" si="47"/>
        <v>-0.22500000000000001</v>
      </c>
      <c r="P196" s="15" t="s">
        <v>31</v>
      </c>
      <c r="Q196" s="15" t="str">
        <f t="shared" si="48"/>
        <v>195,</v>
      </c>
      <c r="R196" s="15" t="str">
        <f t="shared" si="49"/>
        <v>150,</v>
      </c>
      <c r="S196" s="15" t="str">
        <f t="shared" si="50"/>
        <v>0,</v>
      </c>
      <c r="T196" s="16">
        <f t="shared" si="51"/>
        <v>30</v>
      </c>
      <c r="U196" s="16" t="s">
        <v>32</v>
      </c>
      <c r="V196" s="16" t="str">
        <f t="shared" si="52"/>
        <v>195,</v>
      </c>
      <c r="W196" s="17" t="str">
        <f t="shared" si="53"/>
        <v/>
      </c>
      <c r="X196" s="17" t="str">
        <f t="shared" si="45"/>
        <v/>
      </c>
      <c r="Y196" s="17" t="str">
        <f t="shared" si="43"/>
        <v/>
      </c>
      <c r="Z196" s="17" t="s">
        <v>33</v>
      </c>
      <c r="AA196" s="17" t="str">
        <f t="shared" si="54"/>
        <v>195,</v>
      </c>
      <c r="AB196" s="17" t="s">
        <v>34</v>
      </c>
      <c r="AC196" s="18">
        <f t="shared" si="55"/>
        <v>0.873</v>
      </c>
    </row>
    <row r="197" spans="1:29" x14ac:dyDescent="0.3">
      <c r="A197" s="17">
        <v>196</v>
      </c>
      <c r="B197" s="17">
        <v>180</v>
      </c>
      <c r="C197" s="17">
        <v>0</v>
      </c>
      <c r="D197" s="17">
        <v>30</v>
      </c>
      <c r="H197" s="18">
        <v>900</v>
      </c>
      <c r="I197" s="18">
        <v>0</v>
      </c>
      <c r="J197" s="18">
        <v>0</v>
      </c>
      <c r="K197" s="18">
        <f t="shared" si="46"/>
        <v>-0.38250000000000001</v>
      </c>
      <c r="L197" s="18">
        <v>0</v>
      </c>
      <c r="M197" s="18">
        <v>0</v>
      </c>
      <c r="N197" s="18">
        <f t="shared" si="47"/>
        <v>-0.22500000000000001</v>
      </c>
      <c r="P197" s="15" t="s">
        <v>31</v>
      </c>
      <c r="Q197" s="15" t="str">
        <f t="shared" si="48"/>
        <v>196,</v>
      </c>
      <c r="R197" s="15" t="str">
        <f t="shared" si="49"/>
        <v>180,</v>
      </c>
      <c r="S197" s="15" t="str">
        <f t="shared" si="50"/>
        <v>0,</v>
      </c>
      <c r="T197" s="16">
        <f t="shared" si="51"/>
        <v>30</v>
      </c>
      <c r="U197" s="16" t="s">
        <v>32</v>
      </c>
      <c r="V197" s="16" t="str">
        <f t="shared" si="52"/>
        <v>196,</v>
      </c>
      <c r="W197" s="17" t="str">
        <f t="shared" si="53"/>
        <v/>
      </c>
      <c r="X197" s="17" t="str">
        <f t="shared" si="45"/>
        <v/>
      </c>
      <c r="Y197" s="17" t="str">
        <f t="shared" si="43"/>
        <v/>
      </c>
      <c r="Z197" s="17" t="s">
        <v>33</v>
      </c>
      <c r="AA197" s="17" t="str">
        <f t="shared" si="54"/>
        <v>196,</v>
      </c>
      <c r="AB197" s="17" t="s">
        <v>34</v>
      </c>
      <c r="AC197" s="18">
        <f t="shared" si="55"/>
        <v>0.873</v>
      </c>
    </row>
    <row r="198" spans="1:29" x14ac:dyDescent="0.3">
      <c r="A198" s="17">
        <v>197</v>
      </c>
      <c r="B198" s="17">
        <v>210</v>
      </c>
      <c r="C198" s="17">
        <v>0</v>
      </c>
      <c r="D198" s="17">
        <v>30</v>
      </c>
      <c r="H198" s="18">
        <v>900</v>
      </c>
      <c r="I198" s="18">
        <v>0</v>
      </c>
      <c r="J198" s="18">
        <v>0</v>
      </c>
      <c r="K198" s="18">
        <f t="shared" si="46"/>
        <v>-0.38250000000000001</v>
      </c>
      <c r="L198" s="18">
        <v>0</v>
      </c>
      <c r="M198" s="18">
        <v>0</v>
      </c>
      <c r="N198" s="18">
        <f t="shared" si="47"/>
        <v>-0.22500000000000001</v>
      </c>
      <c r="P198" s="15" t="s">
        <v>31</v>
      </c>
      <c r="Q198" s="15" t="str">
        <f t="shared" si="48"/>
        <v>197,</v>
      </c>
      <c r="R198" s="15" t="str">
        <f t="shared" si="49"/>
        <v>210,</v>
      </c>
      <c r="S198" s="15" t="str">
        <f t="shared" si="50"/>
        <v>0,</v>
      </c>
      <c r="T198" s="16">
        <f t="shared" si="51"/>
        <v>30</v>
      </c>
      <c r="U198" s="16" t="s">
        <v>32</v>
      </c>
      <c r="V198" s="16" t="str">
        <f t="shared" si="52"/>
        <v>197,</v>
      </c>
      <c r="W198" s="17" t="str">
        <f t="shared" si="53"/>
        <v/>
      </c>
      <c r="X198" s="17" t="str">
        <f t="shared" si="45"/>
        <v/>
      </c>
      <c r="Y198" s="17" t="str">
        <f t="shared" si="43"/>
        <v/>
      </c>
      <c r="Z198" s="17" t="s">
        <v>33</v>
      </c>
      <c r="AA198" s="17" t="str">
        <f t="shared" si="54"/>
        <v>197,</v>
      </c>
      <c r="AB198" s="17" t="s">
        <v>34</v>
      </c>
      <c r="AC198" s="18">
        <f t="shared" si="55"/>
        <v>0.873</v>
      </c>
    </row>
    <row r="199" spans="1:29" x14ac:dyDescent="0.3">
      <c r="A199" s="17">
        <v>198</v>
      </c>
      <c r="B199" s="17">
        <v>240</v>
      </c>
      <c r="C199" s="17">
        <v>0</v>
      </c>
      <c r="D199" s="17">
        <v>30</v>
      </c>
      <c r="H199" s="18">
        <v>900</v>
      </c>
      <c r="I199" s="18">
        <v>0</v>
      </c>
      <c r="J199" s="18">
        <v>0</v>
      </c>
      <c r="K199" s="18">
        <f t="shared" si="46"/>
        <v>-0.38250000000000001</v>
      </c>
      <c r="L199" s="18">
        <v>0</v>
      </c>
      <c r="M199" s="18">
        <v>0</v>
      </c>
      <c r="N199" s="18">
        <f t="shared" si="47"/>
        <v>-0.22500000000000001</v>
      </c>
      <c r="P199" s="15" t="s">
        <v>31</v>
      </c>
      <c r="Q199" s="15" t="str">
        <f t="shared" si="48"/>
        <v>198,</v>
      </c>
      <c r="R199" s="15" t="str">
        <f t="shared" si="49"/>
        <v>240,</v>
      </c>
      <c r="S199" s="15" t="str">
        <f t="shared" si="50"/>
        <v>0,</v>
      </c>
      <c r="T199" s="16">
        <f t="shared" si="51"/>
        <v>30</v>
      </c>
      <c r="U199" s="16" t="s">
        <v>32</v>
      </c>
      <c r="V199" s="16" t="str">
        <f t="shared" si="52"/>
        <v>198,</v>
      </c>
      <c r="W199" s="17" t="str">
        <f t="shared" si="53"/>
        <v/>
      </c>
      <c r="X199" s="17" t="str">
        <f t="shared" si="45"/>
        <v/>
      </c>
      <c r="Y199" s="17" t="str">
        <f t="shared" si="43"/>
        <v/>
      </c>
      <c r="Z199" s="17" t="s">
        <v>33</v>
      </c>
      <c r="AA199" s="17" t="str">
        <f t="shared" si="54"/>
        <v>198,</v>
      </c>
      <c r="AB199" s="17" t="s">
        <v>34</v>
      </c>
      <c r="AC199" s="18">
        <f t="shared" si="55"/>
        <v>0.873</v>
      </c>
    </row>
    <row r="200" spans="1:29" x14ac:dyDescent="0.3">
      <c r="A200" s="17">
        <v>199</v>
      </c>
      <c r="B200" s="17">
        <v>270</v>
      </c>
      <c r="C200" s="17">
        <v>0</v>
      </c>
      <c r="D200" s="17">
        <v>30</v>
      </c>
      <c r="H200" s="18">
        <v>900</v>
      </c>
      <c r="I200" s="18">
        <v>0</v>
      </c>
      <c r="J200" s="18">
        <v>0</v>
      </c>
      <c r="K200" s="18">
        <f t="shared" si="46"/>
        <v>-0.38250000000000001</v>
      </c>
      <c r="L200" s="18">
        <v>0</v>
      </c>
      <c r="M200" s="18">
        <v>0</v>
      </c>
      <c r="N200" s="18">
        <f t="shared" si="47"/>
        <v>-0.22500000000000001</v>
      </c>
      <c r="P200" s="15" t="s">
        <v>31</v>
      </c>
      <c r="Q200" s="15" t="str">
        <f t="shared" si="48"/>
        <v>199,</v>
      </c>
      <c r="R200" s="15" t="str">
        <f t="shared" si="49"/>
        <v>270,</v>
      </c>
      <c r="S200" s="15" t="str">
        <f t="shared" si="50"/>
        <v>0,</v>
      </c>
      <c r="T200" s="16">
        <f t="shared" si="51"/>
        <v>30</v>
      </c>
      <c r="U200" s="16" t="s">
        <v>32</v>
      </c>
      <c r="V200" s="16" t="str">
        <f t="shared" si="52"/>
        <v>199,</v>
      </c>
      <c r="W200" s="17" t="str">
        <f t="shared" si="53"/>
        <v/>
      </c>
      <c r="X200" s="17" t="str">
        <f t="shared" si="45"/>
        <v/>
      </c>
      <c r="Y200" s="17" t="str">
        <f t="shared" si="43"/>
        <v/>
      </c>
      <c r="Z200" s="17" t="s">
        <v>33</v>
      </c>
      <c r="AA200" s="17" t="str">
        <f t="shared" si="54"/>
        <v>199,</v>
      </c>
      <c r="AB200" s="17" t="s">
        <v>34</v>
      </c>
      <c r="AC200" s="18">
        <f t="shared" si="55"/>
        <v>0.873</v>
      </c>
    </row>
    <row r="201" spans="1:29" x14ac:dyDescent="0.3">
      <c r="A201" s="17">
        <v>200</v>
      </c>
      <c r="B201" s="17">
        <v>300</v>
      </c>
      <c r="C201" s="17">
        <v>0</v>
      </c>
      <c r="D201" s="17">
        <v>30</v>
      </c>
      <c r="H201" s="18">
        <v>900</v>
      </c>
      <c r="I201" s="18">
        <v>0</v>
      </c>
      <c r="J201" s="18">
        <v>0</v>
      </c>
      <c r="K201" s="18">
        <f t="shared" si="46"/>
        <v>-0.38250000000000001</v>
      </c>
      <c r="L201" s="18">
        <v>0</v>
      </c>
      <c r="M201" s="18">
        <v>0</v>
      </c>
      <c r="N201" s="18">
        <f t="shared" si="47"/>
        <v>-0.22500000000000001</v>
      </c>
      <c r="P201" s="15" t="s">
        <v>31</v>
      </c>
      <c r="Q201" s="15" t="str">
        <f t="shared" si="48"/>
        <v>200,</v>
      </c>
      <c r="R201" s="15" t="str">
        <f t="shared" si="49"/>
        <v>300,</v>
      </c>
      <c r="S201" s="15" t="str">
        <f t="shared" si="50"/>
        <v>0,</v>
      </c>
      <c r="T201" s="16">
        <f t="shared" si="51"/>
        <v>30</v>
      </c>
      <c r="U201" s="16" t="s">
        <v>32</v>
      </c>
      <c r="V201" s="16" t="str">
        <f t="shared" si="52"/>
        <v>200,</v>
      </c>
      <c r="W201" s="17" t="str">
        <f t="shared" si="53"/>
        <v/>
      </c>
      <c r="X201" s="17" t="str">
        <f t="shared" si="45"/>
        <v/>
      </c>
      <c r="Y201" s="17" t="str">
        <f t="shared" si="43"/>
        <v/>
      </c>
      <c r="Z201" s="17" t="s">
        <v>33</v>
      </c>
      <c r="AA201" s="17" t="str">
        <f t="shared" si="54"/>
        <v>200,</v>
      </c>
      <c r="AB201" s="17" t="s">
        <v>34</v>
      </c>
      <c r="AC201" s="18">
        <f t="shared" si="55"/>
        <v>0.873</v>
      </c>
    </row>
    <row r="202" spans="1:29" x14ac:dyDescent="0.3">
      <c r="A202" s="17">
        <v>201</v>
      </c>
      <c r="B202" s="17">
        <v>330</v>
      </c>
      <c r="C202" s="17">
        <v>0</v>
      </c>
      <c r="D202" s="17">
        <v>30</v>
      </c>
      <c r="H202" s="18">
        <v>900</v>
      </c>
      <c r="I202" s="18">
        <v>0</v>
      </c>
      <c r="J202" s="18">
        <v>0</v>
      </c>
      <c r="K202" s="18">
        <f t="shared" si="46"/>
        <v>-0.38250000000000001</v>
      </c>
      <c r="L202" s="18">
        <v>0</v>
      </c>
      <c r="M202" s="18">
        <v>0</v>
      </c>
      <c r="N202" s="18">
        <f t="shared" si="47"/>
        <v>-0.22500000000000001</v>
      </c>
      <c r="P202" s="15" t="s">
        <v>31</v>
      </c>
      <c r="Q202" s="15" t="str">
        <f t="shared" si="48"/>
        <v>201,</v>
      </c>
      <c r="R202" s="15" t="str">
        <f t="shared" si="49"/>
        <v>330,</v>
      </c>
      <c r="S202" s="15" t="str">
        <f t="shared" si="50"/>
        <v>0,</v>
      </c>
      <c r="T202" s="16">
        <f t="shared" si="51"/>
        <v>30</v>
      </c>
      <c r="U202" s="16" t="s">
        <v>32</v>
      </c>
      <c r="V202" s="16" t="str">
        <f t="shared" si="52"/>
        <v>201,</v>
      </c>
      <c r="W202" s="17" t="str">
        <f t="shared" si="53"/>
        <v/>
      </c>
      <c r="X202" s="17" t="str">
        <f t="shared" si="45"/>
        <v/>
      </c>
      <c r="Y202" s="17" t="str">
        <f t="shared" si="43"/>
        <v/>
      </c>
      <c r="Z202" s="17" t="s">
        <v>33</v>
      </c>
      <c r="AA202" s="17" t="str">
        <f t="shared" si="54"/>
        <v>201,</v>
      </c>
      <c r="AB202" s="17" t="s">
        <v>34</v>
      </c>
      <c r="AC202" s="18">
        <f t="shared" si="55"/>
        <v>0.873</v>
      </c>
    </row>
    <row r="203" spans="1:29" x14ac:dyDescent="0.3">
      <c r="A203" s="17">
        <v>202</v>
      </c>
      <c r="B203" s="17">
        <v>360</v>
      </c>
      <c r="C203" s="17">
        <v>0</v>
      </c>
      <c r="D203" s="17">
        <v>30</v>
      </c>
      <c r="H203" s="18">
        <v>900</v>
      </c>
      <c r="I203" s="18">
        <v>0</v>
      </c>
      <c r="J203" s="18">
        <v>0</v>
      </c>
      <c r="K203" s="18">
        <f t="shared" si="46"/>
        <v>-0.38250000000000001</v>
      </c>
      <c r="L203" s="18">
        <v>0</v>
      </c>
      <c r="M203" s="18">
        <v>0</v>
      </c>
      <c r="N203" s="18">
        <f t="shared" si="47"/>
        <v>-0.22500000000000001</v>
      </c>
      <c r="P203" s="15" t="s">
        <v>31</v>
      </c>
      <c r="Q203" s="15" t="str">
        <f t="shared" si="48"/>
        <v>202,</v>
      </c>
      <c r="R203" s="15" t="str">
        <f t="shared" si="49"/>
        <v>360,</v>
      </c>
      <c r="S203" s="15" t="str">
        <f t="shared" si="50"/>
        <v>0,</v>
      </c>
      <c r="T203" s="16">
        <f t="shared" si="51"/>
        <v>30</v>
      </c>
      <c r="U203" s="16" t="s">
        <v>32</v>
      </c>
      <c r="V203" s="16" t="str">
        <f t="shared" si="52"/>
        <v>202,</v>
      </c>
      <c r="W203" s="17" t="str">
        <f t="shared" si="53"/>
        <v/>
      </c>
      <c r="X203" s="17" t="str">
        <f t="shared" si="45"/>
        <v/>
      </c>
      <c r="Y203" s="17" t="str">
        <f t="shared" si="43"/>
        <v/>
      </c>
      <c r="Z203" s="17" t="s">
        <v>33</v>
      </c>
      <c r="AA203" s="17" t="str">
        <f t="shared" si="54"/>
        <v>202,</v>
      </c>
      <c r="AB203" s="17" t="s">
        <v>34</v>
      </c>
      <c r="AC203" s="18">
        <f t="shared" si="55"/>
        <v>0.873</v>
      </c>
    </row>
    <row r="204" spans="1:29" x14ac:dyDescent="0.3">
      <c r="A204" s="17">
        <v>203</v>
      </c>
      <c r="B204" s="17">
        <v>390</v>
      </c>
      <c r="C204" s="17">
        <v>0</v>
      </c>
      <c r="D204" s="17">
        <v>30</v>
      </c>
      <c r="H204" s="18">
        <v>900</v>
      </c>
      <c r="I204" s="18">
        <v>0</v>
      </c>
      <c r="J204" s="18">
        <v>0</v>
      </c>
      <c r="K204" s="18">
        <f t="shared" si="46"/>
        <v>-0.38250000000000001</v>
      </c>
      <c r="L204" s="18">
        <v>0</v>
      </c>
      <c r="M204" s="18">
        <v>0</v>
      </c>
      <c r="N204" s="18">
        <f t="shared" si="47"/>
        <v>-0.22500000000000001</v>
      </c>
      <c r="P204" s="15" t="s">
        <v>31</v>
      </c>
      <c r="Q204" s="15" t="str">
        <f t="shared" si="48"/>
        <v>203,</v>
      </c>
      <c r="R204" s="15" t="str">
        <f t="shared" si="49"/>
        <v>390,</v>
      </c>
      <c r="S204" s="15" t="str">
        <f t="shared" si="50"/>
        <v>0,</v>
      </c>
      <c r="T204" s="16">
        <f t="shared" si="51"/>
        <v>30</v>
      </c>
      <c r="U204" s="16" t="s">
        <v>32</v>
      </c>
      <c r="V204" s="16" t="str">
        <f t="shared" si="52"/>
        <v>203,</v>
      </c>
      <c r="W204" s="17" t="str">
        <f t="shared" si="53"/>
        <v/>
      </c>
      <c r="X204" s="17" t="str">
        <f t="shared" si="45"/>
        <v/>
      </c>
      <c r="Y204" s="17" t="str">
        <f t="shared" si="43"/>
        <v/>
      </c>
      <c r="Z204" s="17" t="s">
        <v>33</v>
      </c>
      <c r="AA204" s="17" t="str">
        <f t="shared" si="54"/>
        <v>203,</v>
      </c>
      <c r="AB204" s="17" t="s">
        <v>34</v>
      </c>
      <c r="AC204" s="18">
        <f t="shared" si="55"/>
        <v>0.873</v>
      </c>
    </row>
    <row r="205" spans="1:29" x14ac:dyDescent="0.3">
      <c r="A205" s="17">
        <v>204</v>
      </c>
      <c r="B205" s="17">
        <v>420</v>
      </c>
      <c r="C205" s="17">
        <v>0</v>
      </c>
      <c r="D205" s="17">
        <v>30</v>
      </c>
      <c r="H205" s="18">
        <v>900</v>
      </c>
      <c r="I205" s="18">
        <v>0</v>
      </c>
      <c r="J205" s="18">
        <v>0</v>
      </c>
      <c r="K205" s="18">
        <f t="shared" si="46"/>
        <v>-0.38250000000000001</v>
      </c>
      <c r="L205" s="18">
        <v>0</v>
      </c>
      <c r="M205" s="18">
        <v>0</v>
      </c>
      <c r="N205" s="18">
        <f t="shared" si="47"/>
        <v>-0.22500000000000001</v>
      </c>
      <c r="P205" s="15" t="s">
        <v>31</v>
      </c>
      <c r="Q205" s="15" t="str">
        <f t="shared" si="48"/>
        <v>204,</v>
      </c>
      <c r="R205" s="15" t="str">
        <f t="shared" si="49"/>
        <v>420,</v>
      </c>
      <c r="S205" s="15" t="str">
        <f t="shared" si="50"/>
        <v>0,</v>
      </c>
      <c r="T205" s="16">
        <f t="shared" si="51"/>
        <v>30</v>
      </c>
      <c r="U205" s="16" t="s">
        <v>32</v>
      </c>
      <c r="V205" s="16" t="str">
        <f t="shared" si="52"/>
        <v>204,</v>
      </c>
      <c r="W205" s="17" t="str">
        <f t="shared" si="53"/>
        <v/>
      </c>
      <c r="X205" s="17" t="str">
        <f t="shared" si="45"/>
        <v/>
      </c>
      <c r="Y205" s="17" t="str">
        <f t="shared" si="43"/>
        <v/>
      </c>
      <c r="Z205" s="17" t="s">
        <v>33</v>
      </c>
      <c r="AA205" s="17" t="str">
        <f t="shared" si="54"/>
        <v>204,</v>
      </c>
      <c r="AB205" s="17" t="s">
        <v>34</v>
      </c>
      <c r="AC205" s="18">
        <f t="shared" si="55"/>
        <v>0.873</v>
      </c>
    </row>
    <row r="206" spans="1:29" x14ac:dyDescent="0.3">
      <c r="A206" s="17">
        <v>205</v>
      </c>
      <c r="B206" s="17">
        <v>450</v>
      </c>
      <c r="C206" s="17">
        <v>0</v>
      </c>
      <c r="D206" s="17">
        <v>30</v>
      </c>
      <c r="H206" s="18">
        <v>900</v>
      </c>
      <c r="I206" s="18">
        <v>0</v>
      </c>
      <c r="J206" s="18">
        <v>0</v>
      </c>
      <c r="K206" s="18">
        <f t="shared" si="46"/>
        <v>-0.38250000000000001</v>
      </c>
      <c r="L206" s="18">
        <v>0</v>
      </c>
      <c r="M206" s="18">
        <v>0</v>
      </c>
      <c r="N206" s="18">
        <f t="shared" si="47"/>
        <v>-0.22500000000000001</v>
      </c>
      <c r="P206" s="15" t="s">
        <v>31</v>
      </c>
      <c r="Q206" s="15" t="str">
        <f t="shared" si="48"/>
        <v>205,</v>
      </c>
      <c r="R206" s="15" t="str">
        <f t="shared" si="49"/>
        <v>450,</v>
      </c>
      <c r="S206" s="15" t="str">
        <f t="shared" si="50"/>
        <v>0,</v>
      </c>
      <c r="T206" s="16">
        <f t="shared" si="51"/>
        <v>30</v>
      </c>
      <c r="U206" s="16" t="s">
        <v>32</v>
      </c>
      <c r="V206" s="16" t="str">
        <f t="shared" si="52"/>
        <v>205,</v>
      </c>
      <c r="W206" s="17" t="str">
        <f t="shared" si="53"/>
        <v/>
      </c>
      <c r="X206" s="17" t="str">
        <f t="shared" si="45"/>
        <v/>
      </c>
      <c r="Y206" s="17" t="str">
        <f t="shared" si="43"/>
        <v/>
      </c>
      <c r="Z206" s="17" t="s">
        <v>33</v>
      </c>
      <c r="AA206" s="17" t="str">
        <f t="shared" si="54"/>
        <v>205,</v>
      </c>
      <c r="AB206" s="17" t="s">
        <v>34</v>
      </c>
      <c r="AC206" s="18">
        <f t="shared" si="55"/>
        <v>0.873</v>
      </c>
    </row>
    <row r="207" spans="1:29" x14ac:dyDescent="0.3">
      <c r="A207" s="17">
        <v>206</v>
      </c>
      <c r="B207" s="17">
        <v>480</v>
      </c>
      <c r="C207" s="17">
        <v>0</v>
      </c>
      <c r="D207" s="17">
        <v>30</v>
      </c>
      <c r="H207" s="18">
        <v>900</v>
      </c>
      <c r="I207" s="18">
        <v>0</v>
      </c>
      <c r="J207" s="18">
        <v>0</v>
      </c>
      <c r="K207" s="18">
        <f t="shared" si="46"/>
        <v>-0.38250000000000001</v>
      </c>
      <c r="L207" s="18">
        <v>0</v>
      </c>
      <c r="M207" s="18">
        <v>0</v>
      </c>
      <c r="N207" s="18">
        <f t="shared" si="47"/>
        <v>-0.22500000000000001</v>
      </c>
      <c r="P207" s="15" t="s">
        <v>31</v>
      </c>
      <c r="Q207" s="15" t="str">
        <f t="shared" si="48"/>
        <v>206,</v>
      </c>
      <c r="R207" s="15" t="str">
        <f t="shared" si="49"/>
        <v>480,</v>
      </c>
      <c r="S207" s="15" t="str">
        <f t="shared" si="50"/>
        <v>0,</v>
      </c>
      <c r="T207" s="16">
        <f t="shared" si="51"/>
        <v>30</v>
      </c>
      <c r="U207" s="16" t="s">
        <v>32</v>
      </c>
      <c r="V207" s="16" t="str">
        <f t="shared" si="52"/>
        <v>206,</v>
      </c>
      <c r="W207" s="17" t="str">
        <f t="shared" si="53"/>
        <v/>
      </c>
      <c r="X207" s="17" t="str">
        <f t="shared" si="45"/>
        <v/>
      </c>
      <c r="Y207" s="17" t="str">
        <f t="shared" si="43"/>
        <v/>
      </c>
      <c r="Z207" s="17" t="s">
        <v>33</v>
      </c>
      <c r="AA207" s="17" t="str">
        <f t="shared" si="54"/>
        <v>206,</v>
      </c>
      <c r="AB207" s="17" t="s">
        <v>34</v>
      </c>
      <c r="AC207" s="18">
        <f t="shared" si="55"/>
        <v>0.873</v>
      </c>
    </row>
    <row r="208" spans="1:29" x14ac:dyDescent="0.3">
      <c r="A208" s="17">
        <v>207</v>
      </c>
      <c r="B208" s="17">
        <v>509.99999999999994</v>
      </c>
      <c r="C208" s="17">
        <v>0</v>
      </c>
      <c r="D208" s="17">
        <v>30</v>
      </c>
      <c r="H208" s="18">
        <v>900</v>
      </c>
      <c r="I208" s="18">
        <v>0</v>
      </c>
      <c r="J208" s="18">
        <v>0</v>
      </c>
      <c r="K208" s="18">
        <f t="shared" si="46"/>
        <v>-0.38250000000000001</v>
      </c>
      <c r="L208" s="18">
        <v>0</v>
      </c>
      <c r="M208" s="18">
        <v>0</v>
      </c>
      <c r="N208" s="18">
        <f t="shared" si="47"/>
        <v>-0.22500000000000001</v>
      </c>
      <c r="P208" s="15" t="s">
        <v>31</v>
      </c>
      <c r="Q208" s="15" t="str">
        <f t="shared" si="48"/>
        <v>207,</v>
      </c>
      <c r="R208" s="15" t="str">
        <f t="shared" si="49"/>
        <v>510,</v>
      </c>
      <c r="S208" s="15" t="str">
        <f t="shared" si="50"/>
        <v>0,</v>
      </c>
      <c r="T208" s="16">
        <f t="shared" si="51"/>
        <v>30</v>
      </c>
      <c r="U208" s="16" t="s">
        <v>32</v>
      </c>
      <c r="V208" s="16" t="str">
        <f t="shared" si="52"/>
        <v>207,</v>
      </c>
      <c r="W208" s="17" t="str">
        <f t="shared" si="53"/>
        <v/>
      </c>
      <c r="X208" s="17" t="str">
        <f t="shared" si="45"/>
        <v/>
      </c>
      <c r="Y208" s="17" t="str">
        <f t="shared" si="43"/>
        <v/>
      </c>
      <c r="Z208" s="17" t="s">
        <v>33</v>
      </c>
      <c r="AA208" s="17" t="str">
        <f t="shared" si="54"/>
        <v>207,</v>
      </c>
      <c r="AB208" s="17" t="s">
        <v>34</v>
      </c>
      <c r="AC208" s="18">
        <f t="shared" si="55"/>
        <v>0.873</v>
      </c>
    </row>
    <row r="209" spans="1:29" x14ac:dyDescent="0.3">
      <c r="A209" s="17">
        <v>208</v>
      </c>
      <c r="B209" s="17">
        <v>540</v>
      </c>
      <c r="C209" s="17">
        <v>0</v>
      </c>
      <c r="D209" s="17">
        <v>30</v>
      </c>
      <c r="H209" s="18">
        <v>900</v>
      </c>
      <c r="I209" s="18">
        <v>0</v>
      </c>
      <c r="J209" s="18">
        <v>0</v>
      </c>
      <c r="K209" s="18">
        <f t="shared" si="46"/>
        <v>-0.38250000000000001</v>
      </c>
      <c r="L209" s="18">
        <v>0</v>
      </c>
      <c r="M209" s="18">
        <v>0</v>
      </c>
      <c r="N209" s="18">
        <f t="shared" si="47"/>
        <v>-0.22500000000000001</v>
      </c>
      <c r="P209" s="15" t="s">
        <v>31</v>
      </c>
      <c r="Q209" s="15" t="str">
        <f t="shared" si="48"/>
        <v>208,</v>
      </c>
      <c r="R209" s="15" t="str">
        <f t="shared" si="49"/>
        <v>540,</v>
      </c>
      <c r="S209" s="15" t="str">
        <f t="shared" si="50"/>
        <v>0,</v>
      </c>
      <c r="T209" s="16">
        <f t="shared" si="51"/>
        <v>30</v>
      </c>
      <c r="U209" s="16" t="s">
        <v>32</v>
      </c>
      <c r="V209" s="16" t="str">
        <f t="shared" si="52"/>
        <v>208,</v>
      </c>
      <c r="W209" s="17" t="str">
        <f t="shared" si="53"/>
        <v/>
      </c>
      <c r="X209" s="17" t="str">
        <f t="shared" si="45"/>
        <v/>
      </c>
      <c r="Y209" s="17" t="str">
        <f t="shared" si="43"/>
        <v/>
      </c>
      <c r="Z209" s="17" t="s">
        <v>33</v>
      </c>
      <c r="AA209" s="17" t="str">
        <f t="shared" si="54"/>
        <v>208,</v>
      </c>
      <c r="AB209" s="17" t="s">
        <v>34</v>
      </c>
      <c r="AC209" s="18">
        <f t="shared" si="55"/>
        <v>0.873</v>
      </c>
    </row>
    <row r="210" spans="1:29" x14ac:dyDescent="0.3">
      <c r="A210" s="17">
        <v>209</v>
      </c>
      <c r="B210" s="17">
        <v>570</v>
      </c>
      <c r="C210" s="17">
        <v>0</v>
      </c>
      <c r="D210" s="17">
        <v>30</v>
      </c>
      <c r="H210" s="18">
        <v>900</v>
      </c>
      <c r="I210" s="18">
        <v>0</v>
      </c>
      <c r="J210" s="18">
        <v>0</v>
      </c>
      <c r="K210" s="18">
        <f t="shared" si="46"/>
        <v>-0.38250000000000001</v>
      </c>
      <c r="L210" s="18">
        <v>0</v>
      </c>
      <c r="M210" s="18">
        <v>0</v>
      </c>
      <c r="N210" s="18">
        <f t="shared" si="47"/>
        <v>-0.22500000000000001</v>
      </c>
      <c r="P210" s="15" t="s">
        <v>31</v>
      </c>
      <c r="Q210" s="15" t="str">
        <f t="shared" si="48"/>
        <v>209,</v>
      </c>
      <c r="R210" s="15" t="str">
        <f t="shared" si="49"/>
        <v>570,</v>
      </c>
      <c r="S210" s="15" t="str">
        <f t="shared" si="50"/>
        <v>0,</v>
      </c>
      <c r="T210" s="16">
        <f t="shared" si="51"/>
        <v>30</v>
      </c>
      <c r="U210" s="16" t="s">
        <v>32</v>
      </c>
      <c r="V210" s="16" t="str">
        <f t="shared" si="52"/>
        <v>209,</v>
      </c>
      <c r="W210" s="17" t="str">
        <f t="shared" si="53"/>
        <v/>
      </c>
      <c r="X210" s="17" t="str">
        <f t="shared" ref="X210:X232" si="56">IF(F210=1,"UZ","")</f>
        <v/>
      </c>
      <c r="Y210" s="17" t="str">
        <f t="shared" si="43"/>
        <v/>
      </c>
      <c r="Z210" s="17" t="s">
        <v>33</v>
      </c>
      <c r="AA210" s="17" t="str">
        <f t="shared" si="54"/>
        <v>209,</v>
      </c>
      <c r="AB210" s="17" t="s">
        <v>34</v>
      </c>
      <c r="AC210" s="18">
        <f t="shared" si="55"/>
        <v>0.873</v>
      </c>
    </row>
    <row r="211" spans="1:29" x14ac:dyDescent="0.3">
      <c r="A211" s="17">
        <v>210</v>
      </c>
      <c r="B211" s="17">
        <v>600</v>
      </c>
      <c r="C211" s="17">
        <v>0</v>
      </c>
      <c r="D211" s="17">
        <v>30</v>
      </c>
      <c r="E211" s="17">
        <v>0</v>
      </c>
      <c r="F211" s="17">
        <v>0</v>
      </c>
      <c r="G211" s="17">
        <v>1</v>
      </c>
      <c r="H211" s="18">
        <v>900</v>
      </c>
      <c r="I211" s="18">
        <v>0</v>
      </c>
      <c r="J211" s="18">
        <v>0</v>
      </c>
      <c r="K211" s="18">
        <f t="shared" si="46"/>
        <v>-0.38250000000000001</v>
      </c>
      <c r="L211" s="18">
        <v>0</v>
      </c>
      <c r="M211" s="18">
        <v>0</v>
      </c>
      <c r="N211" s="18">
        <f t="shared" si="47"/>
        <v>-0.22500000000000001</v>
      </c>
      <c r="P211" s="15" t="s">
        <v>31</v>
      </c>
      <c r="Q211" s="15" t="str">
        <f t="shared" si="48"/>
        <v>210,</v>
      </c>
      <c r="R211" s="15" t="str">
        <f t="shared" si="49"/>
        <v>600,</v>
      </c>
      <c r="S211" s="15" t="str">
        <f t="shared" si="50"/>
        <v>0,</v>
      </c>
      <c r="T211" s="16">
        <f t="shared" si="51"/>
        <v>30</v>
      </c>
      <c r="U211" s="16" t="s">
        <v>32</v>
      </c>
      <c r="V211" s="16" t="str">
        <f t="shared" si="52"/>
        <v>210,</v>
      </c>
      <c r="W211" s="17" t="str">
        <f t="shared" si="53"/>
        <v/>
      </c>
      <c r="X211" s="17" t="str">
        <f t="shared" si="56"/>
        <v/>
      </c>
      <c r="Y211" s="17" t="str">
        <f t="shared" si="43"/>
        <v>UY</v>
      </c>
      <c r="Z211" s="17" t="s">
        <v>33</v>
      </c>
      <c r="AA211" s="17" t="str">
        <f t="shared" si="54"/>
        <v>210,</v>
      </c>
      <c r="AB211" s="17" t="s">
        <v>34</v>
      </c>
      <c r="AC211" s="18">
        <f t="shared" si="55"/>
        <v>0.873</v>
      </c>
    </row>
    <row r="212" spans="1:29" x14ac:dyDescent="0.3">
      <c r="A212" s="17">
        <v>211</v>
      </c>
      <c r="B212" s="17">
        <v>0</v>
      </c>
      <c r="C212" s="17">
        <v>0</v>
      </c>
      <c r="D212" s="17">
        <v>0</v>
      </c>
      <c r="E212" s="17">
        <v>1</v>
      </c>
      <c r="F212" s="17">
        <v>1</v>
      </c>
      <c r="G212" s="17">
        <v>1</v>
      </c>
      <c r="H212" s="18">
        <v>900</v>
      </c>
      <c r="I212" s="18">
        <v>0</v>
      </c>
      <c r="J212" s="18">
        <v>0</v>
      </c>
      <c r="K212" s="18">
        <f t="shared" si="46"/>
        <v>-0.38250000000000001</v>
      </c>
      <c r="L212" s="18">
        <v>0</v>
      </c>
      <c r="M212" s="18">
        <v>0</v>
      </c>
      <c r="N212" s="18">
        <f t="shared" si="47"/>
        <v>-0.22500000000000001</v>
      </c>
      <c r="P212" s="15" t="s">
        <v>31</v>
      </c>
      <c r="Q212" s="15" t="str">
        <f t="shared" si="48"/>
        <v>211,</v>
      </c>
      <c r="R212" s="15" t="str">
        <f t="shared" si="49"/>
        <v>0,</v>
      </c>
      <c r="S212" s="15" t="str">
        <f t="shared" si="50"/>
        <v>0,</v>
      </c>
      <c r="T212" s="16">
        <f t="shared" si="51"/>
        <v>0</v>
      </c>
      <c r="U212" s="16" t="s">
        <v>32</v>
      </c>
      <c r="V212" s="16" t="str">
        <f t="shared" si="52"/>
        <v>211,</v>
      </c>
      <c r="W212" s="17" t="str">
        <f t="shared" si="53"/>
        <v>UX</v>
      </c>
      <c r="X212" s="17" t="str">
        <f t="shared" si="56"/>
        <v>UZ</v>
      </c>
      <c r="Y212" s="17" t="str">
        <f t="shared" ref="Y212:Y232" si="57">IF(G212=1,"UY,","")</f>
        <v>UY,</v>
      </c>
      <c r="Z212" s="17" t="s">
        <v>33</v>
      </c>
      <c r="AA212" s="17" t="str">
        <f t="shared" si="54"/>
        <v>211,</v>
      </c>
      <c r="AB212" s="17" t="s">
        <v>34</v>
      </c>
      <c r="AC212" s="18">
        <f t="shared" si="55"/>
        <v>0.873</v>
      </c>
    </row>
    <row r="213" spans="1:29" x14ac:dyDescent="0.3">
      <c r="A213" s="17">
        <v>212</v>
      </c>
      <c r="B213" s="17">
        <v>30</v>
      </c>
      <c r="C213" s="17">
        <v>0</v>
      </c>
      <c r="D213" s="17">
        <v>0</v>
      </c>
      <c r="E213" s="17">
        <v>0</v>
      </c>
      <c r="F213" s="17">
        <v>0</v>
      </c>
      <c r="G213" s="17">
        <v>1</v>
      </c>
      <c r="H213" s="18">
        <v>900</v>
      </c>
      <c r="I213" s="18">
        <v>0</v>
      </c>
      <c r="J213" s="18">
        <v>0</v>
      </c>
      <c r="K213" s="18">
        <f t="shared" si="46"/>
        <v>-0.38250000000000001</v>
      </c>
      <c r="L213" s="18">
        <v>0</v>
      </c>
      <c r="M213" s="18">
        <v>0</v>
      </c>
      <c r="N213" s="18">
        <f t="shared" si="47"/>
        <v>-0.22500000000000001</v>
      </c>
      <c r="P213" s="15" t="s">
        <v>31</v>
      </c>
      <c r="Q213" s="15" t="str">
        <f t="shared" si="48"/>
        <v>212,</v>
      </c>
      <c r="R213" s="15" t="str">
        <f t="shared" si="49"/>
        <v>30,</v>
      </c>
      <c r="S213" s="15" t="str">
        <f t="shared" si="50"/>
        <v>0,</v>
      </c>
      <c r="T213" s="16">
        <f t="shared" si="51"/>
        <v>0</v>
      </c>
      <c r="U213" s="16" t="s">
        <v>32</v>
      </c>
      <c r="V213" s="16" t="str">
        <f t="shared" si="52"/>
        <v>212,</v>
      </c>
      <c r="W213" s="17" t="str">
        <f t="shared" si="53"/>
        <v/>
      </c>
      <c r="X213" s="17" t="str">
        <f t="shared" si="56"/>
        <v/>
      </c>
      <c r="Y213" s="17" t="str">
        <f t="shared" ref="Y213:Y231" si="58">IF(G213=1,"UY","")</f>
        <v>UY</v>
      </c>
      <c r="Z213" s="17" t="s">
        <v>33</v>
      </c>
      <c r="AA213" s="17" t="str">
        <f t="shared" si="54"/>
        <v>212,</v>
      </c>
      <c r="AB213" s="17" t="s">
        <v>34</v>
      </c>
      <c r="AC213" s="18">
        <f t="shared" si="55"/>
        <v>0.873</v>
      </c>
    </row>
    <row r="214" spans="1:29" x14ac:dyDescent="0.3">
      <c r="A214" s="17">
        <v>213</v>
      </c>
      <c r="B214" s="17">
        <v>60</v>
      </c>
      <c r="C214" s="17">
        <v>0</v>
      </c>
      <c r="D214" s="17">
        <v>0</v>
      </c>
      <c r="E214" s="17">
        <v>0</v>
      </c>
      <c r="F214" s="17">
        <v>0</v>
      </c>
      <c r="G214" s="17">
        <v>1</v>
      </c>
      <c r="H214" s="18">
        <v>900</v>
      </c>
      <c r="I214" s="18">
        <v>0</v>
      </c>
      <c r="J214" s="18">
        <v>0</v>
      </c>
      <c r="K214" s="18">
        <f t="shared" si="46"/>
        <v>-0.38250000000000001</v>
      </c>
      <c r="L214" s="18">
        <v>0</v>
      </c>
      <c r="M214" s="18">
        <v>0</v>
      </c>
      <c r="N214" s="18">
        <f t="shared" si="47"/>
        <v>-0.22500000000000001</v>
      </c>
      <c r="P214" s="15" t="s">
        <v>31</v>
      </c>
      <c r="Q214" s="15" t="str">
        <f t="shared" si="48"/>
        <v>213,</v>
      </c>
      <c r="R214" s="15" t="str">
        <f t="shared" si="49"/>
        <v>60,</v>
      </c>
      <c r="S214" s="15" t="str">
        <f t="shared" si="50"/>
        <v>0,</v>
      </c>
      <c r="T214" s="16">
        <f t="shared" si="51"/>
        <v>0</v>
      </c>
      <c r="U214" s="16" t="s">
        <v>32</v>
      </c>
      <c r="V214" s="16" t="str">
        <f t="shared" si="52"/>
        <v>213,</v>
      </c>
      <c r="W214" s="17" t="str">
        <f t="shared" si="53"/>
        <v/>
      </c>
      <c r="X214" s="17" t="str">
        <f t="shared" si="56"/>
        <v/>
      </c>
      <c r="Y214" s="17" t="str">
        <f t="shared" si="58"/>
        <v>UY</v>
      </c>
      <c r="Z214" s="17" t="s">
        <v>33</v>
      </c>
      <c r="AA214" s="17" t="str">
        <f t="shared" si="54"/>
        <v>213,</v>
      </c>
      <c r="AB214" s="17" t="s">
        <v>34</v>
      </c>
      <c r="AC214" s="18">
        <f t="shared" si="55"/>
        <v>0.873</v>
      </c>
    </row>
    <row r="215" spans="1:29" x14ac:dyDescent="0.3">
      <c r="A215" s="17">
        <v>214</v>
      </c>
      <c r="B215" s="17">
        <v>90</v>
      </c>
      <c r="C215" s="17">
        <v>0</v>
      </c>
      <c r="D215" s="17">
        <v>0</v>
      </c>
      <c r="E215" s="17">
        <v>0</v>
      </c>
      <c r="F215" s="17">
        <v>0</v>
      </c>
      <c r="G215" s="17">
        <v>1</v>
      </c>
      <c r="H215" s="18">
        <v>900</v>
      </c>
      <c r="I215" s="18">
        <v>0</v>
      </c>
      <c r="J215" s="18">
        <v>0</v>
      </c>
      <c r="K215" s="18">
        <f t="shared" si="46"/>
        <v>-0.38250000000000001</v>
      </c>
      <c r="L215" s="18">
        <v>0</v>
      </c>
      <c r="M215" s="18">
        <v>0</v>
      </c>
      <c r="N215" s="18">
        <f t="shared" si="47"/>
        <v>-0.22500000000000001</v>
      </c>
      <c r="P215" s="15" t="s">
        <v>31</v>
      </c>
      <c r="Q215" s="15" t="str">
        <f t="shared" si="48"/>
        <v>214,</v>
      </c>
      <c r="R215" s="15" t="str">
        <f t="shared" si="49"/>
        <v>90,</v>
      </c>
      <c r="S215" s="15" t="str">
        <f t="shared" si="50"/>
        <v>0,</v>
      </c>
      <c r="T215" s="16">
        <f t="shared" si="51"/>
        <v>0</v>
      </c>
      <c r="U215" s="16" t="s">
        <v>32</v>
      </c>
      <c r="V215" s="16" t="str">
        <f t="shared" si="52"/>
        <v>214,</v>
      </c>
      <c r="W215" s="17" t="str">
        <f t="shared" si="53"/>
        <v/>
      </c>
      <c r="X215" s="17" t="str">
        <f t="shared" si="56"/>
        <v/>
      </c>
      <c r="Y215" s="17" t="str">
        <f t="shared" si="58"/>
        <v>UY</v>
      </c>
      <c r="Z215" s="17" t="s">
        <v>33</v>
      </c>
      <c r="AA215" s="17" t="str">
        <f t="shared" si="54"/>
        <v>214,</v>
      </c>
      <c r="AB215" s="17" t="s">
        <v>34</v>
      </c>
      <c r="AC215" s="18">
        <f t="shared" si="55"/>
        <v>0.873</v>
      </c>
    </row>
    <row r="216" spans="1:29" x14ac:dyDescent="0.3">
      <c r="A216" s="17">
        <v>215</v>
      </c>
      <c r="B216" s="17">
        <v>120</v>
      </c>
      <c r="C216" s="17">
        <v>0</v>
      </c>
      <c r="D216" s="17">
        <v>0</v>
      </c>
      <c r="E216" s="17">
        <v>0</v>
      </c>
      <c r="F216" s="17">
        <v>0</v>
      </c>
      <c r="G216" s="17">
        <v>1</v>
      </c>
      <c r="H216" s="18">
        <v>900</v>
      </c>
      <c r="I216" s="18">
        <v>0</v>
      </c>
      <c r="J216" s="18">
        <v>0</v>
      </c>
      <c r="K216" s="18">
        <f t="shared" si="46"/>
        <v>-0.38250000000000001</v>
      </c>
      <c r="L216" s="18">
        <v>0</v>
      </c>
      <c r="M216" s="18">
        <v>0</v>
      </c>
      <c r="N216" s="18">
        <f t="shared" si="47"/>
        <v>-0.22500000000000001</v>
      </c>
      <c r="P216" s="15" t="s">
        <v>31</v>
      </c>
      <c r="Q216" s="15" t="str">
        <f t="shared" si="48"/>
        <v>215,</v>
      </c>
      <c r="R216" s="15" t="str">
        <f t="shared" si="49"/>
        <v>120,</v>
      </c>
      <c r="S216" s="15" t="str">
        <f t="shared" si="50"/>
        <v>0,</v>
      </c>
      <c r="T216" s="16">
        <f t="shared" si="51"/>
        <v>0</v>
      </c>
      <c r="U216" s="16" t="s">
        <v>32</v>
      </c>
      <c r="V216" s="16" t="str">
        <f t="shared" si="52"/>
        <v>215,</v>
      </c>
      <c r="W216" s="17" t="str">
        <f t="shared" si="53"/>
        <v/>
      </c>
      <c r="X216" s="17" t="str">
        <f t="shared" si="56"/>
        <v/>
      </c>
      <c r="Y216" s="17" t="str">
        <f t="shared" si="58"/>
        <v>UY</v>
      </c>
      <c r="Z216" s="17" t="s">
        <v>33</v>
      </c>
      <c r="AA216" s="17" t="str">
        <f t="shared" si="54"/>
        <v>215,</v>
      </c>
      <c r="AB216" s="17" t="s">
        <v>34</v>
      </c>
      <c r="AC216" s="18">
        <f t="shared" si="55"/>
        <v>0.873</v>
      </c>
    </row>
    <row r="217" spans="1:29" x14ac:dyDescent="0.3">
      <c r="A217" s="17">
        <v>216</v>
      </c>
      <c r="B217" s="17">
        <v>150</v>
      </c>
      <c r="C217" s="17">
        <v>0</v>
      </c>
      <c r="D217" s="17">
        <v>0</v>
      </c>
      <c r="E217" s="17">
        <v>0</v>
      </c>
      <c r="F217" s="17">
        <v>0</v>
      </c>
      <c r="G217" s="17">
        <v>1</v>
      </c>
      <c r="H217" s="18">
        <v>900</v>
      </c>
      <c r="I217" s="18">
        <v>0</v>
      </c>
      <c r="J217" s="18">
        <v>0</v>
      </c>
      <c r="K217" s="18">
        <f t="shared" si="46"/>
        <v>-0.38250000000000001</v>
      </c>
      <c r="L217" s="18">
        <v>0</v>
      </c>
      <c r="M217" s="18">
        <v>0</v>
      </c>
      <c r="N217" s="18">
        <f t="shared" si="47"/>
        <v>-0.22500000000000001</v>
      </c>
      <c r="P217" s="15" t="s">
        <v>31</v>
      </c>
      <c r="Q217" s="15" t="str">
        <f t="shared" si="48"/>
        <v>216,</v>
      </c>
      <c r="R217" s="15" t="str">
        <f t="shared" si="49"/>
        <v>150,</v>
      </c>
      <c r="S217" s="15" t="str">
        <f t="shared" si="50"/>
        <v>0,</v>
      </c>
      <c r="T217" s="16">
        <f t="shared" si="51"/>
        <v>0</v>
      </c>
      <c r="U217" s="16" t="s">
        <v>32</v>
      </c>
      <c r="V217" s="16" t="str">
        <f t="shared" si="52"/>
        <v>216,</v>
      </c>
      <c r="W217" s="17" t="str">
        <f t="shared" si="53"/>
        <v/>
      </c>
      <c r="X217" s="17" t="str">
        <f t="shared" si="56"/>
        <v/>
      </c>
      <c r="Y217" s="17" t="str">
        <f t="shared" si="58"/>
        <v>UY</v>
      </c>
      <c r="Z217" s="17" t="s">
        <v>33</v>
      </c>
      <c r="AA217" s="17" t="str">
        <f t="shared" si="54"/>
        <v>216,</v>
      </c>
      <c r="AB217" s="17" t="s">
        <v>34</v>
      </c>
      <c r="AC217" s="18">
        <f t="shared" si="55"/>
        <v>0.873</v>
      </c>
    </row>
    <row r="218" spans="1:29" x14ac:dyDescent="0.3">
      <c r="A218" s="17">
        <v>217</v>
      </c>
      <c r="B218" s="17">
        <v>180</v>
      </c>
      <c r="C218" s="17">
        <v>0</v>
      </c>
      <c r="D218" s="17">
        <v>0</v>
      </c>
      <c r="E218" s="17">
        <v>0</v>
      </c>
      <c r="F218" s="17">
        <v>0</v>
      </c>
      <c r="G218" s="17">
        <v>1</v>
      </c>
      <c r="H218" s="18">
        <v>900</v>
      </c>
      <c r="I218" s="18">
        <v>0</v>
      </c>
      <c r="J218" s="18">
        <v>0</v>
      </c>
      <c r="K218" s="18">
        <f t="shared" si="46"/>
        <v>-0.38250000000000001</v>
      </c>
      <c r="L218" s="18">
        <v>0</v>
      </c>
      <c r="M218" s="18">
        <v>0</v>
      </c>
      <c r="N218" s="18">
        <f t="shared" si="47"/>
        <v>-0.22500000000000001</v>
      </c>
      <c r="P218" s="15" t="s">
        <v>31</v>
      </c>
      <c r="Q218" s="15" t="str">
        <f t="shared" si="48"/>
        <v>217,</v>
      </c>
      <c r="R218" s="15" t="str">
        <f t="shared" si="49"/>
        <v>180,</v>
      </c>
      <c r="S218" s="15" t="str">
        <f t="shared" si="50"/>
        <v>0,</v>
      </c>
      <c r="T218" s="16">
        <f t="shared" si="51"/>
        <v>0</v>
      </c>
      <c r="U218" s="16" t="s">
        <v>32</v>
      </c>
      <c r="V218" s="16" t="str">
        <f t="shared" si="52"/>
        <v>217,</v>
      </c>
      <c r="W218" s="17" t="str">
        <f t="shared" si="53"/>
        <v/>
      </c>
      <c r="X218" s="17" t="str">
        <f t="shared" si="56"/>
        <v/>
      </c>
      <c r="Y218" s="17" t="str">
        <f t="shared" si="58"/>
        <v>UY</v>
      </c>
      <c r="Z218" s="17" t="s">
        <v>33</v>
      </c>
      <c r="AA218" s="17" t="str">
        <f t="shared" si="54"/>
        <v>217,</v>
      </c>
      <c r="AB218" s="17" t="s">
        <v>34</v>
      </c>
      <c r="AC218" s="18">
        <f t="shared" si="55"/>
        <v>0.873</v>
      </c>
    </row>
    <row r="219" spans="1:29" x14ac:dyDescent="0.3">
      <c r="A219" s="17">
        <v>218</v>
      </c>
      <c r="B219" s="17">
        <v>210</v>
      </c>
      <c r="C219" s="17">
        <v>0</v>
      </c>
      <c r="D219" s="17">
        <v>0</v>
      </c>
      <c r="E219" s="17">
        <v>0</v>
      </c>
      <c r="F219" s="17">
        <v>0</v>
      </c>
      <c r="G219" s="17">
        <v>1</v>
      </c>
      <c r="H219" s="18">
        <v>900</v>
      </c>
      <c r="I219" s="18">
        <v>0</v>
      </c>
      <c r="J219" s="18">
        <v>0</v>
      </c>
      <c r="K219" s="18">
        <f t="shared" si="46"/>
        <v>-0.38250000000000001</v>
      </c>
      <c r="L219" s="18">
        <v>0</v>
      </c>
      <c r="M219" s="18">
        <v>0</v>
      </c>
      <c r="N219" s="18">
        <f t="shared" si="47"/>
        <v>-0.22500000000000001</v>
      </c>
      <c r="P219" s="15" t="s">
        <v>31</v>
      </c>
      <c r="Q219" s="15" t="str">
        <f t="shared" si="48"/>
        <v>218,</v>
      </c>
      <c r="R219" s="15" t="str">
        <f t="shared" si="49"/>
        <v>210,</v>
      </c>
      <c r="S219" s="15" t="str">
        <f t="shared" si="50"/>
        <v>0,</v>
      </c>
      <c r="T219" s="16">
        <f t="shared" si="51"/>
        <v>0</v>
      </c>
      <c r="U219" s="16" t="s">
        <v>32</v>
      </c>
      <c r="V219" s="16" t="str">
        <f t="shared" si="52"/>
        <v>218,</v>
      </c>
      <c r="W219" s="17" t="str">
        <f t="shared" si="53"/>
        <v/>
      </c>
      <c r="X219" s="17" t="str">
        <f t="shared" si="56"/>
        <v/>
      </c>
      <c r="Y219" s="17" t="str">
        <f t="shared" si="58"/>
        <v>UY</v>
      </c>
      <c r="Z219" s="17" t="s">
        <v>33</v>
      </c>
      <c r="AA219" s="17" t="str">
        <f t="shared" si="54"/>
        <v>218,</v>
      </c>
      <c r="AB219" s="17" t="s">
        <v>34</v>
      </c>
      <c r="AC219" s="18">
        <f t="shared" si="55"/>
        <v>0.873</v>
      </c>
    </row>
    <row r="220" spans="1:29" x14ac:dyDescent="0.3">
      <c r="A220" s="17">
        <v>219</v>
      </c>
      <c r="B220" s="17">
        <v>240</v>
      </c>
      <c r="C220" s="17">
        <v>0</v>
      </c>
      <c r="D220" s="17">
        <v>0</v>
      </c>
      <c r="E220" s="17">
        <v>0</v>
      </c>
      <c r="F220" s="17">
        <v>0</v>
      </c>
      <c r="G220" s="17">
        <v>1</v>
      </c>
      <c r="H220" s="18">
        <v>900</v>
      </c>
      <c r="I220" s="18">
        <v>0</v>
      </c>
      <c r="J220" s="18">
        <v>0</v>
      </c>
      <c r="K220" s="18">
        <f t="shared" si="46"/>
        <v>-0.38250000000000001</v>
      </c>
      <c r="L220" s="18">
        <v>0</v>
      </c>
      <c r="M220" s="18">
        <v>0</v>
      </c>
      <c r="N220" s="18">
        <f t="shared" si="47"/>
        <v>-0.22500000000000001</v>
      </c>
      <c r="P220" s="15" t="s">
        <v>31</v>
      </c>
      <c r="Q220" s="15" t="str">
        <f t="shared" si="48"/>
        <v>219,</v>
      </c>
      <c r="R220" s="15" t="str">
        <f t="shared" si="49"/>
        <v>240,</v>
      </c>
      <c r="S220" s="15" t="str">
        <f t="shared" si="50"/>
        <v>0,</v>
      </c>
      <c r="T220" s="16">
        <f t="shared" si="51"/>
        <v>0</v>
      </c>
      <c r="U220" s="16" t="s">
        <v>32</v>
      </c>
      <c r="V220" s="16" t="str">
        <f t="shared" si="52"/>
        <v>219,</v>
      </c>
      <c r="W220" s="17" t="str">
        <f t="shared" si="53"/>
        <v/>
      </c>
      <c r="X220" s="17" t="str">
        <f t="shared" si="56"/>
        <v/>
      </c>
      <c r="Y220" s="17" t="str">
        <f t="shared" si="58"/>
        <v>UY</v>
      </c>
      <c r="Z220" s="17" t="s">
        <v>33</v>
      </c>
      <c r="AA220" s="17" t="str">
        <f t="shared" si="54"/>
        <v>219,</v>
      </c>
      <c r="AB220" s="17" t="s">
        <v>34</v>
      </c>
      <c r="AC220" s="18">
        <f t="shared" si="55"/>
        <v>0.873</v>
      </c>
    </row>
    <row r="221" spans="1:29" x14ac:dyDescent="0.3">
      <c r="A221" s="17">
        <v>220</v>
      </c>
      <c r="B221" s="17">
        <v>270</v>
      </c>
      <c r="C221" s="17">
        <v>0</v>
      </c>
      <c r="D221" s="17">
        <v>0</v>
      </c>
      <c r="E221" s="17">
        <v>0</v>
      </c>
      <c r="F221" s="17">
        <v>0</v>
      </c>
      <c r="G221" s="17">
        <v>1</v>
      </c>
      <c r="H221" s="18">
        <v>900</v>
      </c>
      <c r="I221" s="18">
        <v>0</v>
      </c>
      <c r="J221" s="18">
        <v>0</v>
      </c>
      <c r="K221" s="18">
        <f t="shared" si="46"/>
        <v>-0.38250000000000001</v>
      </c>
      <c r="L221" s="18">
        <v>0</v>
      </c>
      <c r="M221" s="18">
        <v>0</v>
      </c>
      <c r="N221" s="18">
        <f t="shared" si="47"/>
        <v>-0.22500000000000001</v>
      </c>
      <c r="P221" s="15" t="s">
        <v>31</v>
      </c>
      <c r="Q221" s="15" t="str">
        <f t="shared" si="48"/>
        <v>220,</v>
      </c>
      <c r="R221" s="15" t="str">
        <f t="shared" si="49"/>
        <v>270,</v>
      </c>
      <c r="S221" s="15" t="str">
        <f t="shared" si="50"/>
        <v>0,</v>
      </c>
      <c r="T221" s="16">
        <f t="shared" si="51"/>
        <v>0</v>
      </c>
      <c r="U221" s="16" t="s">
        <v>32</v>
      </c>
      <c r="V221" s="16" t="str">
        <f t="shared" si="52"/>
        <v>220,</v>
      </c>
      <c r="W221" s="17" t="str">
        <f t="shared" si="53"/>
        <v/>
      </c>
      <c r="X221" s="17" t="str">
        <f t="shared" si="56"/>
        <v/>
      </c>
      <c r="Y221" s="17" t="str">
        <f t="shared" si="58"/>
        <v>UY</v>
      </c>
      <c r="Z221" s="17" t="s">
        <v>33</v>
      </c>
      <c r="AA221" s="17" t="str">
        <f t="shared" si="54"/>
        <v>220,</v>
      </c>
      <c r="AB221" s="17" t="s">
        <v>34</v>
      </c>
      <c r="AC221" s="18">
        <f t="shared" si="55"/>
        <v>0.873</v>
      </c>
    </row>
    <row r="222" spans="1:29" x14ac:dyDescent="0.3">
      <c r="A222" s="17">
        <v>221</v>
      </c>
      <c r="B222" s="17">
        <v>300</v>
      </c>
      <c r="C222" s="17">
        <v>0</v>
      </c>
      <c r="D222" s="17">
        <v>0</v>
      </c>
      <c r="E222" s="17">
        <v>0</v>
      </c>
      <c r="F222" s="17">
        <v>0</v>
      </c>
      <c r="G222" s="17">
        <v>1</v>
      </c>
      <c r="H222" s="18">
        <v>900</v>
      </c>
      <c r="I222" s="18">
        <v>0</v>
      </c>
      <c r="J222" s="18">
        <v>0</v>
      </c>
      <c r="K222" s="18">
        <f t="shared" si="46"/>
        <v>-0.38250000000000001</v>
      </c>
      <c r="L222" s="18">
        <v>0</v>
      </c>
      <c r="M222" s="18">
        <v>0</v>
      </c>
      <c r="N222" s="18">
        <f t="shared" si="47"/>
        <v>-0.22500000000000001</v>
      </c>
      <c r="P222" s="15" t="s">
        <v>31</v>
      </c>
      <c r="Q222" s="15" t="str">
        <f t="shared" si="48"/>
        <v>221,</v>
      </c>
      <c r="R222" s="15" t="str">
        <f t="shared" si="49"/>
        <v>300,</v>
      </c>
      <c r="S222" s="15" t="str">
        <f t="shared" si="50"/>
        <v>0,</v>
      </c>
      <c r="T222" s="16">
        <f t="shared" si="51"/>
        <v>0</v>
      </c>
      <c r="U222" s="16" t="s">
        <v>32</v>
      </c>
      <c r="V222" s="16" t="str">
        <f t="shared" si="52"/>
        <v>221,</v>
      </c>
      <c r="W222" s="17" t="str">
        <f t="shared" si="53"/>
        <v/>
      </c>
      <c r="X222" s="17" t="str">
        <f t="shared" si="56"/>
        <v/>
      </c>
      <c r="Y222" s="17" t="str">
        <f t="shared" si="58"/>
        <v>UY</v>
      </c>
      <c r="Z222" s="17" t="s">
        <v>33</v>
      </c>
      <c r="AA222" s="17" t="str">
        <f t="shared" si="54"/>
        <v>221,</v>
      </c>
      <c r="AB222" s="17" t="s">
        <v>34</v>
      </c>
      <c r="AC222" s="18">
        <f t="shared" si="55"/>
        <v>0.873</v>
      </c>
    </row>
    <row r="223" spans="1:29" x14ac:dyDescent="0.3">
      <c r="A223" s="17">
        <v>222</v>
      </c>
      <c r="B223" s="17">
        <v>330</v>
      </c>
      <c r="C223" s="17">
        <v>0</v>
      </c>
      <c r="D223" s="17">
        <v>0</v>
      </c>
      <c r="E223" s="17">
        <v>0</v>
      </c>
      <c r="F223" s="17">
        <v>0</v>
      </c>
      <c r="G223" s="17">
        <v>1</v>
      </c>
      <c r="H223" s="18">
        <v>900</v>
      </c>
      <c r="I223" s="18">
        <v>0</v>
      </c>
      <c r="J223" s="18">
        <v>0</v>
      </c>
      <c r="K223" s="18">
        <f t="shared" si="46"/>
        <v>-0.38250000000000001</v>
      </c>
      <c r="L223" s="18">
        <v>0</v>
      </c>
      <c r="M223" s="18">
        <v>0</v>
      </c>
      <c r="N223" s="18">
        <f t="shared" si="47"/>
        <v>-0.22500000000000001</v>
      </c>
      <c r="P223" s="15" t="s">
        <v>31</v>
      </c>
      <c r="Q223" s="15" t="str">
        <f t="shared" si="48"/>
        <v>222,</v>
      </c>
      <c r="R223" s="15" t="str">
        <f t="shared" si="49"/>
        <v>330,</v>
      </c>
      <c r="S223" s="15" t="str">
        <f t="shared" si="50"/>
        <v>0,</v>
      </c>
      <c r="T223" s="16">
        <f t="shared" si="51"/>
        <v>0</v>
      </c>
      <c r="U223" s="16" t="s">
        <v>32</v>
      </c>
      <c r="V223" s="16" t="str">
        <f t="shared" si="52"/>
        <v>222,</v>
      </c>
      <c r="W223" s="17" t="str">
        <f t="shared" si="53"/>
        <v/>
      </c>
      <c r="X223" s="17" t="str">
        <f t="shared" si="56"/>
        <v/>
      </c>
      <c r="Y223" s="17" t="str">
        <f t="shared" si="58"/>
        <v>UY</v>
      </c>
      <c r="Z223" s="17" t="s">
        <v>33</v>
      </c>
      <c r="AA223" s="17" t="str">
        <f t="shared" si="54"/>
        <v>222,</v>
      </c>
      <c r="AB223" s="17" t="s">
        <v>34</v>
      </c>
      <c r="AC223" s="18">
        <f t="shared" si="55"/>
        <v>0.873</v>
      </c>
    </row>
    <row r="224" spans="1:29" x14ac:dyDescent="0.3">
      <c r="A224" s="17">
        <v>223</v>
      </c>
      <c r="B224" s="17">
        <v>360</v>
      </c>
      <c r="C224" s="17">
        <v>0</v>
      </c>
      <c r="D224" s="17">
        <v>0</v>
      </c>
      <c r="E224" s="17">
        <v>0</v>
      </c>
      <c r="F224" s="17">
        <v>0</v>
      </c>
      <c r="G224" s="17">
        <v>1</v>
      </c>
      <c r="H224" s="18">
        <v>900</v>
      </c>
      <c r="I224" s="18">
        <v>0</v>
      </c>
      <c r="J224" s="18">
        <v>0</v>
      </c>
      <c r="K224" s="18">
        <f t="shared" si="46"/>
        <v>-0.38250000000000001</v>
      </c>
      <c r="L224" s="18">
        <v>0</v>
      </c>
      <c r="M224" s="18">
        <v>0</v>
      </c>
      <c r="N224" s="18">
        <f t="shared" si="47"/>
        <v>-0.22500000000000001</v>
      </c>
      <c r="P224" s="15" t="s">
        <v>31</v>
      </c>
      <c r="Q224" s="15" t="str">
        <f t="shared" si="48"/>
        <v>223,</v>
      </c>
      <c r="R224" s="15" t="str">
        <f t="shared" si="49"/>
        <v>360,</v>
      </c>
      <c r="S224" s="15" t="str">
        <f t="shared" si="50"/>
        <v>0,</v>
      </c>
      <c r="T224" s="16">
        <f t="shared" si="51"/>
        <v>0</v>
      </c>
      <c r="U224" s="16" t="s">
        <v>32</v>
      </c>
      <c r="V224" s="16" t="str">
        <f t="shared" si="52"/>
        <v>223,</v>
      </c>
      <c r="W224" s="17" t="str">
        <f t="shared" si="53"/>
        <v/>
      </c>
      <c r="X224" s="17" t="str">
        <f t="shared" si="56"/>
        <v/>
      </c>
      <c r="Y224" s="17" t="str">
        <f t="shared" si="58"/>
        <v>UY</v>
      </c>
      <c r="Z224" s="17" t="s">
        <v>33</v>
      </c>
      <c r="AA224" s="17" t="str">
        <f t="shared" si="54"/>
        <v>223,</v>
      </c>
      <c r="AB224" s="17" t="s">
        <v>34</v>
      </c>
      <c r="AC224" s="18">
        <f t="shared" si="55"/>
        <v>0.873</v>
      </c>
    </row>
    <row r="225" spans="1:29" x14ac:dyDescent="0.3">
      <c r="A225" s="17">
        <v>224</v>
      </c>
      <c r="B225" s="17">
        <v>390</v>
      </c>
      <c r="C225" s="17">
        <v>0</v>
      </c>
      <c r="D225" s="17">
        <v>0</v>
      </c>
      <c r="E225" s="17">
        <v>0</v>
      </c>
      <c r="F225" s="17">
        <v>0</v>
      </c>
      <c r="G225" s="17">
        <v>1</v>
      </c>
      <c r="H225" s="18">
        <v>900</v>
      </c>
      <c r="I225" s="18">
        <v>0</v>
      </c>
      <c r="J225" s="18">
        <v>0</v>
      </c>
      <c r="K225" s="18">
        <f t="shared" si="46"/>
        <v>-0.38250000000000001</v>
      </c>
      <c r="L225" s="18">
        <v>0</v>
      </c>
      <c r="M225" s="18">
        <v>0</v>
      </c>
      <c r="N225" s="18">
        <f t="shared" si="47"/>
        <v>-0.22500000000000001</v>
      </c>
      <c r="P225" s="15" t="s">
        <v>31</v>
      </c>
      <c r="Q225" s="15" t="str">
        <f t="shared" si="48"/>
        <v>224,</v>
      </c>
      <c r="R225" s="15" t="str">
        <f t="shared" si="49"/>
        <v>390,</v>
      </c>
      <c r="S225" s="15" t="str">
        <f t="shared" si="50"/>
        <v>0,</v>
      </c>
      <c r="T225" s="16">
        <f t="shared" si="51"/>
        <v>0</v>
      </c>
      <c r="U225" s="16" t="s">
        <v>32</v>
      </c>
      <c r="V225" s="16" t="str">
        <f t="shared" si="52"/>
        <v>224,</v>
      </c>
      <c r="W225" s="17" t="str">
        <f t="shared" si="53"/>
        <v/>
      </c>
      <c r="X225" s="17" t="str">
        <f t="shared" si="56"/>
        <v/>
      </c>
      <c r="Y225" s="17" t="str">
        <f t="shared" si="58"/>
        <v>UY</v>
      </c>
      <c r="Z225" s="17" t="s">
        <v>33</v>
      </c>
      <c r="AA225" s="17" t="str">
        <f t="shared" si="54"/>
        <v>224,</v>
      </c>
      <c r="AB225" s="17" t="s">
        <v>34</v>
      </c>
      <c r="AC225" s="18">
        <f t="shared" si="55"/>
        <v>0.873</v>
      </c>
    </row>
    <row r="226" spans="1:29" x14ac:dyDescent="0.3">
      <c r="A226" s="17">
        <v>225</v>
      </c>
      <c r="B226" s="17">
        <v>420</v>
      </c>
      <c r="C226" s="17">
        <v>0</v>
      </c>
      <c r="D226" s="17">
        <v>0</v>
      </c>
      <c r="E226" s="17">
        <v>0</v>
      </c>
      <c r="F226" s="17">
        <v>0</v>
      </c>
      <c r="G226" s="17">
        <v>1</v>
      </c>
      <c r="H226" s="18">
        <v>900</v>
      </c>
      <c r="I226" s="18">
        <v>0</v>
      </c>
      <c r="J226" s="18">
        <v>0</v>
      </c>
      <c r="K226" s="18">
        <f t="shared" si="46"/>
        <v>-0.38250000000000001</v>
      </c>
      <c r="L226" s="18">
        <v>0</v>
      </c>
      <c r="M226" s="18">
        <v>0</v>
      </c>
      <c r="N226" s="18">
        <f t="shared" si="47"/>
        <v>-0.22500000000000001</v>
      </c>
      <c r="P226" s="15" t="s">
        <v>31</v>
      </c>
      <c r="Q226" s="15" t="str">
        <f t="shared" si="48"/>
        <v>225,</v>
      </c>
      <c r="R226" s="15" t="str">
        <f t="shared" si="49"/>
        <v>420,</v>
      </c>
      <c r="S226" s="15" t="str">
        <f t="shared" si="50"/>
        <v>0,</v>
      </c>
      <c r="T226" s="16">
        <f t="shared" si="51"/>
        <v>0</v>
      </c>
      <c r="U226" s="16" t="s">
        <v>32</v>
      </c>
      <c r="V226" s="16" t="str">
        <f t="shared" si="52"/>
        <v>225,</v>
      </c>
      <c r="W226" s="17" t="str">
        <f t="shared" si="53"/>
        <v/>
      </c>
      <c r="X226" s="17" t="str">
        <f t="shared" si="56"/>
        <v/>
      </c>
      <c r="Y226" s="17" t="str">
        <f t="shared" si="58"/>
        <v>UY</v>
      </c>
      <c r="Z226" s="17" t="s">
        <v>33</v>
      </c>
      <c r="AA226" s="17" t="str">
        <f t="shared" si="54"/>
        <v>225,</v>
      </c>
      <c r="AB226" s="17" t="s">
        <v>34</v>
      </c>
      <c r="AC226" s="18">
        <f t="shared" si="55"/>
        <v>0.873</v>
      </c>
    </row>
    <row r="227" spans="1:29" x14ac:dyDescent="0.3">
      <c r="A227" s="17">
        <v>226</v>
      </c>
      <c r="B227" s="17">
        <v>450</v>
      </c>
      <c r="C227" s="17">
        <v>0</v>
      </c>
      <c r="D227" s="17">
        <v>0</v>
      </c>
      <c r="E227" s="17">
        <v>0</v>
      </c>
      <c r="F227" s="17">
        <v>0</v>
      </c>
      <c r="G227" s="17">
        <v>1</v>
      </c>
      <c r="H227" s="18">
        <v>900</v>
      </c>
      <c r="I227" s="18">
        <v>0</v>
      </c>
      <c r="J227" s="18">
        <v>0</v>
      </c>
      <c r="K227" s="18">
        <f t="shared" si="46"/>
        <v>-0.38250000000000001</v>
      </c>
      <c r="L227" s="18">
        <v>0</v>
      </c>
      <c r="M227" s="18">
        <v>0</v>
      </c>
      <c r="N227" s="18">
        <f t="shared" si="47"/>
        <v>-0.22500000000000001</v>
      </c>
      <c r="P227" s="15" t="s">
        <v>31</v>
      </c>
      <c r="Q227" s="15" t="str">
        <f t="shared" si="48"/>
        <v>226,</v>
      </c>
      <c r="R227" s="15" t="str">
        <f t="shared" si="49"/>
        <v>450,</v>
      </c>
      <c r="S227" s="15" t="str">
        <f t="shared" si="50"/>
        <v>0,</v>
      </c>
      <c r="T227" s="16">
        <f t="shared" si="51"/>
        <v>0</v>
      </c>
      <c r="U227" s="16" t="s">
        <v>32</v>
      </c>
      <c r="V227" s="16" t="str">
        <f t="shared" si="52"/>
        <v>226,</v>
      </c>
      <c r="W227" s="17" t="str">
        <f t="shared" si="53"/>
        <v/>
      </c>
      <c r="X227" s="17" t="str">
        <f t="shared" si="56"/>
        <v/>
      </c>
      <c r="Y227" s="17" t="str">
        <f t="shared" si="58"/>
        <v>UY</v>
      </c>
      <c r="Z227" s="17" t="s">
        <v>33</v>
      </c>
      <c r="AA227" s="17" t="str">
        <f t="shared" si="54"/>
        <v>226,</v>
      </c>
      <c r="AB227" s="17" t="s">
        <v>34</v>
      </c>
      <c r="AC227" s="18">
        <f t="shared" si="55"/>
        <v>0.873</v>
      </c>
    </row>
    <row r="228" spans="1:29" x14ac:dyDescent="0.3">
      <c r="A228" s="17">
        <v>227</v>
      </c>
      <c r="B228" s="17">
        <v>480</v>
      </c>
      <c r="C228" s="17">
        <v>0</v>
      </c>
      <c r="D228" s="17">
        <v>0</v>
      </c>
      <c r="E228" s="17">
        <v>0</v>
      </c>
      <c r="F228" s="17">
        <v>0</v>
      </c>
      <c r="G228" s="17">
        <v>1</v>
      </c>
      <c r="H228" s="18">
        <v>900</v>
      </c>
      <c r="I228" s="18">
        <v>0</v>
      </c>
      <c r="J228" s="18">
        <v>0</v>
      </c>
      <c r="K228" s="18">
        <f t="shared" si="46"/>
        <v>-0.38250000000000001</v>
      </c>
      <c r="L228" s="18">
        <v>0</v>
      </c>
      <c r="M228" s="18">
        <v>0</v>
      </c>
      <c r="N228" s="18">
        <f t="shared" si="47"/>
        <v>-0.22500000000000001</v>
      </c>
      <c r="P228" s="15" t="s">
        <v>31</v>
      </c>
      <c r="Q228" s="15" t="str">
        <f t="shared" si="48"/>
        <v>227,</v>
      </c>
      <c r="R228" s="15" t="str">
        <f t="shared" si="49"/>
        <v>480,</v>
      </c>
      <c r="S228" s="15" t="str">
        <f t="shared" si="50"/>
        <v>0,</v>
      </c>
      <c r="T228" s="16">
        <f t="shared" si="51"/>
        <v>0</v>
      </c>
      <c r="U228" s="16" t="s">
        <v>32</v>
      </c>
      <c r="V228" s="16" t="str">
        <f t="shared" si="52"/>
        <v>227,</v>
      </c>
      <c r="W228" s="17" t="str">
        <f t="shared" si="53"/>
        <v/>
      </c>
      <c r="X228" s="17" t="str">
        <f t="shared" si="56"/>
        <v/>
      </c>
      <c r="Y228" s="17" t="str">
        <f t="shared" si="58"/>
        <v>UY</v>
      </c>
      <c r="Z228" s="17" t="s">
        <v>33</v>
      </c>
      <c r="AA228" s="17" t="str">
        <f t="shared" si="54"/>
        <v>227,</v>
      </c>
      <c r="AB228" s="17" t="s">
        <v>34</v>
      </c>
      <c r="AC228" s="18">
        <f t="shared" si="55"/>
        <v>0.873</v>
      </c>
    </row>
    <row r="229" spans="1:29" x14ac:dyDescent="0.3">
      <c r="A229" s="17">
        <v>228</v>
      </c>
      <c r="B229" s="17">
        <v>509.99999999999994</v>
      </c>
      <c r="C229" s="17">
        <v>0</v>
      </c>
      <c r="D229" s="17">
        <v>0</v>
      </c>
      <c r="E229" s="17">
        <v>0</v>
      </c>
      <c r="F229" s="17">
        <v>0</v>
      </c>
      <c r="G229" s="17">
        <v>1</v>
      </c>
      <c r="H229" s="18">
        <v>900</v>
      </c>
      <c r="I229" s="18">
        <v>0</v>
      </c>
      <c r="J229" s="18">
        <v>0</v>
      </c>
      <c r="K229" s="18">
        <f t="shared" si="46"/>
        <v>-0.38250000000000001</v>
      </c>
      <c r="L229" s="18">
        <v>0</v>
      </c>
      <c r="M229" s="18">
        <v>0</v>
      </c>
      <c r="N229" s="18">
        <f t="shared" si="47"/>
        <v>-0.22500000000000001</v>
      </c>
      <c r="P229" s="15" t="s">
        <v>31</v>
      </c>
      <c r="Q229" s="15" t="str">
        <f t="shared" si="48"/>
        <v>228,</v>
      </c>
      <c r="R229" s="15" t="str">
        <f t="shared" si="49"/>
        <v>510,</v>
      </c>
      <c r="S229" s="15" t="str">
        <f t="shared" si="50"/>
        <v>0,</v>
      </c>
      <c r="T229" s="16">
        <f t="shared" si="51"/>
        <v>0</v>
      </c>
      <c r="U229" s="16" t="s">
        <v>32</v>
      </c>
      <c r="V229" s="16" t="str">
        <f t="shared" si="52"/>
        <v>228,</v>
      </c>
      <c r="W229" s="17" t="str">
        <f t="shared" si="53"/>
        <v/>
      </c>
      <c r="X229" s="17" t="str">
        <f t="shared" si="56"/>
        <v/>
      </c>
      <c r="Y229" s="17" t="str">
        <f t="shared" si="58"/>
        <v>UY</v>
      </c>
      <c r="Z229" s="17" t="s">
        <v>33</v>
      </c>
      <c r="AA229" s="17" t="str">
        <f t="shared" si="54"/>
        <v>228,</v>
      </c>
      <c r="AB229" s="17" t="s">
        <v>34</v>
      </c>
      <c r="AC229" s="18">
        <f t="shared" si="55"/>
        <v>0.873</v>
      </c>
    </row>
    <row r="230" spans="1:29" x14ac:dyDescent="0.3">
      <c r="A230" s="17">
        <v>229</v>
      </c>
      <c r="B230" s="17">
        <v>540</v>
      </c>
      <c r="C230" s="17">
        <v>0</v>
      </c>
      <c r="D230" s="17">
        <v>0</v>
      </c>
      <c r="E230" s="17">
        <v>0</v>
      </c>
      <c r="F230" s="17">
        <v>0</v>
      </c>
      <c r="G230" s="17">
        <v>1</v>
      </c>
      <c r="H230" s="18">
        <v>900</v>
      </c>
      <c r="I230" s="18">
        <v>0</v>
      </c>
      <c r="J230" s="18">
        <v>0</v>
      </c>
      <c r="K230" s="18">
        <f t="shared" si="46"/>
        <v>-0.38250000000000001</v>
      </c>
      <c r="L230" s="18">
        <v>0</v>
      </c>
      <c r="M230" s="18">
        <v>0</v>
      </c>
      <c r="N230" s="18">
        <f t="shared" si="47"/>
        <v>-0.22500000000000001</v>
      </c>
      <c r="P230" s="15" t="s">
        <v>31</v>
      </c>
      <c r="Q230" s="15" t="str">
        <f t="shared" si="48"/>
        <v>229,</v>
      </c>
      <c r="R230" s="15" t="str">
        <f t="shared" si="49"/>
        <v>540,</v>
      </c>
      <c r="S230" s="15" t="str">
        <f t="shared" si="50"/>
        <v>0,</v>
      </c>
      <c r="T230" s="16">
        <f t="shared" si="51"/>
        <v>0</v>
      </c>
      <c r="U230" s="16" t="s">
        <v>32</v>
      </c>
      <c r="V230" s="16" t="str">
        <f t="shared" si="52"/>
        <v>229,</v>
      </c>
      <c r="W230" s="17" t="str">
        <f t="shared" si="53"/>
        <v/>
      </c>
      <c r="X230" s="17" t="str">
        <f t="shared" si="56"/>
        <v/>
      </c>
      <c r="Y230" s="17" t="str">
        <f t="shared" si="58"/>
        <v>UY</v>
      </c>
      <c r="Z230" s="17" t="s">
        <v>33</v>
      </c>
      <c r="AA230" s="17" t="str">
        <f t="shared" si="54"/>
        <v>229,</v>
      </c>
      <c r="AB230" s="17" t="s">
        <v>34</v>
      </c>
      <c r="AC230" s="18">
        <f t="shared" si="55"/>
        <v>0.873</v>
      </c>
    </row>
    <row r="231" spans="1:29" x14ac:dyDescent="0.3">
      <c r="A231" s="17">
        <v>230</v>
      </c>
      <c r="B231" s="17">
        <v>570</v>
      </c>
      <c r="C231" s="17">
        <v>0</v>
      </c>
      <c r="D231" s="17">
        <v>0</v>
      </c>
      <c r="E231" s="17">
        <v>0</v>
      </c>
      <c r="F231" s="17">
        <v>0</v>
      </c>
      <c r="G231" s="17">
        <v>1</v>
      </c>
      <c r="H231" s="18">
        <v>900</v>
      </c>
      <c r="I231" s="18">
        <v>0</v>
      </c>
      <c r="J231" s="18">
        <v>0</v>
      </c>
      <c r="K231" s="18">
        <f t="shared" si="46"/>
        <v>-0.38250000000000001</v>
      </c>
      <c r="L231" s="18">
        <v>0</v>
      </c>
      <c r="M231" s="18">
        <v>0</v>
      </c>
      <c r="N231" s="18">
        <f t="shared" si="47"/>
        <v>-0.22500000000000001</v>
      </c>
      <c r="P231" s="15" t="s">
        <v>31</v>
      </c>
      <c r="Q231" s="15" t="str">
        <f t="shared" si="48"/>
        <v>230,</v>
      </c>
      <c r="R231" s="15" t="str">
        <f t="shared" si="49"/>
        <v>570,</v>
      </c>
      <c r="S231" s="15" t="str">
        <f t="shared" si="50"/>
        <v>0,</v>
      </c>
      <c r="T231" s="16">
        <f t="shared" si="51"/>
        <v>0</v>
      </c>
      <c r="U231" s="16" t="s">
        <v>32</v>
      </c>
      <c r="V231" s="16" t="str">
        <f t="shared" si="52"/>
        <v>230,</v>
      </c>
      <c r="W231" s="17" t="str">
        <f t="shared" si="53"/>
        <v/>
      </c>
      <c r="X231" s="17" t="str">
        <f t="shared" si="56"/>
        <v/>
      </c>
      <c r="Y231" s="17" t="str">
        <f t="shared" si="58"/>
        <v>UY</v>
      </c>
      <c r="Z231" s="17" t="s">
        <v>33</v>
      </c>
      <c r="AA231" s="17" t="str">
        <f t="shared" si="54"/>
        <v>230,</v>
      </c>
      <c r="AB231" s="17" t="s">
        <v>34</v>
      </c>
      <c r="AC231" s="18">
        <f t="shared" si="55"/>
        <v>0.873</v>
      </c>
    </row>
    <row r="232" spans="1:29" x14ac:dyDescent="0.3">
      <c r="A232" s="17">
        <v>231</v>
      </c>
      <c r="B232" s="17">
        <v>600</v>
      </c>
      <c r="C232" s="17">
        <v>0</v>
      </c>
      <c r="D232" s="17">
        <v>0</v>
      </c>
      <c r="E232" s="17">
        <v>1</v>
      </c>
      <c r="F232" s="17">
        <v>1</v>
      </c>
      <c r="G232" s="17">
        <v>1</v>
      </c>
      <c r="H232" s="18">
        <v>900</v>
      </c>
      <c r="I232" s="18">
        <v>0</v>
      </c>
      <c r="J232" s="18">
        <v>0</v>
      </c>
      <c r="K232" s="18">
        <f t="shared" si="46"/>
        <v>-0.38250000000000001</v>
      </c>
      <c r="L232" s="18">
        <v>0</v>
      </c>
      <c r="M232" s="18">
        <v>0</v>
      </c>
      <c r="N232" s="18">
        <f t="shared" si="47"/>
        <v>-0.22500000000000001</v>
      </c>
      <c r="P232" s="15" t="s">
        <v>31</v>
      </c>
      <c r="Q232" s="15" t="str">
        <f t="shared" si="48"/>
        <v>231,</v>
      </c>
      <c r="R232" s="15" t="str">
        <f t="shared" si="49"/>
        <v>600,</v>
      </c>
      <c r="S232" s="15" t="str">
        <f t="shared" si="50"/>
        <v>0,</v>
      </c>
      <c r="T232" s="16">
        <f t="shared" si="51"/>
        <v>0</v>
      </c>
      <c r="U232" s="16" t="s">
        <v>32</v>
      </c>
      <c r="V232" s="16" t="str">
        <f t="shared" si="52"/>
        <v>231,</v>
      </c>
      <c r="W232" s="17" t="str">
        <f t="shared" si="53"/>
        <v>UX</v>
      </c>
      <c r="X232" s="17" t="str">
        <f t="shared" si="56"/>
        <v>UZ</v>
      </c>
      <c r="Y232" s="17" t="str">
        <f t="shared" si="57"/>
        <v>UY,</v>
      </c>
      <c r="Z232" s="17" t="s">
        <v>33</v>
      </c>
      <c r="AA232" s="17" t="str">
        <f t="shared" si="54"/>
        <v>231,</v>
      </c>
      <c r="AB232" s="17" t="s">
        <v>34</v>
      </c>
      <c r="AC232" s="18">
        <f t="shared" si="55"/>
        <v>0.873</v>
      </c>
    </row>
  </sheetData>
  <autoFilter ref="A1:AC232" xr:uid="{F5750A02-9706-43C0-87D7-0E3E1642E5A7}">
    <sortState xmlns:xlrd2="http://schemas.microsoft.com/office/spreadsheetml/2017/richdata2" ref="A2:AC232">
      <sortCondition descending="1" ref="D1:D232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92A62-32ED-4FC9-A63C-003D8C71666D}">
  <dimension ref="A1:U431"/>
  <sheetViews>
    <sheetView zoomScale="70" zoomScaleNormal="70" workbookViewId="0"/>
  </sheetViews>
  <sheetFormatPr defaultColWidth="13.77734375" defaultRowHeight="13.8" x14ac:dyDescent="0.25"/>
  <cols>
    <col min="1" max="3" width="13.77734375" style="3"/>
    <col min="4" max="7" width="13.77734375" style="2"/>
    <col min="8" max="13" width="13.77734375" style="4"/>
    <col min="14" max="14" width="13.77734375" style="12"/>
    <col min="15" max="15" width="13.77734375" style="1"/>
    <col min="16" max="17" width="13.77734375" style="12"/>
    <col min="18" max="21" width="13.77734375" style="23"/>
    <col min="22" max="16384" width="13.77734375" style="1"/>
  </cols>
  <sheetData>
    <row r="1" spans="1:21" s="8" customFormat="1" x14ac:dyDescent="0.25">
      <c r="A1" s="5" t="s">
        <v>0</v>
      </c>
      <c r="B1" s="6" t="s">
        <v>23</v>
      </c>
      <c r="C1" s="6" t="s">
        <v>24</v>
      </c>
      <c r="D1" s="7" t="s">
        <v>1</v>
      </c>
      <c r="E1" s="7" t="s">
        <v>2</v>
      </c>
      <c r="F1" s="7" t="s">
        <v>3</v>
      </c>
      <c r="G1" s="7" t="s">
        <v>4</v>
      </c>
      <c r="H1" s="8" t="s">
        <v>5</v>
      </c>
      <c r="I1" s="9" t="s">
        <v>7</v>
      </c>
      <c r="J1" s="9" t="s">
        <v>6</v>
      </c>
      <c r="K1" s="9" t="s">
        <v>9</v>
      </c>
      <c r="L1" s="9" t="s">
        <v>10</v>
      </c>
      <c r="M1" s="9"/>
      <c r="N1" s="10" t="s">
        <v>26</v>
      </c>
      <c r="O1" s="11" t="s">
        <v>27</v>
      </c>
      <c r="P1" s="10" t="s">
        <v>28</v>
      </c>
      <c r="Q1" s="10"/>
      <c r="R1" s="21" t="s">
        <v>35</v>
      </c>
      <c r="S1" s="22" t="s">
        <v>36</v>
      </c>
      <c r="T1" s="22" t="s">
        <v>37</v>
      </c>
      <c r="U1" s="22" t="s">
        <v>38</v>
      </c>
    </row>
    <row r="2" spans="1:21" x14ac:dyDescent="0.25">
      <c r="A2" s="3">
        <v>1</v>
      </c>
      <c r="B2" s="3">
        <v>1</v>
      </c>
      <c r="C2" s="3">
        <v>2</v>
      </c>
      <c r="D2" s="2">
        <f t="shared" ref="D2:D65" si="0">E2*2</f>
        <v>10985</v>
      </c>
      <c r="E2" s="2">
        <f>(30*13^3)/12</f>
        <v>5492.5</v>
      </c>
      <c r="F2" s="2">
        <v>2380</v>
      </c>
      <c r="G2" s="2">
        <f>F2/(2*(1+0.2))</f>
        <v>991.66666666666674</v>
      </c>
      <c r="H2" s="4">
        <f>VLOOKUP(B2,nodes!A:D,2,0)</f>
        <v>0</v>
      </c>
      <c r="I2" s="4">
        <f>VLOOKUP(B2,nodes!A:D,4,0)</f>
        <v>300</v>
      </c>
      <c r="J2" s="4">
        <f>VLOOKUP(C2,nodes!A:D,2,0)</f>
        <v>30</v>
      </c>
      <c r="K2" s="4">
        <f>VLOOKUP(C2,nodes!A:D,4,0)</f>
        <v>300</v>
      </c>
      <c r="L2" s="4">
        <f>((J2-H2)^2+(K2-I2)^2)^0.5</f>
        <v>30</v>
      </c>
      <c r="N2" s="12">
        <f>12*2380*60*(25^3)/(300*12)</f>
        <v>7437500</v>
      </c>
      <c r="O2" s="12">
        <f>12*2380*25*(60^3)/(300*12)</f>
        <v>42840000</v>
      </c>
      <c r="P2" s="12">
        <f>2380*25*60/300</f>
        <v>11900</v>
      </c>
      <c r="R2" s="23" t="s">
        <v>39</v>
      </c>
      <c r="S2" s="23" t="str">
        <f>A2&amp;","</f>
        <v>1,</v>
      </c>
      <c r="T2" s="23" t="str">
        <f t="shared" ref="T2:T65" si="1">B2&amp;","</f>
        <v>1,</v>
      </c>
      <c r="U2" s="24">
        <f>C2</f>
        <v>2</v>
      </c>
    </row>
    <row r="3" spans="1:21" x14ac:dyDescent="0.25">
      <c r="A3" s="3">
        <v>2</v>
      </c>
      <c r="B3" s="3">
        <v>2</v>
      </c>
      <c r="C3" s="3">
        <v>3</v>
      </c>
      <c r="D3" s="2">
        <f t="shared" si="0"/>
        <v>10985</v>
      </c>
      <c r="E3" s="2">
        <f t="shared" ref="E3:E66" si="2">(30*13^3)/12</f>
        <v>5492.5</v>
      </c>
      <c r="F3" s="2">
        <v>2380</v>
      </c>
      <c r="G3" s="2">
        <f t="shared" ref="G3:G66" si="3">F3/(2*(1+0.2))</f>
        <v>991.66666666666674</v>
      </c>
      <c r="H3" s="4">
        <f>VLOOKUP(B3,nodes!A:D,2,0)</f>
        <v>30</v>
      </c>
      <c r="I3" s="4">
        <f>VLOOKUP(B3,nodes!A:D,4,0)</f>
        <v>300</v>
      </c>
      <c r="J3" s="4">
        <f>VLOOKUP(C3,nodes!A:D,2,0)</f>
        <v>60</v>
      </c>
      <c r="K3" s="4">
        <f>VLOOKUP(C3,nodes!A:D,4,0)</f>
        <v>300</v>
      </c>
      <c r="L3" s="4">
        <f t="shared" ref="L3:L66" si="4">((J3-H3)^2+(K3-I3)^2)^0.5</f>
        <v>30</v>
      </c>
      <c r="N3" s="12">
        <f t="shared" ref="N3:N66" si="5">12*2380*60*(25^3)/(300*12)</f>
        <v>7437500</v>
      </c>
      <c r="O3" s="12">
        <f t="shared" ref="O3:O66" si="6">12*2380*25*(60^3)/(300*12)</f>
        <v>42840000</v>
      </c>
      <c r="P3" s="12">
        <f t="shared" ref="P3:P66" si="7">2380*25*60/300</f>
        <v>11900</v>
      </c>
      <c r="R3" s="23" t="s">
        <v>39</v>
      </c>
      <c r="S3" s="23" t="str">
        <f t="shared" ref="S3:T66" si="8">A3&amp;","</f>
        <v>2,</v>
      </c>
      <c r="T3" s="23" t="str">
        <f t="shared" si="1"/>
        <v>2,</v>
      </c>
      <c r="U3" s="24">
        <f t="shared" ref="U3:U66" si="9">C3</f>
        <v>3</v>
      </c>
    </row>
    <row r="4" spans="1:21" x14ac:dyDescent="0.25">
      <c r="A4" s="3">
        <v>3</v>
      </c>
      <c r="B4" s="3">
        <v>3</v>
      </c>
      <c r="C4" s="3">
        <v>4</v>
      </c>
      <c r="D4" s="2">
        <f t="shared" si="0"/>
        <v>10985</v>
      </c>
      <c r="E4" s="2">
        <f t="shared" si="2"/>
        <v>5492.5</v>
      </c>
      <c r="F4" s="2">
        <v>2380</v>
      </c>
      <c r="G4" s="2">
        <f t="shared" si="3"/>
        <v>991.66666666666674</v>
      </c>
      <c r="H4" s="4">
        <f>VLOOKUP(B4,nodes!A:D,2,0)</f>
        <v>60</v>
      </c>
      <c r="I4" s="4">
        <f>VLOOKUP(B4,nodes!A:D,4,0)</f>
        <v>300</v>
      </c>
      <c r="J4" s="4">
        <f>VLOOKUP(C4,nodes!A:D,2,0)</f>
        <v>90</v>
      </c>
      <c r="K4" s="4">
        <f>VLOOKUP(C4,nodes!A:D,4,0)</f>
        <v>300</v>
      </c>
      <c r="L4" s="4">
        <f t="shared" si="4"/>
        <v>30</v>
      </c>
      <c r="N4" s="12">
        <f t="shared" si="5"/>
        <v>7437500</v>
      </c>
      <c r="O4" s="12">
        <f t="shared" si="6"/>
        <v>42840000</v>
      </c>
      <c r="P4" s="12">
        <f t="shared" si="7"/>
        <v>11900</v>
      </c>
      <c r="R4" s="23" t="s">
        <v>39</v>
      </c>
      <c r="S4" s="23" t="str">
        <f t="shared" si="8"/>
        <v>3,</v>
      </c>
      <c r="T4" s="23" t="str">
        <f t="shared" si="1"/>
        <v>3,</v>
      </c>
      <c r="U4" s="24">
        <f t="shared" si="9"/>
        <v>4</v>
      </c>
    </row>
    <row r="5" spans="1:21" x14ac:dyDescent="0.25">
      <c r="A5" s="3">
        <v>4</v>
      </c>
      <c r="B5" s="3">
        <v>4</v>
      </c>
      <c r="C5" s="3">
        <v>5</v>
      </c>
      <c r="D5" s="2">
        <f t="shared" si="0"/>
        <v>10985</v>
      </c>
      <c r="E5" s="2">
        <f t="shared" si="2"/>
        <v>5492.5</v>
      </c>
      <c r="F5" s="2">
        <v>2380</v>
      </c>
      <c r="G5" s="2">
        <f t="shared" si="3"/>
        <v>991.66666666666674</v>
      </c>
      <c r="H5" s="4">
        <f>VLOOKUP(B5,nodes!A:D,2,0)</f>
        <v>90</v>
      </c>
      <c r="I5" s="4">
        <f>VLOOKUP(B5,nodes!A:D,4,0)</f>
        <v>300</v>
      </c>
      <c r="J5" s="4">
        <f>VLOOKUP(C5,nodes!A:D,2,0)</f>
        <v>120</v>
      </c>
      <c r="K5" s="4">
        <f>VLOOKUP(C5,nodes!A:D,4,0)</f>
        <v>300</v>
      </c>
      <c r="L5" s="4">
        <f t="shared" si="4"/>
        <v>30</v>
      </c>
      <c r="N5" s="12">
        <f t="shared" si="5"/>
        <v>7437500</v>
      </c>
      <c r="O5" s="12">
        <f t="shared" si="6"/>
        <v>42840000</v>
      </c>
      <c r="P5" s="12">
        <f t="shared" si="7"/>
        <v>11900</v>
      </c>
      <c r="R5" s="23" t="s">
        <v>39</v>
      </c>
      <c r="S5" s="23" t="str">
        <f t="shared" si="8"/>
        <v>4,</v>
      </c>
      <c r="T5" s="23" t="str">
        <f t="shared" si="1"/>
        <v>4,</v>
      </c>
      <c r="U5" s="24">
        <f t="shared" si="9"/>
        <v>5</v>
      </c>
    </row>
    <row r="6" spans="1:21" x14ac:dyDescent="0.25">
      <c r="A6" s="3">
        <v>5</v>
      </c>
      <c r="B6" s="3">
        <v>5</v>
      </c>
      <c r="C6" s="3">
        <v>6</v>
      </c>
      <c r="D6" s="2">
        <f t="shared" si="0"/>
        <v>10985</v>
      </c>
      <c r="E6" s="2">
        <f t="shared" si="2"/>
        <v>5492.5</v>
      </c>
      <c r="F6" s="2">
        <v>2380</v>
      </c>
      <c r="G6" s="2">
        <f t="shared" si="3"/>
        <v>991.66666666666674</v>
      </c>
      <c r="H6" s="4">
        <f>VLOOKUP(B6,nodes!A:D,2,0)</f>
        <v>120</v>
      </c>
      <c r="I6" s="4">
        <f>VLOOKUP(B6,nodes!A:D,4,0)</f>
        <v>300</v>
      </c>
      <c r="J6" s="4">
        <f>VLOOKUP(C6,nodes!A:D,2,0)</f>
        <v>150</v>
      </c>
      <c r="K6" s="4">
        <f>VLOOKUP(C6,nodes!A:D,4,0)</f>
        <v>300</v>
      </c>
      <c r="L6" s="4">
        <f t="shared" si="4"/>
        <v>30</v>
      </c>
      <c r="N6" s="12">
        <f t="shared" si="5"/>
        <v>7437500</v>
      </c>
      <c r="O6" s="12">
        <f t="shared" si="6"/>
        <v>42840000</v>
      </c>
      <c r="P6" s="12">
        <f t="shared" si="7"/>
        <v>11900</v>
      </c>
      <c r="R6" s="23" t="s">
        <v>39</v>
      </c>
      <c r="S6" s="23" t="str">
        <f t="shared" si="8"/>
        <v>5,</v>
      </c>
      <c r="T6" s="23" t="str">
        <f t="shared" si="1"/>
        <v>5,</v>
      </c>
      <c r="U6" s="24">
        <f t="shared" si="9"/>
        <v>6</v>
      </c>
    </row>
    <row r="7" spans="1:21" x14ac:dyDescent="0.25">
      <c r="A7" s="3">
        <v>6</v>
      </c>
      <c r="B7" s="3">
        <v>6</v>
      </c>
      <c r="C7" s="3">
        <v>7</v>
      </c>
      <c r="D7" s="2">
        <f t="shared" si="0"/>
        <v>10985</v>
      </c>
      <c r="E7" s="2">
        <f t="shared" si="2"/>
        <v>5492.5</v>
      </c>
      <c r="F7" s="2">
        <v>2380</v>
      </c>
      <c r="G7" s="2">
        <f t="shared" si="3"/>
        <v>991.66666666666674</v>
      </c>
      <c r="H7" s="4">
        <f>VLOOKUP(B7,nodes!A:D,2,0)</f>
        <v>150</v>
      </c>
      <c r="I7" s="4">
        <f>VLOOKUP(B7,nodes!A:D,4,0)</f>
        <v>300</v>
      </c>
      <c r="J7" s="4">
        <f>VLOOKUP(C7,nodes!A:D,2,0)</f>
        <v>180</v>
      </c>
      <c r="K7" s="4">
        <f>VLOOKUP(C7,nodes!A:D,4,0)</f>
        <v>300</v>
      </c>
      <c r="L7" s="4">
        <f t="shared" si="4"/>
        <v>30</v>
      </c>
      <c r="N7" s="12">
        <f t="shared" si="5"/>
        <v>7437500</v>
      </c>
      <c r="O7" s="12">
        <f t="shared" si="6"/>
        <v>42840000</v>
      </c>
      <c r="P7" s="12">
        <f t="shared" si="7"/>
        <v>11900</v>
      </c>
      <c r="R7" s="23" t="s">
        <v>39</v>
      </c>
      <c r="S7" s="23" t="str">
        <f t="shared" si="8"/>
        <v>6,</v>
      </c>
      <c r="T7" s="23" t="str">
        <f t="shared" si="1"/>
        <v>6,</v>
      </c>
      <c r="U7" s="24">
        <f t="shared" si="9"/>
        <v>7</v>
      </c>
    </row>
    <row r="8" spans="1:21" x14ac:dyDescent="0.25">
      <c r="A8" s="3">
        <v>7</v>
      </c>
      <c r="B8" s="3">
        <v>7</v>
      </c>
      <c r="C8" s="3">
        <v>8</v>
      </c>
      <c r="D8" s="2">
        <f t="shared" si="0"/>
        <v>10985</v>
      </c>
      <c r="E8" s="2">
        <f t="shared" si="2"/>
        <v>5492.5</v>
      </c>
      <c r="F8" s="2">
        <v>2380</v>
      </c>
      <c r="G8" s="2">
        <f t="shared" si="3"/>
        <v>991.66666666666674</v>
      </c>
      <c r="H8" s="4">
        <f>VLOOKUP(B8,nodes!A:D,2,0)</f>
        <v>180</v>
      </c>
      <c r="I8" s="4">
        <f>VLOOKUP(B8,nodes!A:D,4,0)</f>
        <v>300</v>
      </c>
      <c r="J8" s="4">
        <f>VLOOKUP(C8,nodes!A:D,2,0)</f>
        <v>210</v>
      </c>
      <c r="K8" s="4">
        <f>VLOOKUP(C8,nodes!A:D,4,0)</f>
        <v>300</v>
      </c>
      <c r="L8" s="4">
        <f t="shared" si="4"/>
        <v>30</v>
      </c>
      <c r="N8" s="12">
        <f t="shared" si="5"/>
        <v>7437500</v>
      </c>
      <c r="O8" s="12">
        <f t="shared" si="6"/>
        <v>42840000</v>
      </c>
      <c r="P8" s="12">
        <f t="shared" si="7"/>
        <v>11900</v>
      </c>
      <c r="R8" s="23" t="s">
        <v>39</v>
      </c>
      <c r="S8" s="23" t="str">
        <f t="shared" si="8"/>
        <v>7,</v>
      </c>
      <c r="T8" s="23" t="str">
        <f t="shared" si="1"/>
        <v>7,</v>
      </c>
      <c r="U8" s="24">
        <f t="shared" si="9"/>
        <v>8</v>
      </c>
    </row>
    <row r="9" spans="1:21" x14ac:dyDescent="0.25">
      <c r="A9" s="3">
        <v>8</v>
      </c>
      <c r="B9" s="3">
        <v>8</v>
      </c>
      <c r="C9" s="3">
        <v>9</v>
      </c>
      <c r="D9" s="2">
        <f t="shared" si="0"/>
        <v>10985</v>
      </c>
      <c r="E9" s="2">
        <f t="shared" si="2"/>
        <v>5492.5</v>
      </c>
      <c r="F9" s="2">
        <v>2380</v>
      </c>
      <c r="G9" s="2">
        <f t="shared" si="3"/>
        <v>991.66666666666674</v>
      </c>
      <c r="H9" s="4">
        <f>VLOOKUP(B9,nodes!A:D,2,0)</f>
        <v>210</v>
      </c>
      <c r="I9" s="4">
        <f>VLOOKUP(B9,nodes!A:D,4,0)</f>
        <v>300</v>
      </c>
      <c r="J9" s="4">
        <f>VLOOKUP(C9,nodes!A:D,2,0)</f>
        <v>240</v>
      </c>
      <c r="K9" s="4">
        <f>VLOOKUP(C9,nodes!A:D,4,0)</f>
        <v>300</v>
      </c>
      <c r="L9" s="4">
        <f t="shared" si="4"/>
        <v>30</v>
      </c>
      <c r="N9" s="12">
        <f t="shared" si="5"/>
        <v>7437500</v>
      </c>
      <c r="O9" s="12">
        <f t="shared" si="6"/>
        <v>42840000</v>
      </c>
      <c r="P9" s="12">
        <f t="shared" si="7"/>
        <v>11900</v>
      </c>
      <c r="R9" s="23" t="s">
        <v>39</v>
      </c>
      <c r="S9" s="23" t="str">
        <f t="shared" si="8"/>
        <v>8,</v>
      </c>
      <c r="T9" s="23" t="str">
        <f t="shared" si="1"/>
        <v>8,</v>
      </c>
      <c r="U9" s="24">
        <f t="shared" si="9"/>
        <v>9</v>
      </c>
    </row>
    <row r="10" spans="1:21" x14ac:dyDescent="0.25">
      <c r="A10" s="3">
        <v>9</v>
      </c>
      <c r="B10" s="3">
        <v>9</v>
      </c>
      <c r="C10" s="3">
        <v>10</v>
      </c>
      <c r="D10" s="2">
        <f t="shared" si="0"/>
        <v>10985</v>
      </c>
      <c r="E10" s="2">
        <f t="shared" si="2"/>
        <v>5492.5</v>
      </c>
      <c r="F10" s="2">
        <v>2380</v>
      </c>
      <c r="G10" s="2">
        <f t="shared" si="3"/>
        <v>991.66666666666674</v>
      </c>
      <c r="H10" s="4">
        <f>VLOOKUP(B10,nodes!A:D,2,0)</f>
        <v>240</v>
      </c>
      <c r="I10" s="4">
        <f>VLOOKUP(B10,nodes!A:D,4,0)</f>
        <v>300</v>
      </c>
      <c r="J10" s="4">
        <f>VLOOKUP(C10,nodes!A:D,2,0)</f>
        <v>270</v>
      </c>
      <c r="K10" s="4">
        <f>VLOOKUP(C10,nodes!A:D,4,0)</f>
        <v>300</v>
      </c>
      <c r="L10" s="4">
        <f t="shared" si="4"/>
        <v>30</v>
      </c>
      <c r="N10" s="12">
        <f t="shared" si="5"/>
        <v>7437500</v>
      </c>
      <c r="O10" s="12">
        <f t="shared" si="6"/>
        <v>42840000</v>
      </c>
      <c r="P10" s="12">
        <f t="shared" si="7"/>
        <v>11900</v>
      </c>
      <c r="R10" s="23" t="s">
        <v>39</v>
      </c>
      <c r="S10" s="23" t="str">
        <f t="shared" si="8"/>
        <v>9,</v>
      </c>
      <c r="T10" s="23" t="str">
        <f t="shared" si="1"/>
        <v>9,</v>
      </c>
      <c r="U10" s="24">
        <f t="shared" si="9"/>
        <v>10</v>
      </c>
    </row>
    <row r="11" spans="1:21" x14ac:dyDescent="0.25">
      <c r="A11" s="3">
        <v>10</v>
      </c>
      <c r="B11" s="3">
        <v>10</v>
      </c>
      <c r="C11" s="3">
        <v>11</v>
      </c>
      <c r="D11" s="2">
        <f t="shared" si="0"/>
        <v>10985</v>
      </c>
      <c r="E11" s="2">
        <f t="shared" si="2"/>
        <v>5492.5</v>
      </c>
      <c r="F11" s="2">
        <v>2380</v>
      </c>
      <c r="G11" s="2">
        <f t="shared" si="3"/>
        <v>991.66666666666674</v>
      </c>
      <c r="H11" s="4">
        <f>VLOOKUP(B11,nodes!A:D,2,0)</f>
        <v>270</v>
      </c>
      <c r="I11" s="4">
        <f>VLOOKUP(B11,nodes!A:D,4,0)</f>
        <v>300</v>
      </c>
      <c r="J11" s="4">
        <f>VLOOKUP(C11,nodes!A:D,2,0)</f>
        <v>300</v>
      </c>
      <c r="K11" s="4">
        <f>VLOOKUP(C11,nodes!A:D,4,0)</f>
        <v>300</v>
      </c>
      <c r="L11" s="4">
        <f t="shared" si="4"/>
        <v>30</v>
      </c>
      <c r="N11" s="12">
        <f t="shared" si="5"/>
        <v>7437500</v>
      </c>
      <c r="O11" s="12">
        <f t="shared" si="6"/>
        <v>42840000</v>
      </c>
      <c r="P11" s="12">
        <f t="shared" si="7"/>
        <v>11900</v>
      </c>
      <c r="R11" s="23" t="s">
        <v>39</v>
      </c>
      <c r="S11" s="23" t="str">
        <f t="shared" si="8"/>
        <v>10,</v>
      </c>
      <c r="T11" s="23" t="str">
        <f t="shared" si="1"/>
        <v>10,</v>
      </c>
      <c r="U11" s="24">
        <f t="shared" si="9"/>
        <v>11</v>
      </c>
    </row>
    <row r="12" spans="1:21" x14ac:dyDescent="0.25">
      <c r="A12" s="3">
        <v>11</v>
      </c>
      <c r="B12" s="3">
        <v>11</v>
      </c>
      <c r="C12" s="3">
        <v>12</v>
      </c>
      <c r="D12" s="2">
        <f t="shared" si="0"/>
        <v>10985</v>
      </c>
      <c r="E12" s="2">
        <f t="shared" si="2"/>
        <v>5492.5</v>
      </c>
      <c r="F12" s="2">
        <v>2380</v>
      </c>
      <c r="G12" s="2">
        <f t="shared" si="3"/>
        <v>991.66666666666674</v>
      </c>
      <c r="H12" s="4">
        <f>VLOOKUP(B12,nodes!A:D,2,0)</f>
        <v>300</v>
      </c>
      <c r="I12" s="4">
        <f>VLOOKUP(B12,nodes!A:D,4,0)</f>
        <v>300</v>
      </c>
      <c r="J12" s="4">
        <f>VLOOKUP(C12,nodes!A:D,2,0)</f>
        <v>330</v>
      </c>
      <c r="K12" s="4">
        <f>VLOOKUP(C12,nodes!A:D,4,0)</f>
        <v>300</v>
      </c>
      <c r="L12" s="4">
        <f t="shared" si="4"/>
        <v>30</v>
      </c>
      <c r="N12" s="12">
        <f t="shared" si="5"/>
        <v>7437500</v>
      </c>
      <c r="O12" s="12">
        <f t="shared" si="6"/>
        <v>42840000</v>
      </c>
      <c r="P12" s="12">
        <f t="shared" si="7"/>
        <v>11900</v>
      </c>
      <c r="R12" s="23" t="s">
        <v>39</v>
      </c>
      <c r="S12" s="23" t="str">
        <f t="shared" si="8"/>
        <v>11,</v>
      </c>
      <c r="T12" s="23" t="str">
        <f t="shared" si="1"/>
        <v>11,</v>
      </c>
      <c r="U12" s="24">
        <f t="shared" si="9"/>
        <v>12</v>
      </c>
    </row>
    <row r="13" spans="1:21" x14ac:dyDescent="0.25">
      <c r="A13" s="3">
        <v>12</v>
      </c>
      <c r="B13" s="3">
        <v>12</v>
      </c>
      <c r="C13" s="3">
        <v>13</v>
      </c>
      <c r="D13" s="2">
        <f t="shared" si="0"/>
        <v>10985</v>
      </c>
      <c r="E13" s="2">
        <f t="shared" si="2"/>
        <v>5492.5</v>
      </c>
      <c r="F13" s="2">
        <v>2380</v>
      </c>
      <c r="G13" s="2">
        <f t="shared" si="3"/>
        <v>991.66666666666674</v>
      </c>
      <c r="H13" s="4">
        <f>VLOOKUP(B13,nodes!A:D,2,0)</f>
        <v>330</v>
      </c>
      <c r="I13" s="4">
        <f>VLOOKUP(B13,nodes!A:D,4,0)</f>
        <v>300</v>
      </c>
      <c r="J13" s="4">
        <f>VLOOKUP(C13,nodes!A:D,2,0)</f>
        <v>360</v>
      </c>
      <c r="K13" s="4">
        <f>VLOOKUP(C13,nodes!A:D,4,0)</f>
        <v>300</v>
      </c>
      <c r="L13" s="4">
        <f t="shared" si="4"/>
        <v>30</v>
      </c>
      <c r="N13" s="12">
        <f t="shared" si="5"/>
        <v>7437500</v>
      </c>
      <c r="O13" s="12">
        <f t="shared" si="6"/>
        <v>42840000</v>
      </c>
      <c r="P13" s="12">
        <f t="shared" si="7"/>
        <v>11900</v>
      </c>
      <c r="R13" s="23" t="s">
        <v>39</v>
      </c>
      <c r="S13" s="23" t="str">
        <f t="shared" si="8"/>
        <v>12,</v>
      </c>
      <c r="T13" s="23" t="str">
        <f t="shared" si="1"/>
        <v>12,</v>
      </c>
      <c r="U13" s="24">
        <f t="shared" si="9"/>
        <v>13</v>
      </c>
    </row>
    <row r="14" spans="1:21" x14ac:dyDescent="0.25">
      <c r="A14" s="3">
        <v>13</v>
      </c>
      <c r="B14" s="3">
        <v>13</v>
      </c>
      <c r="C14" s="3">
        <v>14</v>
      </c>
      <c r="D14" s="2">
        <f t="shared" si="0"/>
        <v>10985</v>
      </c>
      <c r="E14" s="2">
        <f t="shared" si="2"/>
        <v>5492.5</v>
      </c>
      <c r="F14" s="2">
        <v>2380</v>
      </c>
      <c r="G14" s="2">
        <f t="shared" si="3"/>
        <v>991.66666666666674</v>
      </c>
      <c r="H14" s="4">
        <f>VLOOKUP(B14,nodes!A:D,2,0)</f>
        <v>360</v>
      </c>
      <c r="I14" s="4">
        <f>VLOOKUP(B14,nodes!A:D,4,0)</f>
        <v>300</v>
      </c>
      <c r="J14" s="4">
        <f>VLOOKUP(C14,nodes!A:D,2,0)</f>
        <v>390</v>
      </c>
      <c r="K14" s="4">
        <f>VLOOKUP(C14,nodes!A:D,4,0)</f>
        <v>300</v>
      </c>
      <c r="L14" s="4">
        <f t="shared" si="4"/>
        <v>30</v>
      </c>
      <c r="N14" s="12">
        <f t="shared" si="5"/>
        <v>7437500</v>
      </c>
      <c r="O14" s="12">
        <f t="shared" si="6"/>
        <v>42840000</v>
      </c>
      <c r="P14" s="12">
        <f t="shared" si="7"/>
        <v>11900</v>
      </c>
      <c r="R14" s="23" t="s">
        <v>39</v>
      </c>
      <c r="S14" s="23" t="str">
        <f t="shared" si="8"/>
        <v>13,</v>
      </c>
      <c r="T14" s="23" t="str">
        <f t="shared" si="1"/>
        <v>13,</v>
      </c>
      <c r="U14" s="24">
        <f t="shared" si="9"/>
        <v>14</v>
      </c>
    </row>
    <row r="15" spans="1:21" x14ac:dyDescent="0.25">
      <c r="A15" s="3">
        <v>14</v>
      </c>
      <c r="B15" s="3">
        <v>14</v>
      </c>
      <c r="C15" s="3">
        <v>15</v>
      </c>
      <c r="D15" s="2">
        <f t="shared" si="0"/>
        <v>10985</v>
      </c>
      <c r="E15" s="2">
        <f t="shared" si="2"/>
        <v>5492.5</v>
      </c>
      <c r="F15" s="2">
        <v>2380</v>
      </c>
      <c r="G15" s="2">
        <f t="shared" si="3"/>
        <v>991.66666666666674</v>
      </c>
      <c r="H15" s="4">
        <f>VLOOKUP(B15,nodes!A:D,2,0)</f>
        <v>390</v>
      </c>
      <c r="I15" s="4">
        <f>VLOOKUP(B15,nodes!A:D,4,0)</f>
        <v>300</v>
      </c>
      <c r="J15" s="4">
        <f>VLOOKUP(C15,nodes!A:D,2,0)</f>
        <v>420</v>
      </c>
      <c r="K15" s="4">
        <f>VLOOKUP(C15,nodes!A:D,4,0)</f>
        <v>300</v>
      </c>
      <c r="L15" s="4">
        <f t="shared" si="4"/>
        <v>30</v>
      </c>
      <c r="N15" s="12">
        <f t="shared" si="5"/>
        <v>7437500</v>
      </c>
      <c r="O15" s="12">
        <f t="shared" si="6"/>
        <v>42840000</v>
      </c>
      <c r="P15" s="12">
        <f t="shared" si="7"/>
        <v>11900</v>
      </c>
      <c r="R15" s="23" t="s">
        <v>39</v>
      </c>
      <c r="S15" s="23" t="str">
        <f t="shared" si="8"/>
        <v>14,</v>
      </c>
      <c r="T15" s="23" t="str">
        <f t="shared" si="1"/>
        <v>14,</v>
      </c>
      <c r="U15" s="24">
        <f t="shared" si="9"/>
        <v>15</v>
      </c>
    </row>
    <row r="16" spans="1:21" x14ac:dyDescent="0.25">
      <c r="A16" s="3">
        <v>15</v>
      </c>
      <c r="B16" s="3">
        <v>15</v>
      </c>
      <c r="C16" s="3">
        <v>16</v>
      </c>
      <c r="D16" s="2">
        <f t="shared" si="0"/>
        <v>10985</v>
      </c>
      <c r="E16" s="2">
        <f t="shared" si="2"/>
        <v>5492.5</v>
      </c>
      <c r="F16" s="2">
        <v>2380</v>
      </c>
      <c r="G16" s="2">
        <f t="shared" si="3"/>
        <v>991.66666666666674</v>
      </c>
      <c r="H16" s="4">
        <f>VLOOKUP(B16,nodes!A:D,2,0)</f>
        <v>420</v>
      </c>
      <c r="I16" s="4">
        <f>VLOOKUP(B16,nodes!A:D,4,0)</f>
        <v>300</v>
      </c>
      <c r="J16" s="4">
        <f>VLOOKUP(C16,nodes!A:D,2,0)</f>
        <v>450</v>
      </c>
      <c r="K16" s="4">
        <f>VLOOKUP(C16,nodes!A:D,4,0)</f>
        <v>300</v>
      </c>
      <c r="L16" s="4">
        <f t="shared" si="4"/>
        <v>30</v>
      </c>
      <c r="N16" s="12">
        <f t="shared" si="5"/>
        <v>7437500</v>
      </c>
      <c r="O16" s="12">
        <f t="shared" si="6"/>
        <v>42840000</v>
      </c>
      <c r="P16" s="12">
        <f t="shared" si="7"/>
        <v>11900</v>
      </c>
      <c r="R16" s="23" t="s">
        <v>39</v>
      </c>
      <c r="S16" s="23" t="str">
        <f t="shared" si="8"/>
        <v>15,</v>
      </c>
      <c r="T16" s="23" t="str">
        <f t="shared" si="1"/>
        <v>15,</v>
      </c>
      <c r="U16" s="24">
        <f t="shared" si="9"/>
        <v>16</v>
      </c>
    </row>
    <row r="17" spans="1:21" x14ac:dyDescent="0.25">
      <c r="A17" s="3">
        <v>16</v>
      </c>
      <c r="B17" s="3">
        <v>16</v>
      </c>
      <c r="C17" s="3">
        <v>17</v>
      </c>
      <c r="D17" s="2">
        <f t="shared" si="0"/>
        <v>10985</v>
      </c>
      <c r="E17" s="2">
        <f t="shared" si="2"/>
        <v>5492.5</v>
      </c>
      <c r="F17" s="2">
        <v>2380</v>
      </c>
      <c r="G17" s="2">
        <f t="shared" si="3"/>
        <v>991.66666666666674</v>
      </c>
      <c r="H17" s="4">
        <f>VLOOKUP(B17,nodes!A:D,2,0)</f>
        <v>450</v>
      </c>
      <c r="I17" s="4">
        <f>VLOOKUP(B17,nodes!A:D,4,0)</f>
        <v>300</v>
      </c>
      <c r="J17" s="4">
        <f>VLOOKUP(C17,nodes!A:D,2,0)</f>
        <v>480</v>
      </c>
      <c r="K17" s="4">
        <f>VLOOKUP(C17,nodes!A:D,4,0)</f>
        <v>300</v>
      </c>
      <c r="L17" s="4">
        <f t="shared" si="4"/>
        <v>30</v>
      </c>
      <c r="N17" s="12">
        <f t="shared" si="5"/>
        <v>7437500</v>
      </c>
      <c r="O17" s="12">
        <f t="shared" si="6"/>
        <v>42840000</v>
      </c>
      <c r="P17" s="12">
        <f t="shared" si="7"/>
        <v>11900</v>
      </c>
      <c r="R17" s="23" t="s">
        <v>39</v>
      </c>
      <c r="S17" s="23" t="str">
        <f t="shared" si="8"/>
        <v>16,</v>
      </c>
      <c r="T17" s="23" t="str">
        <f t="shared" si="1"/>
        <v>16,</v>
      </c>
      <c r="U17" s="24">
        <f t="shared" si="9"/>
        <v>17</v>
      </c>
    </row>
    <row r="18" spans="1:21" x14ac:dyDescent="0.25">
      <c r="A18" s="3">
        <v>17</v>
      </c>
      <c r="B18" s="3">
        <v>17</v>
      </c>
      <c r="C18" s="3">
        <v>18</v>
      </c>
      <c r="D18" s="2">
        <f t="shared" si="0"/>
        <v>10985</v>
      </c>
      <c r="E18" s="2">
        <f t="shared" si="2"/>
        <v>5492.5</v>
      </c>
      <c r="F18" s="2">
        <v>2380</v>
      </c>
      <c r="G18" s="2">
        <f t="shared" si="3"/>
        <v>991.66666666666674</v>
      </c>
      <c r="H18" s="4">
        <f>VLOOKUP(B18,nodes!A:D,2,0)</f>
        <v>480</v>
      </c>
      <c r="I18" s="4">
        <f>VLOOKUP(B18,nodes!A:D,4,0)</f>
        <v>300</v>
      </c>
      <c r="J18" s="4">
        <f>VLOOKUP(C18,nodes!A:D,2,0)</f>
        <v>509.99999999999994</v>
      </c>
      <c r="K18" s="4">
        <f>VLOOKUP(C18,nodes!A:D,4,0)</f>
        <v>300</v>
      </c>
      <c r="L18" s="4">
        <f t="shared" si="4"/>
        <v>29.999999999999943</v>
      </c>
      <c r="N18" s="12">
        <f t="shared" si="5"/>
        <v>7437500</v>
      </c>
      <c r="O18" s="12">
        <f t="shared" si="6"/>
        <v>42840000</v>
      </c>
      <c r="P18" s="12">
        <f t="shared" si="7"/>
        <v>11900</v>
      </c>
      <c r="R18" s="23" t="s">
        <v>39</v>
      </c>
      <c r="S18" s="23" t="str">
        <f t="shared" si="8"/>
        <v>17,</v>
      </c>
      <c r="T18" s="23" t="str">
        <f t="shared" si="1"/>
        <v>17,</v>
      </c>
      <c r="U18" s="24">
        <f t="shared" si="9"/>
        <v>18</v>
      </c>
    </row>
    <row r="19" spans="1:21" x14ac:dyDescent="0.25">
      <c r="A19" s="3">
        <v>18</v>
      </c>
      <c r="B19" s="3">
        <v>18</v>
      </c>
      <c r="C19" s="3">
        <v>19</v>
      </c>
      <c r="D19" s="2">
        <f t="shared" si="0"/>
        <v>10985</v>
      </c>
      <c r="E19" s="2">
        <f t="shared" si="2"/>
        <v>5492.5</v>
      </c>
      <c r="F19" s="2">
        <v>2380</v>
      </c>
      <c r="G19" s="2">
        <f t="shared" si="3"/>
        <v>991.66666666666674</v>
      </c>
      <c r="H19" s="4">
        <f>VLOOKUP(B19,nodes!A:D,2,0)</f>
        <v>509.99999999999994</v>
      </c>
      <c r="I19" s="4">
        <f>VLOOKUP(B19,nodes!A:D,4,0)</f>
        <v>300</v>
      </c>
      <c r="J19" s="4">
        <f>VLOOKUP(C19,nodes!A:D,2,0)</f>
        <v>540</v>
      </c>
      <c r="K19" s="4">
        <f>VLOOKUP(C19,nodes!A:D,4,0)</f>
        <v>300</v>
      </c>
      <c r="L19" s="4">
        <f t="shared" si="4"/>
        <v>30.000000000000057</v>
      </c>
      <c r="N19" s="12">
        <f t="shared" si="5"/>
        <v>7437500</v>
      </c>
      <c r="O19" s="12">
        <f t="shared" si="6"/>
        <v>42840000</v>
      </c>
      <c r="P19" s="12">
        <f t="shared" si="7"/>
        <v>11900</v>
      </c>
      <c r="R19" s="23" t="s">
        <v>39</v>
      </c>
      <c r="S19" s="23" t="str">
        <f t="shared" si="8"/>
        <v>18,</v>
      </c>
      <c r="T19" s="23" t="str">
        <f t="shared" si="1"/>
        <v>18,</v>
      </c>
      <c r="U19" s="24">
        <f t="shared" si="9"/>
        <v>19</v>
      </c>
    </row>
    <row r="20" spans="1:21" x14ac:dyDescent="0.25">
      <c r="A20" s="3">
        <v>19</v>
      </c>
      <c r="B20" s="3">
        <v>19</v>
      </c>
      <c r="C20" s="3">
        <v>20</v>
      </c>
      <c r="D20" s="2">
        <f t="shared" si="0"/>
        <v>10985</v>
      </c>
      <c r="E20" s="2">
        <f t="shared" si="2"/>
        <v>5492.5</v>
      </c>
      <c r="F20" s="2">
        <v>2380</v>
      </c>
      <c r="G20" s="2">
        <f t="shared" si="3"/>
        <v>991.66666666666674</v>
      </c>
      <c r="H20" s="4">
        <f>VLOOKUP(B20,nodes!A:D,2,0)</f>
        <v>540</v>
      </c>
      <c r="I20" s="4">
        <f>VLOOKUP(B20,nodes!A:D,4,0)</f>
        <v>300</v>
      </c>
      <c r="J20" s="4">
        <f>VLOOKUP(C20,nodes!A:D,2,0)</f>
        <v>570</v>
      </c>
      <c r="K20" s="4">
        <f>VLOOKUP(C20,nodes!A:D,4,0)</f>
        <v>300</v>
      </c>
      <c r="L20" s="4">
        <f t="shared" si="4"/>
        <v>30</v>
      </c>
      <c r="N20" s="12">
        <f t="shared" si="5"/>
        <v>7437500</v>
      </c>
      <c r="O20" s="12">
        <f t="shared" si="6"/>
        <v>42840000</v>
      </c>
      <c r="P20" s="12">
        <f t="shared" si="7"/>
        <v>11900</v>
      </c>
      <c r="R20" s="23" t="s">
        <v>39</v>
      </c>
      <c r="S20" s="23" t="str">
        <f t="shared" si="8"/>
        <v>19,</v>
      </c>
      <c r="T20" s="23" t="str">
        <f t="shared" si="1"/>
        <v>19,</v>
      </c>
      <c r="U20" s="24">
        <f t="shared" si="9"/>
        <v>20</v>
      </c>
    </row>
    <row r="21" spans="1:21" x14ac:dyDescent="0.25">
      <c r="A21" s="3">
        <v>20</v>
      </c>
      <c r="B21" s="3">
        <v>20</v>
      </c>
      <c r="C21" s="3">
        <v>21</v>
      </c>
      <c r="D21" s="2">
        <f t="shared" si="0"/>
        <v>10985</v>
      </c>
      <c r="E21" s="2">
        <f t="shared" si="2"/>
        <v>5492.5</v>
      </c>
      <c r="F21" s="2">
        <v>2380</v>
      </c>
      <c r="G21" s="2">
        <f t="shared" si="3"/>
        <v>991.66666666666674</v>
      </c>
      <c r="H21" s="4">
        <f>VLOOKUP(B21,nodes!A:D,2,0)</f>
        <v>570</v>
      </c>
      <c r="I21" s="4">
        <f>VLOOKUP(B21,nodes!A:D,4,0)</f>
        <v>300</v>
      </c>
      <c r="J21" s="4">
        <f>VLOOKUP(C21,nodes!A:D,2,0)</f>
        <v>600</v>
      </c>
      <c r="K21" s="4">
        <f>VLOOKUP(C21,nodes!A:D,4,0)</f>
        <v>300</v>
      </c>
      <c r="L21" s="4">
        <f t="shared" si="4"/>
        <v>30</v>
      </c>
      <c r="N21" s="12">
        <f t="shared" si="5"/>
        <v>7437500</v>
      </c>
      <c r="O21" s="12">
        <f t="shared" si="6"/>
        <v>42840000</v>
      </c>
      <c r="P21" s="12">
        <f t="shared" si="7"/>
        <v>11900</v>
      </c>
      <c r="R21" s="23" t="s">
        <v>39</v>
      </c>
      <c r="S21" s="23" t="str">
        <f t="shared" si="8"/>
        <v>20,</v>
      </c>
      <c r="T21" s="23" t="str">
        <f t="shared" si="1"/>
        <v>20,</v>
      </c>
      <c r="U21" s="24">
        <f t="shared" si="9"/>
        <v>21</v>
      </c>
    </row>
    <row r="22" spans="1:21" x14ac:dyDescent="0.25">
      <c r="A22" s="3">
        <v>21</v>
      </c>
      <c r="B22" s="3">
        <v>22</v>
      </c>
      <c r="C22" s="3">
        <v>23</v>
      </c>
      <c r="D22" s="2">
        <f t="shared" si="0"/>
        <v>10985</v>
      </c>
      <c r="E22" s="2">
        <f t="shared" si="2"/>
        <v>5492.5</v>
      </c>
      <c r="F22" s="2">
        <v>2380</v>
      </c>
      <c r="G22" s="2">
        <f t="shared" si="3"/>
        <v>991.66666666666674</v>
      </c>
      <c r="H22" s="4">
        <f>VLOOKUP(B22,nodes!A:D,2,0)</f>
        <v>0</v>
      </c>
      <c r="I22" s="4">
        <f>VLOOKUP(B22,nodes!A:D,4,0)</f>
        <v>270</v>
      </c>
      <c r="J22" s="4">
        <f>VLOOKUP(C22,nodes!A:D,2,0)</f>
        <v>30</v>
      </c>
      <c r="K22" s="4">
        <f>VLOOKUP(C22,nodes!A:D,4,0)</f>
        <v>270</v>
      </c>
      <c r="L22" s="4">
        <f t="shared" si="4"/>
        <v>30</v>
      </c>
      <c r="N22" s="12">
        <f t="shared" si="5"/>
        <v>7437500</v>
      </c>
      <c r="O22" s="12">
        <f t="shared" si="6"/>
        <v>42840000</v>
      </c>
      <c r="P22" s="12">
        <f t="shared" si="7"/>
        <v>11900</v>
      </c>
      <c r="R22" s="23" t="s">
        <v>39</v>
      </c>
      <c r="S22" s="23" t="str">
        <f t="shared" si="8"/>
        <v>21,</v>
      </c>
      <c r="T22" s="23" t="str">
        <f t="shared" si="1"/>
        <v>22,</v>
      </c>
      <c r="U22" s="24">
        <f t="shared" si="9"/>
        <v>23</v>
      </c>
    </row>
    <row r="23" spans="1:21" x14ac:dyDescent="0.25">
      <c r="A23" s="3">
        <v>22</v>
      </c>
      <c r="B23" s="3">
        <v>23</v>
      </c>
      <c r="C23" s="3">
        <v>24</v>
      </c>
      <c r="D23" s="2">
        <f t="shared" si="0"/>
        <v>10985</v>
      </c>
      <c r="E23" s="2">
        <f t="shared" si="2"/>
        <v>5492.5</v>
      </c>
      <c r="F23" s="2">
        <v>2380</v>
      </c>
      <c r="G23" s="2">
        <f t="shared" si="3"/>
        <v>991.66666666666674</v>
      </c>
      <c r="H23" s="4">
        <f>VLOOKUP(B23,nodes!A:D,2,0)</f>
        <v>30</v>
      </c>
      <c r="I23" s="4">
        <f>VLOOKUP(B23,nodes!A:D,4,0)</f>
        <v>270</v>
      </c>
      <c r="J23" s="4">
        <f>VLOOKUP(C23,nodes!A:D,2,0)</f>
        <v>60</v>
      </c>
      <c r="K23" s="4">
        <f>VLOOKUP(C23,nodes!A:D,4,0)</f>
        <v>270</v>
      </c>
      <c r="L23" s="4">
        <f t="shared" si="4"/>
        <v>30</v>
      </c>
      <c r="N23" s="12">
        <f t="shared" si="5"/>
        <v>7437500</v>
      </c>
      <c r="O23" s="12">
        <f t="shared" si="6"/>
        <v>42840000</v>
      </c>
      <c r="P23" s="12">
        <f t="shared" si="7"/>
        <v>11900</v>
      </c>
      <c r="R23" s="23" t="s">
        <v>39</v>
      </c>
      <c r="S23" s="23" t="str">
        <f t="shared" si="8"/>
        <v>22,</v>
      </c>
      <c r="T23" s="23" t="str">
        <f t="shared" si="1"/>
        <v>23,</v>
      </c>
      <c r="U23" s="24">
        <f t="shared" si="9"/>
        <v>24</v>
      </c>
    </row>
    <row r="24" spans="1:21" x14ac:dyDescent="0.25">
      <c r="A24" s="3">
        <v>23</v>
      </c>
      <c r="B24" s="3">
        <v>24</v>
      </c>
      <c r="C24" s="3">
        <v>25</v>
      </c>
      <c r="D24" s="2">
        <f t="shared" si="0"/>
        <v>10985</v>
      </c>
      <c r="E24" s="2">
        <f t="shared" si="2"/>
        <v>5492.5</v>
      </c>
      <c r="F24" s="2">
        <v>2380</v>
      </c>
      <c r="G24" s="2">
        <f t="shared" si="3"/>
        <v>991.66666666666674</v>
      </c>
      <c r="H24" s="4">
        <f>VLOOKUP(B24,nodes!A:D,2,0)</f>
        <v>60</v>
      </c>
      <c r="I24" s="4">
        <f>VLOOKUP(B24,nodes!A:D,4,0)</f>
        <v>270</v>
      </c>
      <c r="J24" s="4">
        <f>VLOOKUP(C24,nodes!A:D,2,0)</f>
        <v>90</v>
      </c>
      <c r="K24" s="4">
        <f>VLOOKUP(C24,nodes!A:D,4,0)</f>
        <v>270</v>
      </c>
      <c r="L24" s="4">
        <f t="shared" si="4"/>
        <v>30</v>
      </c>
      <c r="N24" s="12">
        <f t="shared" si="5"/>
        <v>7437500</v>
      </c>
      <c r="O24" s="12">
        <f t="shared" si="6"/>
        <v>42840000</v>
      </c>
      <c r="P24" s="12">
        <f t="shared" si="7"/>
        <v>11900</v>
      </c>
      <c r="R24" s="23" t="s">
        <v>39</v>
      </c>
      <c r="S24" s="23" t="str">
        <f t="shared" si="8"/>
        <v>23,</v>
      </c>
      <c r="T24" s="23" t="str">
        <f t="shared" si="1"/>
        <v>24,</v>
      </c>
      <c r="U24" s="24">
        <f t="shared" si="9"/>
        <v>25</v>
      </c>
    </row>
    <row r="25" spans="1:21" x14ac:dyDescent="0.25">
      <c r="A25" s="3">
        <v>24</v>
      </c>
      <c r="B25" s="3">
        <v>25</v>
      </c>
      <c r="C25" s="3">
        <v>26</v>
      </c>
      <c r="D25" s="2">
        <f t="shared" si="0"/>
        <v>10985</v>
      </c>
      <c r="E25" s="2">
        <f t="shared" si="2"/>
        <v>5492.5</v>
      </c>
      <c r="F25" s="2">
        <v>2380</v>
      </c>
      <c r="G25" s="2">
        <f t="shared" si="3"/>
        <v>991.66666666666674</v>
      </c>
      <c r="H25" s="4">
        <f>VLOOKUP(B25,nodes!A:D,2,0)</f>
        <v>90</v>
      </c>
      <c r="I25" s="4">
        <f>VLOOKUP(B25,nodes!A:D,4,0)</f>
        <v>270</v>
      </c>
      <c r="J25" s="4">
        <f>VLOOKUP(C25,nodes!A:D,2,0)</f>
        <v>120</v>
      </c>
      <c r="K25" s="4">
        <f>VLOOKUP(C25,nodes!A:D,4,0)</f>
        <v>270</v>
      </c>
      <c r="L25" s="4">
        <f t="shared" si="4"/>
        <v>30</v>
      </c>
      <c r="N25" s="12">
        <f t="shared" si="5"/>
        <v>7437500</v>
      </c>
      <c r="O25" s="12">
        <f t="shared" si="6"/>
        <v>42840000</v>
      </c>
      <c r="P25" s="12">
        <f t="shared" si="7"/>
        <v>11900</v>
      </c>
      <c r="R25" s="23" t="s">
        <v>39</v>
      </c>
      <c r="S25" s="23" t="str">
        <f t="shared" si="8"/>
        <v>24,</v>
      </c>
      <c r="T25" s="23" t="str">
        <f t="shared" si="1"/>
        <v>25,</v>
      </c>
      <c r="U25" s="24">
        <f t="shared" si="9"/>
        <v>26</v>
      </c>
    </row>
    <row r="26" spans="1:21" x14ac:dyDescent="0.25">
      <c r="A26" s="3">
        <v>25</v>
      </c>
      <c r="B26" s="3">
        <v>26</v>
      </c>
      <c r="C26" s="3">
        <v>27</v>
      </c>
      <c r="D26" s="2">
        <f t="shared" si="0"/>
        <v>10985</v>
      </c>
      <c r="E26" s="2">
        <f t="shared" si="2"/>
        <v>5492.5</v>
      </c>
      <c r="F26" s="2">
        <v>2380</v>
      </c>
      <c r="G26" s="2">
        <f t="shared" si="3"/>
        <v>991.66666666666674</v>
      </c>
      <c r="H26" s="4">
        <f>VLOOKUP(B26,nodes!A:D,2,0)</f>
        <v>120</v>
      </c>
      <c r="I26" s="4">
        <f>VLOOKUP(B26,nodes!A:D,4,0)</f>
        <v>270</v>
      </c>
      <c r="J26" s="4">
        <f>VLOOKUP(C26,nodes!A:D,2,0)</f>
        <v>150</v>
      </c>
      <c r="K26" s="4">
        <f>VLOOKUP(C26,nodes!A:D,4,0)</f>
        <v>270</v>
      </c>
      <c r="L26" s="4">
        <f t="shared" si="4"/>
        <v>30</v>
      </c>
      <c r="N26" s="12">
        <f t="shared" si="5"/>
        <v>7437500</v>
      </c>
      <c r="O26" s="12">
        <f t="shared" si="6"/>
        <v>42840000</v>
      </c>
      <c r="P26" s="12">
        <f t="shared" si="7"/>
        <v>11900</v>
      </c>
      <c r="R26" s="23" t="s">
        <v>39</v>
      </c>
      <c r="S26" s="23" t="str">
        <f t="shared" si="8"/>
        <v>25,</v>
      </c>
      <c r="T26" s="23" t="str">
        <f t="shared" si="1"/>
        <v>26,</v>
      </c>
      <c r="U26" s="24">
        <f t="shared" si="9"/>
        <v>27</v>
      </c>
    </row>
    <row r="27" spans="1:21" x14ac:dyDescent="0.25">
      <c r="A27" s="3">
        <v>26</v>
      </c>
      <c r="B27" s="3">
        <v>27</v>
      </c>
      <c r="C27" s="3">
        <v>28</v>
      </c>
      <c r="D27" s="2">
        <f t="shared" si="0"/>
        <v>10985</v>
      </c>
      <c r="E27" s="2">
        <f t="shared" si="2"/>
        <v>5492.5</v>
      </c>
      <c r="F27" s="2">
        <v>2380</v>
      </c>
      <c r="G27" s="2">
        <f t="shared" si="3"/>
        <v>991.66666666666674</v>
      </c>
      <c r="H27" s="4">
        <f>VLOOKUP(B27,nodes!A:D,2,0)</f>
        <v>150</v>
      </c>
      <c r="I27" s="4">
        <f>VLOOKUP(B27,nodes!A:D,4,0)</f>
        <v>270</v>
      </c>
      <c r="J27" s="4">
        <f>VLOOKUP(C27,nodes!A:D,2,0)</f>
        <v>180</v>
      </c>
      <c r="K27" s="4">
        <f>VLOOKUP(C27,nodes!A:D,4,0)</f>
        <v>270</v>
      </c>
      <c r="L27" s="4">
        <f t="shared" si="4"/>
        <v>30</v>
      </c>
      <c r="N27" s="12">
        <f t="shared" si="5"/>
        <v>7437500</v>
      </c>
      <c r="O27" s="12">
        <f t="shared" si="6"/>
        <v>42840000</v>
      </c>
      <c r="P27" s="12">
        <f t="shared" si="7"/>
        <v>11900</v>
      </c>
      <c r="R27" s="23" t="s">
        <v>39</v>
      </c>
      <c r="S27" s="23" t="str">
        <f t="shared" si="8"/>
        <v>26,</v>
      </c>
      <c r="T27" s="23" t="str">
        <f t="shared" si="1"/>
        <v>27,</v>
      </c>
      <c r="U27" s="24">
        <f t="shared" si="9"/>
        <v>28</v>
      </c>
    </row>
    <row r="28" spans="1:21" x14ac:dyDescent="0.25">
      <c r="A28" s="3">
        <v>27</v>
      </c>
      <c r="B28" s="3">
        <v>28</v>
      </c>
      <c r="C28" s="3">
        <v>29</v>
      </c>
      <c r="D28" s="2">
        <f t="shared" si="0"/>
        <v>10985</v>
      </c>
      <c r="E28" s="2">
        <f t="shared" si="2"/>
        <v>5492.5</v>
      </c>
      <c r="F28" s="2">
        <v>2380</v>
      </c>
      <c r="G28" s="2">
        <f t="shared" si="3"/>
        <v>991.66666666666674</v>
      </c>
      <c r="H28" s="4">
        <f>VLOOKUP(B28,nodes!A:D,2,0)</f>
        <v>180</v>
      </c>
      <c r="I28" s="4">
        <f>VLOOKUP(B28,nodes!A:D,4,0)</f>
        <v>270</v>
      </c>
      <c r="J28" s="4">
        <f>VLOOKUP(C28,nodes!A:D,2,0)</f>
        <v>210</v>
      </c>
      <c r="K28" s="4">
        <f>VLOOKUP(C28,nodes!A:D,4,0)</f>
        <v>270</v>
      </c>
      <c r="L28" s="4">
        <f t="shared" si="4"/>
        <v>30</v>
      </c>
      <c r="N28" s="12">
        <f t="shared" si="5"/>
        <v>7437500</v>
      </c>
      <c r="O28" s="12">
        <f t="shared" si="6"/>
        <v>42840000</v>
      </c>
      <c r="P28" s="12">
        <f t="shared" si="7"/>
        <v>11900</v>
      </c>
      <c r="R28" s="23" t="s">
        <v>39</v>
      </c>
      <c r="S28" s="23" t="str">
        <f t="shared" si="8"/>
        <v>27,</v>
      </c>
      <c r="T28" s="23" t="str">
        <f t="shared" si="1"/>
        <v>28,</v>
      </c>
      <c r="U28" s="24">
        <f t="shared" si="9"/>
        <v>29</v>
      </c>
    </row>
    <row r="29" spans="1:21" x14ac:dyDescent="0.25">
      <c r="A29" s="3">
        <v>28</v>
      </c>
      <c r="B29" s="3">
        <v>29</v>
      </c>
      <c r="C29" s="3">
        <v>30</v>
      </c>
      <c r="D29" s="2">
        <f t="shared" si="0"/>
        <v>10985</v>
      </c>
      <c r="E29" s="2">
        <f t="shared" si="2"/>
        <v>5492.5</v>
      </c>
      <c r="F29" s="2">
        <v>2380</v>
      </c>
      <c r="G29" s="2">
        <f t="shared" si="3"/>
        <v>991.66666666666674</v>
      </c>
      <c r="H29" s="4">
        <f>VLOOKUP(B29,nodes!A:D,2,0)</f>
        <v>210</v>
      </c>
      <c r="I29" s="4">
        <f>VLOOKUP(B29,nodes!A:D,4,0)</f>
        <v>270</v>
      </c>
      <c r="J29" s="4">
        <f>VLOOKUP(C29,nodes!A:D,2,0)</f>
        <v>240</v>
      </c>
      <c r="K29" s="4">
        <f>VLOOKUP(C29,nodes!A:D,4,0)</f>
        <v>270</v>
      </c>
      <c r="L29" s="4">
        <f t="shared" si="4"/>
        <v>30</v>
      </c>
      <c r="N29" s="12">
        <f t="shared" si="5"/>
        <v>7437500</v>
      </c>
      <c r="O29" s="12">
        <f t="shared" si="6"/>
        <v>42840000</v>
      </c>
      <c r="P29" s="12">
        <f t="shared" si="7"/>
        <v>11900</v>
      </c>
      <c r="R29" s="23" t="s">
        <v>39</v>
      </c>
      <c r="S29" s="23" t="str">
        <f t="shared" si="8"/>
        <v>28,</v>
      </c>
      <c r="T29" s="23" t="str">
        <f t="shared" si="1"/>
        <v>29,</v>
      </c>
      <c r="U29" s="24">
        <f t="shared" si="9"/>
        <v>30</v>
      </c>
    </row>
    <row r="30" spans="1:21" x14ac:dyDescent="0.25">
      <c r="A30" s="3">
        <v>29</v>
      </c>
      <c r="B30" s="3">
        <v>30</v>
      </c>
      <c r="C30" s="3">
        <v>31</v>
      </c>
      <c r="D30" s="2">
        <f t="shared" si="0"/>
        <v>10985</v>
      </c>
      <c r="E30" s="2">
        <f t="shared" si="2"/>
        <v>5492.5</v>
      </c>
      <c r="F30" s="2">
        <v>2380</v>
      </c>
      <c r="G30" s="2">
        <f t="shared" si="3"/>
        <v>991.66666666666674</v>
      </c>
      <c r="H30" s="4">
        <f>VLOOKUP(B30,nodes!A:D,2,0)</f>
        <v>240</v>
      </c>
      <c r="I30" s="4">
        <f>VLOOKUP(B30,nodes!A:D,4,0)</f>
        <v>270</v>
      </c>
      <c r="J30" s="4">
        <f>VLOOKUP(C30,nodes!A:D,2,0)</f>
        <v>270</v>
      </c>
      <c r="K30" s="4">
        <f>VLOOKUP(C30,nodes!A:D,4,0)</f>
        <v>270</v>
      </c>
      <c r="L30" s="4">
        <f t="shared" si="4"/>
        <v>30</v>
      </c>
      <c r="N30" s="12">
        <f t="shared" si="5"/>
        <v>7437500</v>
      </c>
      <c r="O30" s="12">
        <f t="shared" si="6"/>
        <v>42840000</v>
      </c>
      <c r="P30" s="12">
        <f t="shared" si="7"/>
        <v>11900</v>
      </c>
      <c r="R30" s="23" t="s">
        <v>39</v>
      </c>
      <c r="S30" s="23" t="str">
        <f t="shared" si="8"/>
        <v>29,</v>
      </c>
      <c r="T30" s="23" t="str">
        <f t="shared" si="1"/>
        <v>30,</v>
      </c>
      <c r="U30" s="24">
        <f t="shared" si="9"/>
        <v>31</v>
      </c>
    </row>
    <row r="31" spans="1:21" x14ac:dyDescent="0.25">
      <c r="A31" s="3">
        <v>30</v>
      </c>
      <c r="B31" s="3">
        <v>31</v>
      </c>
      <c r="C31" s="3">
        <v>32</v>
      </c>
      <c r="D31" s="2">
        <f t="shared" si="0"/>
        <v>10985</v>
      </c>
      <c r="E31" s="2">
        <f t="shared" si="2"/>
        <v>5492.5</v>
      </c>
      <c r="F31" s="2">
        <v>2380</v>
      </c>
      <c r="G31" s="2">
        <f t="shared" si="3"/>
        <v>991.66666666666674</v>
      </c>
      <c r="H31" s="4">
        <f>VLOOKUP(B31,nodes!A:D,2,0)</f>
        <v>270</v>
      </c>
      <c r="I31" s="4">
        <f>VLOOKUP(B31,nodes!A:D,4,0)</f>
        <v>270</v>
      </c>
      <c r="J31" s="4">
        <f>VLOOKUP(C31,nodes!A:D,2,0)</f>
        <v>300</v>
      </c>
      <c r="K31" s="4">
        <f>VLOOKUP(C31,nodes!A:D,4,0)</f>
        <v>270</v>
      </c>
      <c r="L31" s="4">
        <f t="shared" si="4"/>
        <v>30</v>
      </c>
      <c r="N31" s="12">
        <f t="shared" si="5"/>
        <v>7437500</v>
      </c>
      <c r="O31" s="12">
        <f t="shared" si="6"/>
        <v>42840000</v>
      </c>
      <c r="P31" s="12">
        <f t="shared" si="7"/>
        <v>11900</v>
      </c>
      <c r="R31" s="23" t="s">
        <v>39</v>
      </c>
      <c r="S31" s="23" t="str">
        <f t="shared" si="8"/>
        <v>30,</v>
      </c>
      <c r="T31" s="23" t="str">
        <f t="shared" si="1"/>
        <v>31,</v>
      </c>
      <c r="U31" s="24">
        <f t="shared" si="9"/>
        <v>32</v>
      </c>
    </row>
    <row r="32" spans="1:21" x14ac:dyDescent="0.25">
      <c r="A32" s="3">
        <v>31</v>
      </c>
      <c r="B32" s="3">
        <v>32</v>
      </c>
      <c r="C32" s="3">
        <v>33</v>
      </c>
      <c r="D32" s="2">
        <f t="shared" si="0"/>
        <v>10985</v>
      </c>
      <c r="E32" s="2">
        <f t="shared" si="2"/>
        <v>5492.5</v>
      </c>
      <c r="F32" s="2">
        <v>2380</v>
      </c>
      <c r="G32" s="2">
        <f t="shared" si="3"/>
        <v>991.66666666666674</v>
      </c>
      <c r="H32" s="4">
        <f>VLOOKUP(B32,nodes!A:D,2,0)</f>
        <v>300</v>
      </c>
      <c r="I32" s="4">
        <f>VLOOKUP(B32,nodes!A:D,4,0)</f>
        <v>270</v>
      </c>
      <c r="J32" s="4">
        <f>VLOOKUP(C32,nodes!A:D,2,0)</f>
        <v>330</v>
      </c>
      <c r="K32" s="4">
        <f>VLOOKUP(C32,nodes!A:D,4,0)</f>
        <v>270</v>
      </c>
      <c r="L32" s="4">
        <f t="shared" si="4"/>
        <v>30</v>
      </c>
      <c r="N32" s="12">
        <f t="shared" si="5"/>
        <v>7437500</v>
      </c>
      <c r="O32" s="12">
        <f t="shared" si="6"/>
        <v>42840000</v>
      </c>
      <c r="P32" s="12">
        <f t="shared" si="7"/>
        <v>11900</v>
      </c>
      <c r="R32" s="23" t="s">
        <v>39</v>
      </c>
      <c r="S32" s="23" t="str">
        <f t="shared" si="8"/>
        <v>31,</v>
      </c>
      <c r="T32" s="23" t="str">
        <f t="shared" si="1"/>
        <v>32,</v>
      </c>
      <c r="U32" s="24">
        <f t="shared" si="9"/>
        <v>33</v>
      </c>
    </row>
    <row r="33" spans="1:21" x14ac:dyDescent="0.25">
      <c r="A33" s="3">
        <v>32</v>
      </c>
      <c r="B33" s="3">
        <v>33</v>
      </c>
      <c r="C33" s="3">
        <v>34</v>
      </c>
      <c r="D33" s="2">
        <f t="shared" si="0"/>
        <v>10985</v>
      </c>
      <c r="E33" s="2">
        <f t="shared" si="2"/>
        <v>5492.5</v>
      </c>
      <c r="F33" s="2">
        <v>2380</v>
      </c>
      <c r="G33" s="2">
        <f t="shared" si="3"/>
        <v>991.66666666666674</v>
      </c>
      <c r="H33" s="4">
        <f>VLOOKUP(B33,nodes!A:D,2,0)</f>
        <v>330</v>
      </c>
      <c r="I33" s="4">
        <f>VLOOKUP(B33,nodes!A:D,4,0)</f>
        <v>270</v>
      </c>
      <c r="J33" s="4">
        <f>VLOOKUP(C33,nodes!A:D,2,0)</f>
        <v>360</v>
      </c>
      <c r="K33" s="4">
        <f>VLOOKUP(C33,nodes!A:D,4,0)</f>
        <v>270</v>
      </c>
      <c r="L33" s="4">
        <f t="shared" si="4"/>
        <v>30</v>
      </c>
      <c r="N33" s="12">
        <f t="shared" si="5"/>
        <v>7437500</v>
      </c>
      <c r="O33" s="12">
        <f t="shared" si="6"/>
        <v>42840000</v>
      </c>
      <c r="P33" s="12">
        <f t="shared" si="7"/>
        <v>11900</v>
      </c>
      <c r="R33" s="23" t="s">
        <v>39</v>
      </c>
      <c r="S33" s="23" t="str">
        <f t="shared" si="8"/>
        <v>32,</v>
      </c>
      <c r="T33" s="23" t="str">
        <f t="shared" si="1"/>
        <v>33,</v>
      </c>
      <c r="U33" s="24">
        <f t="shared" si="9"/>
        <v>34</v>
      </c>
    </row>
    <row r="34" spans="1:21" x14ac:dyDescent="0.25">
      <c r="A34" s="3">
        <v>33</v>
      </c>
      <c r="B34" s="3">
        <v>34</v>
      </c>
      <c r="C34" s="3">
        <v>35</v>
      </c>
      <c r="D34" s="2">
        <f t="shared" si="0"/>
        <v>10985</v>
      </c>
      <c r="E34" s="2">
        <f t="shared" si="2"/>
        <v>5492.5</v>
      </c>
      <c r="F34" s="2">
        <v>2380</v>
      </c>
      <c r="G34" s="2">
        <f t="shared" si="3"/>
        <v>991.66666666666674</v>
      </c>
      <c r="H34" s="4">
        <f>VLOOKUP(B34,nodes!A:D,2,0)</f>
        <v>360</v>
      </c>
      <c r="I34" s="4">
        <f>VLOOKUP(B34,nodes!A:D,4,0)</f>
        <v>270</v>
      </c>
      <c r="J34" s="4">
        <f>VLOOKUP(C34,nodes!A:D,2,0)</f>
        <v>390</v>
      </c>
      <c r="K34" s="4">
        <f>VLOOKUP(C34,nodes!A:D,4,0)</f>
        <v>270</v>
      </c>
      <c r="L34" s="4">
        <f t="shared" si="4"/>
        <v>30</v>
      </c>
      <c r="N34" s="12">
        <f t="shared" si="5"/>
        <v>7437500</v>
      </c>
      <c r="O34" s="12">
        <f t="shared" si="6"/>
        <v>42840000</v>
      </c>
      <c r="P34" s="12">
        <f t="shared" si="7"/>
        <v>11900</v>
      </c>
      <c r="R34" s="23" t="s">
        <v>39</v>
      </c>
      <c r="S34" s="23" t="str">
        <f t="shared" si="8"/>
        <v>33,</v>
      </c>
      <c r="T34" s="23" t="str">
        <f t="shared" si="1"/>
        <v>34,</v>
      </c>
      <c r="U34" s="24">
        <f t="shared" si="9"/>
        <v>35</v>
      </c>
    </row>
    <row r="35" spans="1:21" x14ac:dyDescent="0.25">
      <c r="A35" s="3">
        <v>34</v>
      </c>
      <c r="B35" s="3">
        <v>35</v>
      </c>
      <c r="C35" s="3">
        <v>36</v>
      </c>
      <c r="D35" s="2">
        <f t="shared" si="0"/>
        <v>10985</v>
      </c>
      <c r="E35" s="2">
        <f t="shared" si="2"/>
        <v>5492.5</v>
      </c>
      <c r="F35" s="2">
        <v>2380</v>
      </c>
      <c r="G35" s="2">
        <f t="shared" si="3"/>
        <v>991.66666666666674</v>
      </c>
      <c r="H35" s="4">
        <f>VLOOKUP(B35,nodes!A:D,2,0)</f>
        <v>390</v>
      </c>
      <c r="I35" s="4">
        <f>VLOOKUP(B35,nodes!A:D,4,0)</f>
        <v>270</v>
      </c>
      <c r="J35" s="4">
        <f>VLOOKUP(C35,nodes!A:D,2,0)</f>
        <v>420</v>
      </c>
      <c r="K35" s="4">
        <f>VLOOKUP(C35,nodes!A:D,4,0)</f>
        <v>270</v>
      </c>
      <c r="L35" s="4">
        <f t="shared" si="4"/>
        <v>30</v>
      </c>
      <c r="N35" s="12">
        <f t="shared" si="5"/>
        <v>7437500</v>
      </c>
      <c r="O35" s="12">
        <f t="shared" si="6"/>
        <v>42840000</v>
      </c>
      <c r="P35" s="12">
        <f t="shared" si="7"/>
        <v>11900</v>
      </c>
      <c r="R35" s="23" t="s">
        <v>39</v>
      </c>
      <c r="S35" s="23" t="str">
        <f t="shared" si="8"/>
        <v>34,</v>
      </c>
      <c r="T35" s="23" t="str">
        <f t="shared" si="1"/>
        <v>35,</v>
      </c>
      <c r="U35" s="24">
        <f t="shared" si="9"/>
        <v>36</v>
      </c>
    </row>
    <row r="36" spans="1:21" x14ac:dyDescent="0.25">
      <c r="A36" s="3">
        <v>35</v>
      </c>
      <c r="B36" s="3">
        <v>36</v>
      </c>
      <c r="C36" s="3">
        <v>37</v>
      </c>
      <c r="D36" s="2">
        <f t="shared" si="0"/>
        <v>10985</v>
      </c>
      <c r="E36" s="2">
        <f t="shared" si="2"/>
        <v>5492.5</v>
      </c>
      <c r="F36" s="2">
        <v>2380</v>
      </c>
      <c r="G36" s="2">
        <f t="shared" si="3"/>
        <v>991.66666666666674</v>
      </c>
      <c r="H36" s="4">
        <f>VLOOKUP(B36,nodes!A:D,2,0)</f>
        <v>420</v>
      </c>
      <c r="I36" s="4">
        <f>VLOOKUP(B36,nodes!A:D,4,0)</f>
        <v>270</v>
      </c>
      <c r="J36" s="4">
        <f>VLOOKUP(C36,nodes!A:D,2,0)</f>
        <v>450</v>
      </c>
      <c r="K36" s="4">
        <f>VLOOKUP(C36,nodes!A:D,4,0)</f>
        <v>270</v>
      </c>
      <c r="L36" s="4">
        <f t="shared" si="4"/>
        <v>30</v>
      </c>
      <c r="N36" s="12">
        <f t="shared" si="5"/>
        <v>7437500</v>
      </c>
      <c r="O36" s="12">
        <f t="shared" si="6"/>
        <v>42840000</v>
      </c>
      <c r="P36" s="12">
        <f t="shared" si="7"/>
        <v>11900</v>
      </c>
      <c r="R36" s="23" t="s">
        <v>39</v>
      </c>
      <c r="S36" s="23" t="str">
        <f t="shared" si="8"/>
        <v>35,</v>
      </c>
      <c r="T36" s="23" t="str">
        <f t="shared" si="1"/>
        <v>36,</v>
      </c>
      <c r="U36" s="24">
        <f t="shared" si="9"/>
        <v>37</v>
      </c>
    </row>
    <row r="37" spans="1:21" x14ac:dyDescent="0.25">
      <c r="A37" s="3">
        <v>36</v>
      </c>
      <c r="B37" s="3">
        <v>37</v>
      </c>
      <c r="C37" s="3">
        <v>38</v>
      </c>
      <c r="D37" s="2">
        <f t="shared" si="0"/>
        <v>10985</v>
      </c>
      <c r="E37" s="2">
        <f t="shared" si="2"/>
        <v>5492.5</v>
      </c>
      <c r="F37" s="2">
        <v>2380</v>
      </c>
      <c r="G37" s="2">
        <f t="shared" si="3"/>
        <v>991.66666666666674</v>
      </c>
      <c r="H37" s="4">
        <f>VLOOKUP(B37,nodes!A:D,2,0)</f>
        <v>450</v>
      </c>
      <c r="I37" s="4">
        <f>VLOOKUP(B37,nodes!A:D,4,0)</f>
        <v>270</v>
      </c>
      <c r="J37" s="4">
        <f>VLOOKUP(C37,nodes!A:D,2,0)</f>
        <v>480</v>
      </c>
      <c r="K37" s="4">
        <f>VLOOKUP(C37,nodes!A:D,4,0)</f>
        <v>270</v>
      </c>
      <c r="L37" s="4">
        <f t="shared" si="4"/>
        <v>30</v>
      </c>
      <c r="N37" s="12">
        <f t="shared" si="5"/>
        <v>7437500</v>
      </c>
      <c r="O37" s="12">
        <f t="shared" si="6"/>
        <v>42840000</v>
      </c>
      <c r="P37" s="12">
        <f t="shared" si="7"/>
        <v>11900</v>
      </c>
      <c r="R37" s="23" t="s">
        <v>39</v>
      </c>
      <c r="S37" s="23" t="str">
        <f t="shared" si="8"/>
        <v>36,</v>
      </c>
      <c r="T37" s="23" t="str">
        <f t="shared" si="1"/>
        <v>37,</v>
      </c>
      <c r="U37" s="24">
        <f t="shared" si="9"/>
        <v>38</v>
      </c>
    </row>
    <row r="38" spans="1:21" x14ac:dyDescent="0.25">
      <c r="A38" s="3">
        <v>37</v>
      </c>
      <c r="B38" s="3">
        <v>38</v>
      </c>
      <c r="C38" s="3">
        <v>39</v>
      </c>
      <c r="D38" s="2">
        <f t="shared" si="0"/>
        <v>10985</v>
      </c>
      <c r="E38" s="2">
        <f t="shared" si="2"/>
        <v>5492.5</v>
      </c>
      <c r="F38" s="2">
        <v>2380</v>
      </c>
      <c r="G38" s="2">
        <f t="shared" si="3"/>
        <v>991.66666666666674</v>
      </c>
      <c r="H38" s="4">
        <f>VLOOKUP(B38,nodes!A:D,2,0)</f>
        <v>480</v>
      </c>
      <c r="I38" s="4">
        <f>VLOOKUP(B38,nodes!A:D,4,0)</f>
        <v>270</v>
      </c>
      <c r="J38" s="4">
        <f>VLOOKUP(C38,nodes!A:D,2,0)</f>
        <v>509.99999999999994</v>
      </c>
      <c r="K38" s="4">
        <f>VLOOKUP(C38,nodes!A:D,4,0)</f>
        <v>270</v>
      </c>
      <c r="L38" s="4">
        <f t="shared" si="4"/>
        <v>29.999999999999943</v>
      </c>
      <c r="N38" s="12">
        <f t="shared" si="5"/>
        <v>7437500</v>
      </c>
      <c r="O38" s="12">
        <f t="shared" si="6"/>
        <v>42840000</v>
      </c>
      <c r="P38" s="12">
        <f t="shared" si="7"/>
        <v>11900</v>
      </c>
      <c r="R38" s="23" t="s">
        <v>39</v>
      </c>
      <c r="S38" s="23" t="str">
        <f t="shared" si="8"/>
        <v>37,</v>
      </c>
      <c r="T38" s="23" t="str">
        <f t="shared" si="1"/>
        <v>38,</v>
      </c>
      <c r="U38" s="24">
        <f t="shared" si="9"/>
        <v>39</v>
      </c>
    </row>
    <row r="39" spans="1:21" x14ac:dyDescent="0.25">
      <c r="A39" s="3">
        <v>38</v>
      </c>
      <c r="B39" s="3">
        <v>39</v>
      </c>
      <c r="C39" s="3">
        <v>40</v>
      </c>
      <c r="D39" s="2">
        <f t="shared" si="0"/>
        <v>10985</v>
      </c>
      <c r="E39" s="2">
        <f t="shared" si="2"/>
        <v>5492.5</v>
      </c>
      <c r="F39" s="2">
        <v>2380</v>
      </c>
      <c r="G39" s="2">
        <f t="shared" si="3"/>
        <v>991.66666666666674</v>
      </c>
      <c r="H39" s="4">
        <f>VLOOKUP(B39,nodes!A:D,2,0)</f>
        <v>509.99999999999994</v>
      </c>
      <c r="I39" s="4">
        <f>VLOOKUP(B39,nodes!A:D,4,0)</f>
        <v>270</v>
      </c>
      <c r="J39" s="4">
        <f>VLOOKUP(C39,nodes!A:D,2,0)</f>
        <v>540</v>
      </c>
      <c r="K39" s="4">
        <f>VLOOKUP(C39,nodes!A:D,4,0)</f>
        <v>270</v>
      </c>
      <c r="L39" s="4">
        <f t="shared" si="4"/>
        <v>30.000000000000057</v>
      </c>
      <c r="N39" s="12">
        <f t="shared" si="5"/>
        <v>7437500</v>
      </c>
      <c r="O39" s="12">
        <f t="shared" si="6"/>
        <v>42840000</v>
      </c>
      <c r="P39" s="12">
        <f t="shared" si="7"/>
        <v>11900</v>
      </c>
      <c r="R39" s="23" t="s">
        <v>39</v>
      </c>
      <c r="S39" s="23" t="str">
        <f t="shared" si="8"/>
        <v>38,</v>
      </c>
      <c r="T39" s="23" t="str">
        <f t="shared" si="1"/>
        <v>39,</v>
      </c>
      <c r="U39" s="24">
        <f t="shared" si="9"/>
        <v>40</v>
      </c>
    </row>
    <row r="40" spans="1:21" x14ac:dyDescent="0.25">
      <c r="A40" s="3">
        <v>39</v>
      </c>
      <c r="B40" s="3">
        <v>40</v>
      </c>
      <c r="C40" s="3">
        <v>41</v>
      </c>
      <c r="D40" s="2">
        <f t="shared" si="0"/>
        <v>10985</v>
      </c>
      <c r="E40" s="2">
        <f t="shared" si="2"/>
        <v>5492.5</v>
      </c>
      <c r="F40" s="2">
        <v>2380</v>
      </c>
      <c r="G40" s="2">
        <f t="shared" si="3"/>
        <v>991.66666666666674</v>
      </c>
      <c r="H40" s="4">
        <f>VLOOKUP(B40,nodes!A:D,2,0)</f>
        <v>540</v>
      </c>
      <c r="I40" s="4">
        <f>VLOOKUP(B40,nodes!A:D,4,0)</f>
        <v>270</v>
      </c>
      <c r="J40" s="4">
        <f>VLOOKUP(C40,nodes!A:D,2,0)</f>
        <v>570</v>
      </c>
      <c r="K40" s="4">
        <f>VLOOKUP(C40,nodes!A:D,4,0)</f>
        <v>270</v>
      </c>
      <c r="L40" s="4">
        <f t="shared" si="4"/>
        <v>30</v>
      </c>
      <c r="N40" s="12">
        <f t="shared" si="5"/>
        <v>7437500</v>
      </c>
      <c r="O40" s="12">
        <f t="shared" si="6"/>
        <v>42840000</v>
      </c>
      <c r="P40" s="12">
        <f t="shared" si="7"/>
        <v>11900</v>
      </c>
      <c r="R40" s="23" t="s">
        <v>39</v>
      </c>
      <c r="S40" s="23" t="str">
        <f t="shared" si="8"/>
        <v>39,</v>
      </c>
      <c r="T40" s="23" t="str">
        <f t="shared" si="1"/>
        <v>40,</v>
      </c>
      <c r="U40" s="24">
        <f t="shared" si="9"/>
        <v>41</v>
      </c>
    </row>
    <row r="41" spans="1:21" x14ac:dyDescent="0.25">
      <c r="A41" s="3">
        <v>40</v>
      </c>
      <c r="B41" s="3">
        <v>41</v>
      </c>
      <c r="C41" s="3">
        <v>42</v>
      </c>
      <c r="D41" s="2">
        <f t="shared" si="0"/>
        <v>10985</v>
      </c>
      <c r="E41" s="2">
        <f t="shared" si="2"/>
        <v>5492.5</v>
      </c>
      <c r="F41" s="2">
        <v>2380</v>
      </c>
      <c r="G41" s="2">
        <f t="shared" si="3"/>
        <v>991.66666666666674</v>
      </c>
      <c r="H41" s="4">
        <f>VLOOKUP(B41,nodes!A:D,2,0)</f>
        <v>570</v>
      </c>
      <c r="I41" s="4">
        <f>VLOOKUP(B41,nodes!A:D,4,0)</f>
        <v>270</v>
      </c>
      <c r="J41" s="4">
        <f>VLOOKUP(C41,nodes!A:D,2,0)</f>
        <v>600</v>
      </c>
      <c r="K41" s="4">
        <f>VLOOKUP(C41,nodes!A:D,4,0)</f>
        <v>270</v>
      </c>
      <c r="L41" s="4">
        <f t="shared" si="4"/>
        <v>30</v>
      </c>
      <c r="N41" s="12">
        <f t="shared" si="5"/>
        <v>7437500</v>
      </c>
      <c r="O41" s="12">
        <f t="shared" si="6"/>
        <v>42840000</v>
      </c>
      <c r="P41" s="12">
        <f t="shared" si="7"/>
        <v>11900</v>
      </c>
      <c r="R41" s="23" t="s">
        <v>39</v>
      </c>
      <c r="S41" s="23" t="str">
        <f t="shared" si="8"/>
        <v>40,</v>
      </c>
      <c r="T41" s="23" t="str">
        <f t="shared" si="1"/>
        <v>41,</v>
      </c>
      <c r="U41" s="24">
        <f t="shared" si="9"/>
        <v>42</v>
      </c>
    </row>
    <row r="42" spans="1:21" x14ac:dyDescent="0.25">
      <c r="A42" s="3">
        <v>41</v>
      </c>
      <c r="B42" s="3">
        <v>43</v>
      </c>
      <c r="C42" s="3">
        <v>44</v>
      </c>
      <c r="D42" s="2">
        <f t="shared" si="0"/>
        <v>10985</v>
      </c>
      <c r="E42" s="2">
        <f t="shared" si="2"/>
        <v>5492.5</v>
      </c>
      <c r="F42" s="2">
        <v>2380</v>
      </c>
      <c r="G42" s="2">
        <f t="shared" si="3"/>
        <v>991.66666666666674</v>
      </c>
      <c r="H42" s="4">
        <f>VLOOKUP(B42,nodes!A:D,2,0)</f>
        <v>0</v>
      </c>
      <c r="I42" s="4">
        <f>VLOOKUP(B42,nodes!A:D,4,0)</f>
        <v>240</v>
      </c>
      <c r="J42" s="4">
        <f>VLOOKUP(C42,nodes!A:D,2,0)</f>
        <v>30</v>
      </c>
      <c r="K42" s="4">
        <f>VLOOKUP(C42,nodes!A:D,4,0)</f>
        <v>240</v>
      </c>
      <c r="L42" s="4">
        <f t="shared" si="4"/>
        <v>30</v>
      </c>
      <c r="N42" s="12">
        <f t="shared" si="5"/>
        <v>7437500</v>
      </c>
      <c r="O42" s="12">
        <f t="shared" si="6"/>
        <v>42840000</v>
      </c>
      <c r="P42" s="12">
        <f t="shared" si="7"/>
        <v>11900</v>
      </c>
      <c r="R42" s="23" t="s">
        <v>39</v>
      </c>
      <c r="S42" s="23" t="str">
        <f t="shared" si="8"/>
        <v>41,</v>
      </c>
      <c r="T42" s="23" t="str">
        <f t="shared" si="1"/>
        <v>43,</v>
      </c>
      <c r="U42" s="24">
        <f t="shared" si="9"/>
        <v>44</v>
      </c>
    </row>
    <row r="43" spans="1:21" x14ac:dyDescent="0.25">
      <c r="A43" s="3">
        <v>42</v>
      </c>
      <c r="B43" s="3">
        <v>44</v>
      </c>
      <c r="C43" s="3">
        <v>45</v>
      </c>
      <c r="D43" s="2">
        <f t="shared" si="0"/>
        <v>10985</v>
      </c>
      <c r="E43" s="2">
        <f t="shared" si="2"/>
        <v>5492.5</v>
      </c>
      <c r="F43" s="2">
        <v>2380</v>
      </c>
      <c r="G43" s="2">
        <f t="shared" si="3"/>
        <v>991.66666666666674</v>
      </c>
      <c r="H43" s="4">
        <f>VLOOKUP(B43,nodes!A:D,2,0)</f>
        <v>30</v>
      </c>
      <c r="I43" s="4">
        <f>VLOOKUP(B43,nodes!A:D,4,0)</f>
        <v>240</v>
      </c>
      <c r="J43" s="4">
        <f>VLOOKUP(C43,nodes!A:D,2,0)</f>
        <v>60</v>
      </c>
      <c r="K43" s="4">
        <f>VLOOKUP(C43,nodes!A:D,4,0)</f>
        <v>240</v>
      </c>
      <c r="L43" s="4">
        <f t="shared" si="4"/>
        <v>30</v>
      </c>
      <c r="N43" s="12">
        <f t="shared" si="5"/>
        <v>7437500</v>
      </c>
      <c r="O43" s="12">
        <f t="shared" si="6"/>
        <v>42840000</v>
      </c>
      <c r="P43" s="12">
        <f t="shared" si="7"/>
        <v>11900</v>
      </c>
      <c r="R43" s="23" t="s">
        <v>39</v>
      </c>
      <c r="S43" s="23" t="str">
        <f t="shared" si="8"/>
        <v>42,</v>
      </c>
      <c r="T43" s="23" t="str">
        <f t="shared" si="1"/>
        <v>44,</v>
      </c>
      <c r="U43" s="24">
        <f t="shared" si="9"/>
        <v>45</v>
      </c>
    </row>
    <row r="44" spans="1:21" x14ac:dyDescent="0.25">
      <c r="A44" s="3">
        <v>43</v>
      </c>
      <c r="B44" s="3">
        <v>45</v>
      </c>
      <c r="C44" s="3">
        <v>46</v>
      </c>
      <c r="D44" s="2">
        <f t="shared" si="0"/>
        <v>10985</v>
      </c>
      <c r="E44" s="2">
        <f t="shared" si="2"/>
        <v>5492.5</v>
      </c>
      <c r="F44" s="2">
        <v>2380</v>
      </c>
      <c r="G44" s="2">
        <f t="shared" si="3"/>
        <v>991.66666666666674</v>
      </c>
      <c r="H44" s="4">
        <f>VLOOKUP(B44,nodes!A:D,2,0)</f>
        <v>60</v>
      </c>
      <c r="I44" s="4">
        <f>VLOOKUP(B44,nodes!A:D,4,0)</f>
        <v>240</v>
      </c>
      <c r="J44" s="4">
        <f>VLOOKUP(C44,nodes!A:D,2,0)</f>
        <v>90</v>
      </c>
      <c r="K44" s="4">
        <f>VLOOKUP(C44,nodes!A:D,4,0)</f>
        <v>240</v>
      </c>
      <c r="L44" s="4">
        <f t="shared" si="4"/>
        <v>30</v>
      </c>
      <c r="N44" s="12">
        <f t="shared" si="5"/>
        <v>7437500</v>
      </c>
      <c r="O44" s="12">
        <f t="shared" si="6"/>
        <v>42840000</v>
      </c>
      <c r="P44" s="12">
        <f t="shared" si="7"/>
        <v>11900</v>
      </c>
      <c r="R44" s="23" t="s">
        <v>39</v>
      </c>
      <c r="S44" s="23" t="str">
        <f t="shared" si="8"/>
        <v>43,</v>
      </c>
      <c r="T44" s="23" t="str">
        <f t="shared" si="1"/>
        <v>45,</v>
      </c>
      <c r="U44" s="24">
        <f t="shared" si="9"/>
        <v>46</v>
      </c>
    </row>
    <row r="45" spans="1:21" x14ac:dyDescent="0.25">
      <c r="A45" s="3">
        <v>44</v>
      </c>
      <c r="B45" s="3">
        <v>46</v>
      </c>
      <c r="C45" s="3">
        <v>47</v>
      </c>
      <c r="D45" s="2">
        <f t="shared" si="0"/>
        <v>10985</v>
      </c>
      <c r="E45" s="2">
        <f t="shared" si="2"/>
        <v>5492.5</v>
      </c>
      <c r="F45" s="2">
        <v>2380</v>
      </c>
      <c r="G45" s="2">
        <f t="shared" si="3"/>
        <v>991.66666666666674</v>
      </c>
      <c r="H45" s="4">
        <f>VLOOKUP(B45,nodes!A:D,2,0)</f>
        <v>90</v>
      </c>
      <c r="I45" s="4">
        <f>VLOOKUP(B45,nodes!A:D,4,0)</f>
        <v>240</v>
      </c>
      <c r="J45" s="4">
        <f>VLOOKUP(C45,nodes!A:D,2,0)</f>
        <v>120</v>
      </c>
      <c r="K45" s="4">
        <f>VLOOKUP(C45,nodes!A:D,4,0)</f>
        <v>240</v>
      </c>
      <c r="L45" s="4">
        <f t="shared" si="4"/>
        <v>30</v>
      </c>
      <c r="N45" s="12">
        <f t="shared" si="5"/>
        <v>7437500</v>
      </c>
      <c r="O45" s="12">
        <f t="shared" si="6"/>
        <v>42840000</v>
      </c>
      <c r="P45" s="12">
        <f t="shared" si="7"/>
        <v>11900</v>
      </c>
      <c r="R45" s="23" t="s">
        <v>39</v>
      </c>
      <c r="S45" s="23" t="str">
        <f t="shared" si="8"/>
        <v>44,</v>
      </c>
      <c r="T45" s="23" t="str">
        <f t="shared" si="1"/>
        <v>46,</v>
      </c>
      <c r="U45" s="24">
        <f t="shared" si="9"/>
        <v>47</v>
      </c>
    </row>
    <row r="46" spans="1:21" x14ac:dyDescent="0.25">
      <c r="A46" s="3">
        <v>45</v>
      </c>
      <c r="B46" s="3">
        <v>47</v>
      </c>
      <c r="C46" s="3">
        <v>48</v>
      </c>
      <c r="D46" s="2">
        <f t="shared" si="0"/>
        <v>10985</v>
      </c>
      <c r="E46" s="2">
        <f t="shared" si="2"/>
        <v>5492.5</v>
      </c>
      <c r="F46" s="2">
        <v>2380</v>
      </c>
      <c r="G46" s="2">
        <f t="shared" si="3"/>
        <v>991.66666666666674</v>
      </c>
      <c r="H46" s="4">
        <f>VLOOKUP(B46,nodes!A:D,2,0)</f>
        <v>120</v>
      </c>
      <c r="I46" s="4">
        <f>VLOOKUP(B46,nodes!A:D,4,0)</f>
        <v>240</v>
      </c>
      <c r="J46" s="4">
        <f>VLOOKUP(C46,nodes!A:D,2,0)</f>
        <v>150</v>
      </c>
      <c r="K46" s="4">
        <f>VLOOKUP(C46,nodes!A:D,4,0)</f>
        <v>240</v>
      </c>
      <c r="L46" s="4">
        <f t="shared" si="4"/>
        <v>30</v>
      </c>
      <c r="N46" s="12">
        <f t="shared" si="5"/>
        <v>7437500</v>
      </c>
      <c r="O46" s="12">
        <f t="shared" si="6"/>
        <v>42840000</v>
      </c>
      <c r="P46" s="12">
        <f t="shared" si="7"/>
        <v>11900</v>
      </c>
      <c r="R46" s="23" t="s">
        <v>39</v>
      </c>
      <c r="S46" s="23" t="str">
        <f t="shared" si="8"/>
        <v>45,</v>
      </c>
      <c r="T46" s="23" t="str">
        <f t="shared" si="1"/>
        <v>47,</v>
      </c>
      <c r="U46" s="24">
        <f t="shared" si="9"/>
        <v>48</v>
      </c>
    </row>
    <row r="47" spans="1:21" x14ac:dyDescent="0.25">
      <c r="A47" s="3">
        <v>46</v>
      </c>
      <c r="B47" s="3">
        <v>48</v>
      </c>
      <c r="C47" s="3">
        <v>49</v>
      </c>
      <c r="D47" s="2">
        <f t="shared" si="0"/>
        <v>10985</v>
      </c>
      <c r="E47" s="2">
        <f t="shared" si="2"/>
        <v>5492.5</v>
      </c>
      <c r="F47" s="2">
        <v>2380</v>
      </c>
      <c r="G47" s="2">
        <f t="shared" si="3"/>
        <v>991.66666666666674</v>
      </c>
      <c r="H47" s="4">
        <f>VLOOKUP(B47,nodes!A:D,2,0)</f>
        <v>150</v>
      </c>
      <c r="I47" s="4">
        <f>VLOOKUP(B47,nodes!A:D,4,0)</f>
        <v>240</v>
      </c>
      <c r="J47" s="4">
        <f>VLOOKUP(C47,nodes!A:D,2,0)</f>
        <v>180</v>
      </c>
      <c r="K47" s="4">
        <f>VLOOKUP(C47,nodes!A:D,4,0)</f>
        <v>240</v>
      </c>
      <c r="L47" s="4">
        <f t="shared" si="4"/>
        <v>30</v>
      </c>
      <c r="N47" s="12">
        <f t="shared" si="5"/>
        <v>7437500</v>
      </c>
      <c r="O47" s="12">
        <f t="shared" si="6"/>
        <v>42840000</v>
      </c>
      <c r="P47" s="12">
        <f t="shared" si="7"/>
        <v>11900</v>
      </c>
      <c r="R47" s="23" t="s">
        <v>39</v>
      </c>
      <c r="S47" s="23" t="str">
        <f t="shared" si="8"/>
        <v>46,</v>
      </c>
      <c r="T47" s="23" t="str">
        <f t="shared" si="1"/>
        <v>48,</v>
      </c>
      <c r="U47" s="24">
        <f t="shared" si="9"/>
        <v>49</v>
      </c>
    </row>
    <row r="48" spans="1:21" x14ac:dyDescent="0.25">
      <c r="A48" s="3">
        <v>47</v>
      </c>
      <c r="B48" s="3">
        <v>49</v>
      </c>
      <c r="C48" s="3">
        <v>50</v>
      </c>
      <c r="D48" s="2">
        <f t="shared" si="0"/>
        <v>10985</v>
      </c>
      <c r="E48" s="2">
        <f t="shared" si="2"/>
        <v>5492.5</v>
      </c>
      <c r="F48" s="2">
        <v>2380</v>
      </c>
      <c r="G48" s="2">
        <f t="shared" si="3"/>
        <v>991.66666666666674</v>
      </c>
      <c r="H48" s="4">
        <f>VLOOKUP(B48,nodes!A:D,2,0)</f>
        <v>180</v>
      </c>
      <c r="I48" s="4">
        <f>VLOOKUP(B48,nodes!A:D,4,0)</f>
        <v>240</v>
      </c>
      <c r="J48" s="4">
        <f>VLOOKUP(C48,nodes!A:D,2,0)</f>
        <v>210</v>
      </c>
      <c r="K48" s="4">
        <f>VLOOKUP(C48,nodes!A:D,4,0)</f>
        <v>240</v>
      </c>
      <c r="L48" s="4">
        <f t="shared" si="4"/>
        <v>30</v>
      </c>
      <c r="N48" s="12">
        <f t="shared" si="5"/>
        <v>7437500</v>
      </c>
      <c r="O48" s="12">
        <f t="shared" si="6"/>
        <v>42840000</v>
      </c>
      <c r="P48" s="12">
        <f t="shared" si="7"/>
        <v>11900</v>
      </c>
      <c r="R48" s="23" t="s">
        <v>39</v>
      </c>
      <c r="S48" s="23" t="str">
        <f t="shared" si="8"/>
        <v>47,</v>
      </c>
      <c r="T48" s="23" t="str">
        <f t="shared" si="1"/>
        <v>49,</v>
      </c>
      <c r="U48" s="24">
        <f t="shared" si="9"/>
        <v>50</v>
      </c>
    </row>
    <row r="49" spans="1:21" x14ac:dyDescent="0.25">
      <c r="A49" s="3">
        <v>48</v>
      </c>
      <c r="B49" s="3">
        <v>50</v>
      </c>
      <c r="C49" s="3">
        <v>51</v>
      </c>
      <c r="D49" s="2">
        <f t="shared" si="0"/>
        <v>10985</v>
      </c>
      <c r="E49" s="2">
        <f t="shared" si="2"/>
        <v>5492.5</v>
      </c>
      <c r="F49" s="2">
        <v>2380</v>
      </c>
      <c r="G49" s="2">
        <f t="shared" si="3"/>
        <v>991.66666666666674</v>
      </c>
      <c r="H49" s="4">
        <f>VLOOKUP(B49,nodes!A:D,2,0)</f>
        <v>210</v>
      </c>
      <c r="I49" s="4">
        <f>VLOOKUP(B49,nodes!A:D,4,0)</f>
        <v>240</v>
      </c>
      <c r="J49" s="4">
        <f>VLOOKUP(C49,nodes!A:D,2,0)</f>
        <v>240</v>
      </c>
      <c r="K49" s="4">
        <f>VLOOKUP(C49,nodes!A:D,4,0)</f>
        <v>240</v>
      </c>
      <c r="L49" s="4">
        <f t="shared" si="4"/>
        <v>30</v>
      </c>
      <c r="N49" s="12">
        <f t="shared" si="5"/>
        <v>7437500</v>
      </c>
      <c r="O49" s="12">
        <f t="shared" si="6"/>
        <v>42840000</v>
      </c>
      <c r="P49" s="12">
        <f t="shared" si="7"/>
        <v>11900</v>
      </c>
      <c r="R49" s="23" t="s">
        <v>39</v>
      </c>
      <c r="S49" s="23" t="str">
        <f t="shared" si="8"/>
        <v>48,</v>
      </c>
      <c r="T49" s="23" t="str">
        <f t="shared" si="1"/>
        <v>50,</v>
      </c>
      <c r="U49" s="24">
        <f t="shared" si="9"/>
        <v>51</v>
      </c>
    </row>
    <row r="50" spans="1:21" x14ac:dyDescent="0.25">
      <c r="A50" s="3">
        <v>49</v>
      </c>
      <c r="B50" s="3">
        <v>51</v>
      </c>
      <c r="C50" s="3">
        <v>52</v>
      </c>
      <c r="D50" s="2">
        <f t="shared" si="0"/>
        <v>10985</v>
      </c>
      <c r="E50" s="2">
        <f t="shared" si="2"/>
        <v>5492.5</v>
      </c>
      <c r="F50" s="2">
        <v>2380</v>
      </c>
      <c r="G50" s="2">
        <f t="shared" si="3"/>
        <v>991.66666666666674</v>
      </c>
      <c r="H50" s="4">
        <f>VLOOKUP(B50,nodes!A:D,2,0)</f>
        <v>240</v>
      </c>
      <c r="I50" s="4">
        <f>VLOOKUP(B50,nodes!A:D,4,0)</f>
        <v>240</v>
      </c>
      <c r="J50" s="4">
        <f>VLOOKUP(C50,nodes!A:D,2,0)</f>
        <v>270</v>
      </c>
      <c r="K50" s="4">
        <f>VLOOKUP(C50,nodes!A:D,4,0)</f>
        <v>240</v>
      </c>
      <c r="L50" s="4">
        <f t="shared" si="4"/>
        <v>30</v>
      </c>
      <c r="N50" s="12">
        <f t="shared" si="5"/>
        <v>7437500</v>
      </c>
      <c r="O50" s="12">
        <f t="shared" si="6"/>
        <v>42840000</v>
      </c>
      <c r="P50" s="12">
        <f t="shared" si="7"/>
        <v>11900</v>
      </c>
      <c r="R50" s="23" t="s">
        <v>39</v>
      </c>
      <c r="S50" s="23" t="str">
        <f t="shared" si="8"/>
        <v>49,</v>
      </c>
      <c r="T50" s="23" t="str">
        <f t="shared" si="1"/>
        <v>51,</v>
      </c>
      <c r="U50" s="24">
        <f t="shared" si="9"/>
        <v>52</v>
      </c>
    </row>
    <row r="51" spans="1:21" x14ac:dyDescent="0.25">
      <c r="A51" s="3">
        <v>50</v>
      </c>
      <c r="B51" s="3">
        <v>52</v>
      </c>
      <c r="C51" s="3">
        <v>53</v>
      </c>
      <c r="D51" s="2">
        <f t="shared" si="0"/>
        <v>10985</v>
      </c>
      <c r="E51" s="2">
        <f t="shared" si="2"/>
        <v>5492.5</v>
      </c>
      <c r="F51" s="2">
        <v>2380</v>
      </c>
      <c r="G51" s="2">
        <f t="shared" si="3"/>
        <v>991.66666666666674</v>
      </c>
      <c r="H51" s="4">
        <f>VLOOKUP(B51,nodes!A:D,2,0)</f>
        <v>270</v>
      </c>
      <c r="I51" s="4">
        <f>VLOOKUP(B51,nodes!A:D,4,0)</f>
        <v>240</v>
      </c>
      <c r="J51" s="4">
        <f>VLOOKUP(C51,nodes!A:D,2,0)</f>
        <v>300</v>
      </c>
      <c r="K51" s="4">
        <f>VLOOKUP(C51,nodes!A:D,4,0)</f>
        <v>240</v>
      </c>
      <c r="L51" s="4">
        <f t="shared" si="4"/>
        <v>30</v>
      </c>
      <c r="N51" s="12">
        <f t="shared" si="5"/>
        <v>7437500</v>
      </c>
      <c r="O51" s="12">
        <f t="shared" si="6"/>
        <v>42840000</v>
      </c>
      <c r="P51" s="12">
        <f t="shared" si="7"/>
        <v>11900</v>
      </c>
      <c r="R51" s="23" t="s">
        <v>39</v>
      </c>
      <c r="S51" s="23" t="str">
        <f t="shared" si="8"/>
        <v>50,</v>
      </c>
      <c r="T51" s="23" t="str">
        <f t="shared" si="1"/>
        <v>52,</v>
      </c>
      <c r="U51" s="24">
        <f t="shared" si="9"/>
        <v>53</v>
      </c>
    </row>
    <row r="52" spans="1:21" x14ac:dyDescent="0.25">
      <c r="A52" s="3">
        <v>51</v>
      </c>
      <c r="B52" s="3">
        <v>53</v>
      </c>
      <c r="C52" s="3">
        <v>54</v>
      </c>
      <c r="D52" s="2">
        <f t="shared" si="0"/>
        <v>10985</v>
      </c>
      <c r="E52" s="2">
        <f t="shared" si="2"/>
        <v>5492.5</v>
      </c>
      <c r="F52" s="2">
        <v>2380</v>
      </c>
      <c r="G52" s="2">
        <f t="shared" si="3"/>
        <v>991.66666666666674</v>
      </c>
      <c r="H52" s="4">
        <f>VLOOKUP(B52,nodes!A:D,2,0)</f>
        <v>300</v>
      </c>
      <c r="I52" s="4">
        <f>VLOOKUP(B52,nodes!A:D,4,0)</f>
        <v>240</v>
      </c>
      <c r="J52" s="4">
        <f>VLOOKUP(C52,nodes!A:D,2,0)</f>
        <v>330</v>
      </c>
      <c r="K52" s="4">
        <f>VLOOKUP(C52,nodes!A:D,4,0)</f>
        <v>240</v>
      </c>
      <c r="L52" s="4">
        <f t="shared" si="4"/>
        <v>30</v>
      </c>
      <c r="N52" s="12">
        <f t="shared" si="5"/>
        <v>7437500</v>
      </c>
      <c r="O52" s="12">
        <f t="shared" si="6"/>
        <v>42840000</v>
      </c>
      <c r="P52" s="12">
        <f t="shared" si="7"/>
        <v>11900</v>
      </c>
      <c r="R52" s="23" t="s">
        <v>39</v>
      </c>
      <c r="S52" s="23" t="str">
        <f t="shared" si="8"/>
        <v>51,</v>
      </c>
      <c r="T52" s="23" t="str">
        <f t="shared" si="1"/>
        <v>53,</v>
      </c>
      <c r="U52" s="24">
        <f t="shared" si="9"/>
        <v>54</v>
      </c>
    </row>
    <row r="53" spans="1:21" x14ac:dyDescent="0.25">
      <c r="A53" s="3">
        <v>52</v>
      </c>
      <c r="B53" s="3">
        <v>54</v>
      </c>
      <c r="C53" s="3">
        <v>55</v>
      </c>
      <c r="D53" s="2">
        <f t="shared" si="0"/>
        <v>10985</v>
      </c>
      <c r="E53" s="2">
        <f t="shared" si="2"/>
        <v>5492.5</v>
      </c>
      <c r="F53" s="2">
        <v>2380</v>
      </c>
      <c r="G53" s="2">
        <f t="shared" si="3"/>
        <v>991.66666666666674</v>
      </c>
      <c r="H53" s="4">
        <f>VLOOKUP(B53,nodes!A:D,2,0)</f>
        <v>330</v>
      </c>
      <c r="I53" s="4">
        <f>VLOOKUP(B53,nodes!A:D,4,0)</f>
        <v>240</v>
      </c>
      <c r="J53" s="4">
        <f>VLOOKUP(C53,nodes!A:D,2,0)</f>
        <v>360</v>
      </c>
      <c r="K53" s="4">
        <f>VLOOKUP(C53,nodes!A:D,4,0)</f>
        <v>240</v>
      </c>
      <c r="L53" s="4">
        <f t="shared" si="4"/>
        <v>30</v>
      </c>
      <c r="N53" s="12">
        <f t="shared" si="5"/>
        <v>7437500</v>
      </c>
      <c r="O53" s="12">
        <f t="shared" si="6"/>
        <v>42840000</v>
      </c>
      <c r="P53" s="12">
        <f t="shared" si="7"/>
        <v>11900</v>
      </c>
      <c r="R53" s="23" t="s">
        <v>39</v>
      </c>
      <c r="S53" s="23" t="str">
        <f t="shared" si="8"/>
        <v>52,</v>
      </c>
      <c r="T53" s="23" t="str">
        <f t="shared" si="1"/>
        <v>54,</v>
      </c>
      <c r="U53" s="24">
        <f t="shared" si="9"/>
        <v>55</v>
      </c>
    </row>
    <row r="54" spans="1:21" x14ac:dyDescent="0.25">
      <c r="A54" s="3">
        <v>53</v>
      </c>
      <c r="B54" s="3">
        <v>55</v>
      </c>
      <c r="C54" s="3">
        <v>56</v>
      </c>
      <c r="D54" s="2">
        <f t="shared" si="0"/>
        <v>10985</v>
      </c>
      <c r="E54" s="2">
        <f t="shared" si="2"/>
        <v>5492.5</v>
      </c>
      <c r="F54" s="2">
        <v>2380</v>
      </c>
      <c r="G54" s="2">
        <f t="shared" si="3"/>
        <v>991.66666666666674</v>
      </c>
      <c r="H54" s="4">
        <f>VLOOKUP(B54,nodes!A:D,2,0)</f>
        <v>360</v>
      </c>
      <c r="I54" s="4">
        <f>VLOOKUP(B54,nodes!A:D,4,0)</f>
        <v>240</v>
      </c>
      <c r="J54" s="4">
        <f>VLOOKUP(C54,nodes!A:D,2,0)</f>
        <v>390</v>
      </c>
      <c r="K54" s="4">
        <f>VLOOKUP(C54,nodes!A:D,4,0)</f>
        <v>240</v>
      </c>
      <c r="L54" s="4">
        <f t="shared" si="4"/>
        <v>30</v>
      </c>
      <c r="N54" s="12">
        <f t="shared" si="5"/>
        <v>7437500</v>
      </c>
      <c r="O54" s="12">
        <f t="shared" si="6"/>
        <v>42840000</v>
      </c>
      <c r="P54" s="12">
        <f t="shared" si="7"/>
        <v>11900</v>
      </c>
      <c r="R54" s="23" t="s">
        <v>39</v>
      </c>
      <c r="S54" s="23" t="str">
        <f t="shared" si="8"/>
        <v>53,</v>
      </c>
      <c r="T54" s="23" t="str">
        <f t="shared" si="1"/>
        <v>55,</v>
      </c>
      <c r="U54" s="24">
        <f t="shared" si="9"/>
        <v>56</v>
      </c>
    </row>
    <row r="55" spans="1:21" x14ac:dyDescent="0.25">
      <c r="A55" s="3">
        <v>54</v>
      </c>
      <c r="B55" s="3">
        <v>56</v>
      </c>
      <c r="C55" s="3">
        <v>57</v>
      </c>
      <c r="D55" s="2">
        <f t="shared" si="0"/>
        <v>10985</v>
      </c>
      <c r="E55" s="2">
        <f t="shared" si="2"/>
        <v>5492.5</v>
      </c>
      <c r="F55" s="2">
        <v>2380</v>
      </c>
      <c r="G55" s="2">
        <f t="shared" si="3"/>
        <v>991.66666666666674</v>
      </c>
      <c r="H55" s="4">
        <f>VLOOKUP(B55,nodes!A:D,2,0)</f>
        <v>390</v>
      </c>
      <c r="I55" s="4">
        <f>VLOOKUP(B55,nodes!A:D,4,0)</f>
        <v>240</v>
      </c>
      <c r="J55" s="4">
        <f>VLOOKUP(C55,nodes!A:D,2,0)</f>
        <v>420</v>
      </c>
      <c r="K55" s="4">
        <f>VLOOKUP(C55,nodes!A:D,4,0)</f>
        <v>240</v>
      </c>
      <c r="L55" s="4">
        <f t="shared" si="4"/>
        <v>30</v>
      </c>
      <c r="N55" s="12">
        <f t="shared" si="5"/>
        <v>7437500</v>
      </c>
      <c r="O55" s="12">
        <f t="shared" si="6"/>
        <v>42840000</v>
      </c>
      <c r="P55" s="12">
        <f t="shared" si="7"/>
        <v>11900</v>
      </c>
      <c r="R55" s="23" t="s">
        <v>39</v>
      </c>
      <c r="S55" s="23" t="str">
        <f t="shared" si="8"/>
        <v>54,</v>
      </c>
      <c r="T55" s="23" t="str">
        <f t="shared" si="1"/>
        <v>56,</v>
      </c>
      <c r="U55" s="24">
        <f t="shared" si="9"/>
        <v>57</v>
      </c>
    </row>
    <row r="56" spans="1:21" x14ac:dyDescent="0.25">
      <c r="A56" s="3">
        <v>55</v>
      </c>
      <c r="B56" s="3">
        <v>57</v>
      </c>
      <c r="C56" s="3">
        <v>58</v>
      </c>
      <c r="D56" s="2">
        <f t="shared" si="0"/>
        <v>10985</v>
      </c>
      <c r="E56" s="2">
        <f t="shared" si="2"/>
        <v>5492.5</v>
      </c>
      <c r="F56" s="2">
        <v>2380</v>
      </c>
      <c r="G56" s="2">
        <f t="shared" si="3"/>
        <v>991.66666666666674</v>
      </c>
      <c r="H56" s="4">
        <f>VLOOKUP(B56,nodes!A:D,2,0)</f>
        <v>420</v>
      </c>
      <c r="I56" s="4">
        <f>VLOOKUP(B56,nodes!A:D,4,0)</f>
        <v>240</v>
      </c>
      <c r="J56" s="4">
        <f>VLOOKUP(C56,nodes!A:D,2,0)</f>
        <v>450</v>
      </c>
      <c r="K56" s="4">
        <f>VLOOKUP(C56,nodes!A:D,4,0)</f>
        <v>240</v>
      </c>
      <c r="L56" s="4">
        <f t="shared" si="4"/>
        <v>30</v>
      </c>
      <c r="N56" s="12">
        <f t="shared" si="5"/>
        <v>7437500</v>
      </c>
      <c r="O56" s="12">
        <f t="shared" si="6"/>
        <v>42840000</v>
      </c>
      <c r="P56" s="12">
        <f t="shared" si="7"/>
        <v>11900</v>
      </c>
      <c r="R56" s="23" t="s">
        <v>39</v>
      </c>
      <c r="S56" s="23" t="str">
        <f t="shared" si="8"/>
        <v>55,</v>
      </c>
      <c r="T56" s="23" t="str">
        <f t="shared" si="1"/>
        <v>57,</v>
      </c>
      <c r="U56" s="24">
        <f t="shared" si="9"/>
        <v>58</v>
      </c>
    </row>
    <row r="57" spans="1:21" x14ac:dyDescent="0.25">
      <c r="A57" s="3">
        <v>56</v>
      </c>
      <c r="B57" s="3">
        <v>58</v>
      </c>
      <c r="C57" s="3">
        <v>59</v>
      </c>
      <c r="D57" s="2">
        <f t="shared" si="0"/>
        <v>10985</v>
      </c>
      <c r="E57" s="2">
        <f t="shared" si="2"/>
        <v>5492.5</v>
      </c>
      <c r="F57" s="2">
        <v>2380</v>
      </c>
      <c r="G57" s="2">
        <f t="shared" si="3"/>
        <v>991.66666666666674</v>
      </c>
      <c r="H57" s="4">
        <f>VLOOKUP(B57,nodes!A:D,2,0)</f>
        <v>450</v>
      </c>
      <c r="I57" s="4">
        <f>VLOOKUP(B57,nodes!A:D,4,0)</f>
        <v>240</v>
      </c>
      <c r="J57" s="4">
        <f>VLOOKUP(C57,nodes!A:D,2,0)</f>
        <v>480</v>
      </c>
      <c r="K57" s="4">
        <f>VLOOKUP(C57,nodes!A:D,4,0)</f>
        <v>240</v>
      </c>
      <c r="L57" s="4">
        <f t="shared" si="4"/>
        <v>30</v>
      </c>
      <c r="N57" s="12">
        <f t="shared" si="5"/>
        <v>7437500</v>
      </c>
      <c r="O57" s="12">
        <f t="shared" si="6"/>
        <v>42840000</v>
      </c>
      <c r="P57" s="12">
        <f t="shared" si="7"/>
        <v>11900</v>
      </c>
      <c r="R57" s="23" t="s">
        <v>39</v>
      </c>
      <c r="S57" s="23" t="str">
        <f t="shared" si="8"/>
        <v>56,</v>
      </c>
      <c r="T57" s="23" t="str">
        <f t="shared" si="1"/>
        <v>58,</v>
      </c>
      <c r="U57" s="24">
        <f t="shared" si="9"/>
        <v>59</v>
      </c>
    </row>
    <row r="58" spans="1:21" x14ac:dyDescent="0.25">
      <c r="A58" s="3">
        <v>57</v>
      </c>
      <c r="B58" s="3">
        <v>59</v>
      </c>
      <c r="C58" s="3">
        <v>60</v>
      </c>
      <c r="D58" s="2">
        <f t="shared" si="0"/>
        <v>10985</v>
      </c>
      <c r="E58" s="2">
        <f t="shared" si="2"/>
        <v>5492.5</v>
      </c>
      <c r="F58" s="2">
        <v>2380</v>
      </c>
      <c r="G58" s="2">
        <f t="shared" si="3"/>
        <v>991.66666666666674</v>
      </c>
      <c r="H58" s="4">
        <f>VLOOKUP(B58,nodes!A:D,2,0)</f>
        <v>480</v>
      </c>
      <c r="I58" s="4">
        <f>VLOOKUP(B58,nodes!A:D,4,0)</f>
        <v>240</v>
      </c>
      <c r="J58" s="4">
        <f>VLOOKUP(C58,nodes!A:D,2,0)</f>
        <v>509.99999999999994</v>
      </c>
      <c r="K58" s="4">
        <f>VLOOKUP(C58,nodes!A:D,4,0)</f>
        <v>240</v>
      </c>
      <c r="L58" s="4">
        <f t="shared" si="4"/>
        <v>29.999999999999943</v>
      </c>
      <c r="N58" s="12">
        <f t="shared" si="5"/>
        <v>7437500</v>
      </c>
      <c r="O58" s="12">
        <f t="shared" si="6"/>
        <v>42840000</v>
      </c>
      <c r="P58" s="12">
        <f t="shared" si="7"/>
        <v>11900</v>
      </c>
      <c r="R58" s="23" t="s">
        <v>39</v>
      </c>
      <c r="S58" s="23" t="str">
        <f t="shared" si="8"/>
        <v>57,</v>
      </c>
      <c r="T58" s="23" t="str">
        <f t="shared" si="1"/>
        <v>59,</v>
      </c>
      <c r="U58" s="24">
        <f t="shared" si="9"/>
        <v>60</v>
      </c>
    </row>
    <row r="59" spans="1:21" x14ac:dyDescent="0.25">
      <c r="A59" s="3">
        <v>58</v>
      </c>
      <c r="B59" s="3">
        <v>60</v>
      </c>
      <c r="C59" s="3">
        <v>61</v>
      </c>
      <c r="D59" s="2">
        <f t="shared" si="0"/>
        <v>10985</v>
      </c>
      <c r="E59" s="2">
        <f t="shared" si="2"/>
        <v>5492.5</v>
      </c>
      <c r="F59" s="2">
        <v>2380</v>
      </c>
      <c r="G59" s="2">
        <f t="shared" si="3"/>
        <v>991.66666666666674</v>
      </c>
      <c r="H59" s="4">
        <f>VLOOKUP(B59,nodes!A:D,2,0)</f>
        <v>509.99999999999994</v>
      </c>
      <c r="I59" s="4">
        <f>VLOOKUP(B59,nodes!A:D,4,0)</f>
        <v>240</v>
      </c>
      <c r="J59" s="4">
        <f>VLOOKUP(C59,nodes!A:D,2,0)</f>
        <v>540</v>
      </c>
      <c r="K59" s="4">
        <f>VLOOKUP(C59,nodes!A:D,4,0)</f>
        <v>240</v>
      </c>
      <c r="L59" s="4">
        <f t="shared" si="4"/>
        <v>30.000000000000057</v>
      </c>
      <c r="N59" s="12">
        <f t="shared" si="5"/>
        <v>7437500</v>
      </c>
      <c r="O59" s="12">
        <f t="shared" si="6"/>
        <v>42840000</v>
      </c>
      <c r="P59" s="12">
        <f t="shared" si="7"/>
        <v>11900</v>
      </c>
      <c r="R59" s="23" t="s">
        <v>39</v>
      </c>
      <c r="S59" s="23" t="str">
        <f t="shared" si="8"/>
        <v>58,</v>
      </c>
      <c r="T59" s="23" t="str">
        <f t="shared" si="1"/>
        <v>60,</v>
      </c>
      <c r="U59" s="24">
        <f t="shared" si="9"/>
        <v>61</v>
      </c>
    </row>
    <row r="60" spans="1:21" x14ac:dyDescent="0.25">
      <c r="A60" s="3">
        <v>59</v>
      </c>
      <c r="B60" s="3">
        <v>61</v>
      </c>
      <c r="C60" s="3">
        <v>62</v>
      </c>
      <c r="D60" s="2">
        <f t="shared" si="0"/>
        <v>10985</v>
      </c>
      <c r="E60" s="2">
        <f t="shared" si="2"/>
        <v>5492.5</v>
      </c>
      <c r="F60" s="2">
        <v>2380</v>
      </c>
      <c r="G60" s="2">
        <f t="shared" si="3"/>
        <v>991.66666666666674</v>
      </c>
      <c r="H60" s="4">
        <f>VLOOKUP(B60,nodes!A:D,2,0)</f>
        <v>540</v>
      </c>
      <c r="I60" s="4">
        <f>VLOOKUP(B60,nodes!A:D,4,0)</f>
        <v>240</v>
      </c>
      <c r="J60" s="4">
        <f>VLOOKUP(C60,nodes!A:D,2,0)</f>
        <v>570</v>
      </c>
      <c r="K60" s="4">
        <f>VLOOKUP(C60,nodes!A:D,4,0)</f>
        <v>240</v>
      </c>
      <c r="L60" s="4">
        <f t="shared" si="4"/>
        <v>30</v>
      </c>
      <c r="N60" s="12">
        <f t="shared" si="5"/>
        <v>7437500</v>
      </c>
      <c r="O60" s="12">
        <f t="shared" si="6"/>
        <v>42840000</v>
      </c>
      <c r="P60" s="12">
        <f t="shared" si="7"/>
        <v>11900</v>
      </c>
      <c r="R60" s="23" t="s">
        <v>39</v>
      </c>
      <c r="S60" s="23" t="str">
        <f t="shared" si="8"/>
        <v>59,</v>
      </c>
      <c r="T60" s="23" t="str">
        <f t="shared" si="1"/>
        <v>61,</v>
      </c>
      <c r="U60" s="24">
        <f t="shared" si="9"/>
        <v>62</v>
      </c>
    </row>
    <row r="61" spans="1:21" x14ac:dyDescent="0.25">
      <c r="A61" s="3">
        <v>60</v>
      </c>
      <c r="B61" s="3">
        <v>62</v>
      </c>
      <c r="C61" s="3">
        <v>63</v>
      </c>
      <c r="D61" s="2">
        <f t="shared" si="0"/>
        <v>10985</v>
      </c>
      <c r="E61" s="2">
        <f t="shared" si="2"/>
        <v>5492.5</v>
      </c>
      <c r="F61" s="2">
        <v>2380</v>
      </c>
      <c r="G61" s="2">
        <f t="shared" si="3"/>
        <v>991.66666666666674</v>
      </c>
      <c r="H61" s="4">
        <f>VLOOKUP(B61,nodes!A:D,2,0)</f>
        <v>570</v>
      </c>
      <c r="I61" s="4">
        <f>VLOOKUP(B61,nodes!A:D,4,0)</f>
        <v>240</v>
      </c>
      <c r="J61" s="4">
        <f>VLOOKUP(C61,nodes!A:D,2,0)</f>
        <v>600</v>
      </c>
      <c r="K61" s="4">
        <f>VLOOKUP(C61,nodes!A:D,4,0)</f>
        <v>240</v>
      </c>
      <c r="L61" s="4">
        <f t="shared" si="4"/>
        <v>30</v>
      </c>
      <c r="N61" s="12">
        <f t="shared" si="5"/>
        <v>7437500</v>
      </c>
      <c r="O61" s="12">
        <f t="shared" si="6"/>
        <v>42840000</v>
      </c>
      <c r="P61" s="12">
        <f t="shared" si="7"/>
        <v>11900</v>
      </c>
      <c r="R61" s="23" t="s">
        <v>39</v>
      </c>
      <c r="S61" s="23" t="str">
        <f t="shared" si="8"/>
        <v>60,</v>
      </c>
      <c r="T61" s="23" t="str">
        <f t="shared" si="1"/>
        <v>62,</v>
      </c>
      <c r="U61" s="24">
        <f t="shared" si="9"/>
        <v>63</v>
      </c>
    </row>
    <row r="62" spans="1:21" x14ac:dyDescent="0.25">
      <c r="A62" s="3">
        <v>61</v>
      </c>
      <c r="B62" s="3">
        <v>64</v>
      </c>
      <c r="C62" s="3">
        <v>65</v>
      </c>
      <c r="D62" s="2">
        <f t="shared" si="0"/>
        <v>10985</v>
      </c>
      <c r="E62" s="2">
        <f t="shared" si="2"/>
        <v>5492.5</v>
      </c>
      <c r="F62" s="2">
        <v>2380</v>
      </c>
      <c r="G62" s="2">
        <f t="shared" si="3"/>
        <v>991.66666666666674</v>
      </c>
      <c r="H62" s="4">
        <f>VLOOKUP(B62,nodes!A:D,2,0)</f>
        <v>0</v>
      </c>
      <c r="I62" s="4">
        <f>VLOOKUP(B62,nodes!A:D,4,0)</f>
        <v>210</v>
      </c>
      <c r="J62" s="4">
        <f>VLOOKUP(C62,nodes!A:D,2,0)</f>
        <v>30</v>
      </c>
      <c r="K62" s="4">
        <f>VLOOKUP(C62,nodes!A:D,4,0)</f>
        <v>210</v>
      </c>
      <c r="L62" s="4">
        <f t="shared" si="4"/>
        <v>30</v>
      </c>
      <c r="N62" s="12">
        <f t="shared" si="5"/>
        <v>7437500</v>
      </c>
      <c r="O62" s="12">
        <f t="shared" si="6"/>
        <v>42840000</v>
      </c>
      <c r="P62" s="12">
        <f t="shared" si="7"/>
        <v>11900</v>
      </c>
      <c r="R62" s="23" t="s">
        <v>39</v>
      </c>
      <c r="S62" s="23" t="str">
        <f t="shared" si="8"/>
        <v>61,</v>
      </c>
      <c r="T62" s="23" t="str">
        <f t="shared" si="1"/>
        <v>64,</v>
      </c>
      <c r="U62" s="24">
        <f t="shared" si="9"/>
        <v>65</v>
      </c>
    </row>
    <row r="63" spans="1:21" x14ac:dyDescent="0.25">
      <c r="A63" s="3">
        <v>62</v>
      </c>
      <c r="B63" s="3">
        <v>65</v>
      </c>
      <c r="C63" s="3">
        <v>66</v>
      </c>
      <c r="D63" s="2">
        <f t="shared" si="0"/>
        <v>10985</v>
      </c>
      <c r="E63" s="2">
        <f t="shared" si="2"/>
        <v>5492.5</v>
      </c>
      <c r="F63" s="2">
        <v>2380</v>
      </c>
      <c r="G63" s="2">
        <f t="shared" si="3"/>
        <v>991.66666666666674</v>
      </c>
      <c r="H63" s="4">
        <f>VLOOKUP(B63,nodes!A:D,2,0)</f>
        <v>30</v>
      </c>
      <c r="I63" s="4">
        <f>VLOOKUP(B63,nodes!A:D,4,0)</f>
        <v>210</v>
      </c>
      <c r="J63" s="4">
        <f>VLOOKUP(C63,nodes!A:D,2,0)</f>
        <v>60</v>
      </c>
      <c r="K63" s="4">
        <f>VLOOKUP(C63,nodes!A:D,4,0)</f>
        <v>210</v>
      </c>
      <c r="L63" s="4">
        <f t="shared" si="4"/>
        <v>30</v>
      </c>
      <c r="N63" s="12">
        <f t="shared" si="5"/>
        <v>7437500</v>
      </c>
      <c r="O63" s="12">
        <f t="shared" si="6"/>
        <v>42840000</v>
      </c>
      <c r="P63" s="12">
        <f t="shared" si="7"/>
        <v>11900</v>
      </c>
      <c r="R63" s="23" t="s">
        <v>39</v>
      </c>
      <c r="S63" s="23" t="str">
        <f t="shared" si="8"/>
        <v>62,</v>
      </c>
      <c r="T63" s="23" t="str">
        <f t="shared" si="1"/>
        <v>65,</v>
      </c>
      <c r="U63" s="24">
        <f t="shared" si="9"/>
        <v>66</v>
      </c>
    </row>
    <row r="64" spans="1:21" x14ac:dyDescent="0.25">
      <c r="A64" s="3">
        <v>63</v>
      </c>
      <c r="B64" s="3">
        <v>66</v>
      </c>
      <c r="C64" s="3">
        <v>67</v>
      </c>
      <c r="D64" s="2">
        <f t="shared" si="0"/>
        <v>10985</v>
      </c>
      <c r="E64" s="2">
        <f t="shared" si="2"/>
        <v>5492.5</v>
      </c>
      <c r="F64" s="2">
        <v>2380</v>
      </c>
      <c r="G64" s="2">
        <f t="shared" si="3"/>
        <v>991.66666666666674</v>
      </c>
      <c r="H64" s="4">
        <f>VLOOKUP(B64,nodes!A:D,2,0)</f>
        <v>60</v>
      </c>
      <c r="I64" s="4">
        <f>VLOOKUP(B64,nodes!A:D,4,0)</f>
        <v>210</v>
      </c>
      <c r="J64" s="4">
        <f>VLOOKUP(C64,nodes!A:D,2,0)</f>
        <v>90</v>
      </c>
      <c r="K64" s="4">
        <f>VLOOKUP(C64,nodes!A:D,4,0)</f>
        <v>210</v>
      </c>
      <c r="L64" s="4">
        <f t="shared" si="4"/>
        <v>30</v>
      </c>
      <c r="N64" s="12">
        <f t="shared" si="5"/>
        <v>7437500</v>
      </c>
      <c r="O64" s="12">
        <f t="shared" si="6"/>
        <v>42840000</v>
      </c>
      <c r="P64" s="12">
        <f t="shared" si="7"/>
        <v>11900</v>
      </c>
      <c r="R64" s="23" t="s">
        <v>39</v>
      </c>
      <c r="S64" s="23" t="str">
        <f t="shared" si="8"/>
        <v>63,</v>
      </c>
      <c r="T64" s="23" t="str">
        <f t="shared" si="1"/>
        <v>66,</v>
      </c>
      <c r="U64" s="24">
        <f t="shared" si="9"/>
        <v>67</v>
      </c>
    </row>
    <row r="65" spans="1:21" x14ac:dyDescent="0.25">
      <c r="A65" s="3">
        <v>64</v>
      </c>
      <c r="B65" s="3">
        <v>67</v>
      </c>
      <c r="C65" s="3">
        <v>68</v>
      </c>
      <c r="D65" s="2">
        <f t="shared" si="0"/>
        <v>10985</v>
      </c>
      <c r="E65" s="2">
        <f t="shared" si="2"/>
        <v>5492.5</v>
      </c>
      <c r="F65" s="2">
        <v>2380</v>
      </c>
      <c r="G65" s="2">
        <f t="shared" si="3"/>
        <v>991.66666666666674</v>
      </c>
      <c r="H65" s="4">
        <f>VLOOKUP(B65,nodes!A:D,2,0)</f>
        <v>90</v>
      </c>
      <c r="I65" s="4">
        <f>VLOOKUP(B65,nodes!A:D,4,0)</f>
        <v>210</v>
      </c>
      <c r="J65" s="4">
        <f>VLOOKUP(C65,nodes!A:D,2,0)</f>
        <v>120</v>
      </c>
      <c r="K65" s="4">
        <f>VLOOKUP(C65,nodes!A:D,4,0)</f>
        <v>210</v>
      </c>
      <c r="L65" s="4">
        <f t="shared" si="4"/>
        <v>30</v>
      </c>
      <c r="N65" s="12">
        <f t="shared" si="5"/>
        <v>7437500</v>
      </c>
      <c r="O65" s="12">
        <f t="shared" si="6"/>
        <v>42840000</v>
      </c>
      <c r="P65" s="12">
        <f t="shared" si="7"/>
        <v>11900</v>
      </c>
      <c r="R65" s="23" t="s">
        <v>39</v>
      </c>
      <c r="S65" s="23" t="str">
        <f t="shared" si="8"/>
        <v>64,</v>
      </c>
      <c r="T65" s="23" t="str">
        <f t="shared" si="1"/>
        <v>67,</v>
      </c>
      <c r="U65" s="24">
        <f t="shared" si="9"/>
        <v>68</v>
      </c>
    </row>
    <row r="66" spans="1:21" x14ac:dyDescent="0.25">
      <c r="A66" s="3">
        <v>65</v>
      </c>
      <c r="B66" s="3">
        <v>68</v>
      </c>
      <c r="C66" s="3">
        <v>69</v>
      </c>
      <c r="D66" s="2">
        <f t="shared" ref="D66:D129" si="10">E66*2</f>
        <v>10985</v>
      </c>
      <c r="E66" s="2">
        <f t="shared" si="2"/>
        <v>5492.5</v>
      </c>
      <c r="F66" s="2">
        <v>2380</v>
      </c>
      <c r="G66" s="2">
        <f t="shared" si="3"/>
        <v>991.66666666666674</v>
      </c>
      <c r="H66" s="4">
        <f>VLOOKUP(B66,nodes!A:D,2,0)</f>
        <v>120</v>
      </c>
      <c r="I66" s="4">
        <f>VLOOKUP(B66,nodes!A:D,4,0)</f>
        <v>210</v>
      </c>
      <c r="J66" s="4">
        <f>VLOOKUP(C66,nodes!A:D,2,0)</f>
        <v>150</v>
      </c>
      <c r="K66" s="4">
        <f>VLOOKUP(C66,nodes!A:D,4,0)</f>
        <v>210</v>
      </c>
      <c r="L66" s="4">
        <f t="shared" si="4"/>
        <v>30</v>
      </c>
      <c r="N66" s="12">
        <f t="shared" si="5"/>
        <v>7437500</v>
      </c>
      <c r="O66" s="12">
        <f t="shared" si="6"/>
        <v>42840000</v>
      </c>
      <c r="P66" s="12">
        <f t="shared" si="7"/>
        <v>11900</v>
      </c>
      <c r="R66" s="23" t="s">
        <v>39</v>
      </c>
      <c r="S66" s="23" t="str">
        <f t="shared" si="8"/>
        <v>65,</v>
      </c>
      <c r="T66" s="23" t="str">
        <f t="shared" si="8"/>
        <v>68,</v>
      </c>
      <c r="U66" s="24">
        <f t="shared" si="9"/>
        <v>69</v>
      </c>
    </row>
    <row r="67" spans="1:21" x14ac:dyDescent="0.25">
      <c r="A67" s="3">
        <v>66</v>
      </c>
      <c r="B67" s="3">
        <v>69</v>
      </c>
      <c r="C67" s="3">
        <v>70</v>
      </c>
      <c r="D67" s="2">
        <f t="shared" si="10"/>
        <v>10985</v>
      </c>
      <c r="E67" s="2">
        <f t="shared" ref="E67:E130" si="11">(30*13^3)/12</f>
        <v>5492.5</v>
      </c>
      <c r="F67" s="2">
        <v>2380</v>
      </c>
      <c r="G67" s="2">
        <f t="shared" ref="G67:G130" si="12">F67/(2*(1+0.2))</f>
        <v>991.66666666666674</v>
      </c>
      <c r="H67" s="4">
        <f>VLOOKUP(B67,nodes!A:D,2,0)</f>
        <v>150</v>
      </c>
      <c r="I67" s="4">
        <f>VLOOKUP(B67,nodes!A:D,4,0)</f>
        <v>210</v>
      </c>
      <c r="J67" s="4">
        <f>VLOOKUP(C67,nodes!A:D,2,0)</f>
        <v>180</v>
      </c>
      <c r="K67" s="4">
        <f>VLOOKUP(C67,nodes!A:D,4,0)</f>
        <v>210</v>
      </c>
      <c r="L67" s="4">
        <f t="shared" ref="L67:L130" si="13">((J67-H67)^2+(K67-I67)^2)^0.5</f>
        <v>30</v>
      </c>
      <c r="N67" s="12">
        <f t="shared" ref="N67:N130" si="14">12*2380*60*(25^3)/(300*12)</f>
        <v>7437500</v>
      </c>
      <c r="O67" s="12">
        <f t="shared" ref="O67:O130" si="15">12*2380*25*(60^3)/(300*12)</f>
        <v>42840000</v>
      </c>
      <c r="P67" s="12">
        <f t="shared" ref="P67:P130" si="16">2380*25*60/300</f>
        <v>11900</v>
      </c>
      <c r="R67" s="23" t="s">
        <v>39</v>
      </c>
      <c r="S67" s="23" t="str">
        <f t="shared" ref="S67:T130" si="17">A67&amp;","</f>
        <v>66,</v>
      </c>
      <c r="T67" s="23" t="str">
        <f t="shared" si="17"/>
        <v>69,</v>
      </c>
      <c r="U67" s="24">
        <f t="shared" ref="U67:U130" si="18">C67</f>
        <v>70</v>
      </c>
    </row>
    <row r="68" spans="1:21" x14ac:dyDescent="0.25">
      <c r="A68" s="3">
        <v>67</v>
      </c>
      <c r="B68" s="3">
        <v>70</v>
      </c>
      <c r="C68" s="3">
        <v>71</v>
      </c>
      <c r="D68" s="2">
        <f t="shared" si="10"/>
        <v>10985</v>
      </c>
      <c r="E68" s="2">
        <f t="shared" si="11"/>
        <v>5492.5</v>
      </c>
      <c r="F68" s="2">
        <v>2380</v>
      </c>
      <c r="G68" s="2">
        <f t="shared" si="12"/>
        <v>991.66666666666674</v>
      </c>
      <c r="H68" s="4">
        <f>VLOOKUP(B68,nodes!A:D,2,0)</f>
        <v>180</v>
      </c>
      <c r="I68" s="4">
        <f>VLOOKUP(B68,nodes!A:D,4,0)</f>
        <v>210</v>
      </c>
      <c r="J68" s="4">
        <f>VLOOKUP(C68,nodes!A:D,2,0)</f>
        <v>210</v>
      </c>
      <c r="K68" s="4">
        <f>VLOOKUP(C68,nodes!A:D,4,0)</f>
        <v>210</v>
      </c>
      <c r="L68" s="4">
        <f t="shared" si="13"/>
        <v>30</v>
      </c>
      <c r="N68" s="12">
        <f t="shared" si="14"/>
        <v>7437500</v>
      </c>
      <c r="O68" s="12">
        <f t="shared" si="15"/>
        <v>42840000</v>
      </c>
      <c r="P68" s="12">
        <f t="shared" si="16"/>
        <v>11900</v>
      </c>
      <c r="R68" s="23" t="s">
        <v>39</v>
      </c>
      <c r="S68" s="23" t="str">
        <f t="shared" si="17"/>
        <v>67,</v>
      </c>
      <c r="T68" s="23" t="str">
        <f t="shared" si="17"/>
        <v>70,</v>
      </c>
      <c r="U68" s="24">
        <f t="shared" si="18"/>
        <v>71</v>
      </c>
    </row>
    <row r="69" spans="1:21" x14ac:dyDescent="0.25">
      <c r="A69" s="3">
        <v>68</v>
      </c>
      <c r="B69" s="3">
        <v>71</v>
      </c>
      <c r="C69" s="3">
        <v>72</v>
      </c>
      <c r="D69" s="2">
        <f t="shared" si="10"/>
        <v>10985</v>
      </c>
      <c r="E69" s="2">
        <f t="shared" si="11"/>
        <v>5492.5</v>
      </c>
      <c r="F69" s="2">
        <v>2380</v>
      </c>
      <c r="G69" s="2">
        <f t="shared" si="12"/>
        <v>991.66666666666674</v>
      </c>
      <c r="H69" s="4">
        <f>VLOOKUP(B69,nodes!A:D,2,0)</f>
        <v>210</v>
      </c>
      <c r="I69" s="4">
        <f>VLOOKUP(B69,nodes!A:D,4,0)</f>
        <v>210</v>
      </c>
      <c r="J69" s="4">
        <f>VLOOKUP(C69,nodes!A:D,2,0)</f>
        <v>240</v>
      </c>
      <c r="K69" s="4">
        <f>VLOOKUP(C69,nodes!A:D,4,0)</f>
        <v>210</v>
      </c>
      <c r="L69" s="4">
        <f t="shared" si="13"/>
        <v>30</v>
      </c>
      <c r="N69" s="12">
        <f t="shared" si="14"/>
        <v>7437500</v>
      </c>
      <c r="O69" s="12">
        <f t="shared" si="15"/>
        <v>42840000</v>
      </c>
      <c r="P69" s="12">
        <f t="shared" si="16"/>
        <v>11900</v>
      </c>
      <c r="R69" s="23" t="s">
        <v>39</v>
      </c>
      <c r="S69" s="23" t="str">
        <f t="shared" si="17"/>
        <v>68,</v>
      </c>
      <c r="T69" s="23" t="str">
        <f t="shared" si="17"/>
        <v>71,</v>
      </c>
      <c r="U69" s="24">
        <f t="shared" si="18"/>
        <v>72</v>
      </c>
    </row>
    <row r="70" spans="1:21" x14ac:dyDescent="0.25">
      <c r="A70" s="3">
        <v>69</v>
      </c>
      <c r="B70" s="3">
        <v>72</v>
      </c>
      <c r="C70" s="3">
        <v>73</v>
      </c>
      <c r="D70" s="2">
        <f t="shared" si="10"/>
        <v>10985</v>
      </c>
      <c r="E70" s="2">
        <f t="shared" si="11"/>
        <v>5492.5</v>
      </c>
      <c r="F70" s="2">
        <v>2380</v>
      </c>
      <c r="G70" s="2">
        <f t="shared" si="12"/>
        <v>991.66666666666674</v>
      </c>
      <c r="H70" s="4">
        <f>VLOOKUP(B70,nodes!A:D,2,0)</f>
        <v>240</v>
      </c>
      <c r="I70" s="4">
        <f>VLOOKUP(B70,nodes!A:D,4,0)</f>
        <v>210</v>
      </c>
      <c r="J70" s="4">
        <f>VLOOKUP(C70,nodes!A:D,2,0)</f>
        <v>270</v>
      </c>
      <c r="K70" s="4">
        <f>VLOOKUP(C70,nodes!A:D,4,0)</f>
        <v>210</v>
      </c>
      <c r="L70" s="4">
        <f t="shared" si="13"/>
        <v>30</v>
      </c>
      <c r="N70" s="12">
        <f t="shared" si="14"/>
        <v>7437500</v>
      </c>
      <c r="O70" s="12">
        <f t="shared" si="15"/>
        <v>42840000</v>
      </c>
      <c r="P70" s="12">
        <f t="shared" si="16"/>
        <v>11900</v>
      </c>
      <c r="R70" s="23" t="s">
        <v>39</v>
      </c>
      <c r="S70" s="23" t="str">
        <f t="shared" si="17"/>
        <v>69,</v>
      </c>
      <c r="T70" s="23" t="str">
        <f t="shared" si="17"/>
        <v>72,</v>
      </c>
      <c r="U70" s="24">
        <f t="shared" si="18"/>
        <v>73</v>
      </c>
    </row>
    <row r="71" spans="1:21" x14ac:dyDescent="0.25">
      <c r="A71" s="3">
        <v>70</v>
      </c>
      <c r="B71" s="3">
        <v>73</v>
      </c>
      <c r="C71" s="3">
        <v>74</v>
      </c>
      <c r="D71" s="2">
        <f t="shared" si="10"/>
        <v>10985</v>
      </c>
      <c r="E71" s="2">
        <f t="shared" si="11"/>
        <v>5492.5</v>
      </c>
      <c r="F71" s="2">
        <v>2380</v>
      </c>
      <c r="G71" s="2">
        <f t="shared" si="12"/>
        <v>991.66666666666674</v>
      </c>
      <c r="H71" s="4">
        <f>VLOOKUP(B71,nodes!A:D,2,0)</f>
        <v>270</v>
      </c>
      <c r="I71" s="4">
        <f>VLOOKUP(B71,nodes!A:D,4,0)</f>
        <v>210</v>
      </c>
      <c r="J71" s="4">
        <f>VLOOKUP(C71,nodes!A:D,2,0)</f>
        <v>300</v>
      </c>
      <c r="K71" s="4">
        <f>VLOOKUP(C71,nodes!A:D,4,0)</f>
        <v>210</v>
      </c>
      <c r="L71" s="4">
        <f t="shared" si="13"/>
        <v>30</v>
      </c>
      <c r="N71" s="12">
        <f t="shared" si="14"/>
        <v>7437500</v>
      </c>
      <c r="O71" s="12">
        <f t="shared" si="15"/>
        <v>42840000</v>
      </c>
      <c r="P71" s="12">
        <f t="shared" si="16"/>
        <v>11900</v>
      </c>
      <c r="R71" s="23" t="s">
        <v>39</v>
      </c>
      <c r="S71" s="23" t="str">
        <f t="shared" si="17"/>
        <v>70,</v>
      </c>
      <c r="T71" s="23" t="str">
        <f t="shared" si="17"/>
        <v>73,</v>
      </c>
      <c r="U71" s="24">
        <f t="shared" si="18"/>
        <v>74</v>
      </c>
    </row>
    <row r="72" spans="1:21" x14ac:dyDescent="0.25">
      <c r="A72" s="3">
        <v>71</v>
      </c>
      <c r="B72" s="3">
        <v>74</v>
      </c>
      <c r="C72" s="3">
        <v>75</v>
      </c>
      <c r="D72" s="2">
        <f t="shared" si="10"/>
        <v>10985</v>
      </c>
      <c r="E72" s="2">
        <f t="shared" si="11"/>
        <v>5492.5</v>
      </c>
      <c r="F72" s="2">
        <v>2380</v>
      </c>
      <c r="G72" s="2">
        <f t="shared" si="12"/>
        <v>991.66666666666674</v>
      </c>
      <c r="H72" s="4">
        <f>VLOOKUP(B72,nodes!A:D,2,0)</f>
        <v>300</v>
      </c>
      <c r="I72" s="4">
        <f>VLOOKUP(B72,nodes!A:D,4,0)</f>
        <v>210</v>
      </c>
      <c r="J72" s="4">
        <f>VLOOKUP(C72,nodes!A:D,2,0)</f>
        <v>330</v>
      </c>
      <c r="K72" s="4">
        <f>VLOOKUP(C72,nodes!A:D,4,0)</f>
        <v>210</v>
      </c>
      <c r="L72" s="4">
        <f t="shared" si="13"/>
        <v>30</v>
      </c>
      <c r="N72" s="12">
        <f t="shared" si="14"/>
        <v>7437500</v>
      </c>
      <c r="O72" s="12">
        <f t="shared" si="15"/>
        <v>42840000</v>
      </c>
      <c r="P72" s="12">
        <f t="shared" si="16"/>
        <v>11900</v>
      </c>
      <c r="R72" s="23" t="s">
        <v>39</v>
      </c>
      <c r="S72" s="23" t="str">
        <f t="shared" si="17"/>
        <v>71,</v>
      </c>
      <c r="T72" s="23" t="str">
        <f t="shared" si="17"/>
        <v>74,</v>
      </c>
      <c r="U72" s="24">
        <f t="shared" si="18"/>
        <v>75</v>
      </c>
    </row>
    <row r="73" spans="1:21" x14ac:dyDescent="0.25">
      <c r="A73" s="3">
        <v>72</v>
      </c>
      <c r="B73" s="3">
        <v>75</v>
      </c>
      <c r="C73" s="3">
        <v>76</v>
      </c>
      <c r="D73" s="2">
        <f t="shared" si="10"/>
        <v>10985</v>
      </c>
      <c r="E73" s="2">
        <f t="shared" si="11"/>
        <v>5492.5</v>
      </c>
      <c r="F73" s="2">
        <v>2380</v>
      </c>
      <c r="G73" s="2">
        <f t="shared" si="12"/>
        <v>991.66666666666674</v>
      </c>
      <c r="H73" s="4">
        <f>VLOOKUP(B73,nodes!A:D,2,0)</f>
        <v>330</v>
      </c>
      <c r="I73" s="4">
        <f>VLOOKUP(B73,nodes!A:D,4,0)</f>
        <v>210</v>
      </c>
      <c r="J73" s="4">
        <f>VLOOKUP(C73,nodes!A:D,2,0)</f>
        <v>360</v>
      </c>
      <c r="K73" s="4">
        <f>VLOOKUP(C73,nodes!A:D,4,0)</f>
        <v>210</v>
      </c>
      <c r="L73" s="4">
        <f t="shared" si="13"/>
        <v>30</v>
      </c>
      <c r="N73" s="12">
        <f t="shared" si="14"/>
        <v>7437500</v>
      </c>
      <c r="O73" s="12">
        <f t="shared" si="15"/>
        <v>42840000</v>
      </c>
      <c r="P73" s="12">
        <f t="shared" si="16"/>
        <v>11900</v>
      </c>
      <c r="R73" s="23" t="s">
        <v>39</v>
      </c>
      <c r="S73" s="23" t="str">
        <f t="shared" si="17"/>
        <v>72,</v>
      </c>
      <c r="T73" s="23" t="str">
        <f t="shared" si="17"/>
        <v>75,</v>
      </c>
      <c r="U73" s="24">
        <f t="shared" si="18"/>
        <v>76</v>
      </c>
    </row>
    <row r="74" spans="1:21" x14ac:dyDescent="0.25">
      <c r="A74" s="3">
        <v>73</v>
      </c>
      <c r="B74" s="3">
        <v>76</v>
      </c>
      <c r="C74" s="3">
        <v>77</v>
      </c>
      <c r="D74" s="2">
        <f t="shared" si="10"/>
        <v>10985</v>
      </c>
      <c r="E74" s="2">
        <f t="shared" si="11"/>
        <v>5492.5</v>
      </c>
      <c r="F74" s="2">
        <v>2380</v>
      </c>
      <c r="G74" s="2">
        <f t="shared" si="12"/>
        <v>991.66666666666674</v>
      </c>
      <c r="H74" s="4">
        <f>VLOOKUP(B74,nodes!A:D,2,0)</f>
        <v>360</v>
      </c>
      <c r="I74" s="4">
        <f>VLOOKUP(B74,nodes!A:D,4,0)</f>
        <v>210</v>
      </c>
      <c r="J74" s="4">
        <f>VLOOKUP(C74,nodes!A:D,2,0)</f>
        <v>390</v>
      </c>
      <c r="K74" s="4">
        <f>VLOOKUP(C74,nodes!A:D,4,0)</f>
        <v>210</v>
      </c>
      <c r="L74" s="4">
        <f t="shared" si="13"/>
        <v>30</v>
      </c>
      <c r="N74" s="12">
        <f t="shared" si="14"/>
        <v>7437500</v>
      </c>
      <c r="O74" s="12">
        <f t="shared" si="15"/>
        <v>42840000</v>
      </c>
      <c r="P74" s="12">
        <f t="shared" si="16"/>
        <v>11900</v>
      </c>
      <c r="R74" s="23" t="s">
        <v>39</v>
      </c>
      <c r="S74" s="23" t="str">
        <f t="shared" si="17"/>
        <v>73,</v>
      </c>
      <c r="T74" s="23" t="str">
        <f t="shared" si="17"/>
        <v>76,</v>
      </c>
      <c r="U74" s="24">
        <f t="shared" si="18"/>
        <v>77</v>
      </c>
    </row>
    <row r="75" spans="1:21" x14ac:dyDescent="0.25">
      <c r="A75" s="3">
        <v>74</v>
      </c>
      <c r="B75" s="3">
        <v>77</v>
      </c>
      <c r="C75" s="3">
        <v>78</v>
      </c>
      <c r="D75" s="2">
        <f t="shared" si="10"/>
        <v>10985</v>
      </c>
      <c r="E75" s="2">
        <f t="shared" si="11"/>
        <v>5492.5</v>
      </c>
      <c r="F75" s="2">
        <v>2380</v>
      </c>
      <c r="G75" s="2">
        <f t="shared" si="12"/>
        <v>991.66666666666674</v>
      </c>
      <c r="H75" s="4">
        <f>VLOOKUP(B75,nodes!A:D,2,0)</f>
        <v>390</v>
      </c>
      <c r="I75" s="4">
        <f>VLOOKUP(B75,nodes!A:D,4,0)</f>
        <v>210</v>
      </c>
      <c r="J75" s="4">
        <f>VLOOKUP(C75,nodes!A:D,2,0)</f>
        <v>420</v>
      </c>
      <c r="K75" s="4">
        <f>VLOOKUP(C75,nodes!A:D,4,0)</f>
        <v>210</v>
      </c>
      <c r="L75" s="4">
        <f t="shared" si="13"/>
        <v>30</v>
      </c>
      <c r="N75" s="12">
        <f t="shared" si="14"/>
        <v>7437500</v>
      </c>
      <c r="O75" s="12">
        <f t="shared" si="15"/>
        <v>42840000</v>
      </c>
      <c r="P75" s="12">
        <f t="shared" si="16"/>
        <v>11900</v>
      </c>
      <c r="R75" s="23" t="s">
        <v>39</v>
      </c>
      <c r="S75" s="23" t="str">
        <f t="shared" si="17"/>
        <v>74,</v>
      </c>
      <c r="T75" s="23" t="str">
        <f t="shared" si="17"/>
        <v>77,</v>
      </c>
      <c r="U75" s="24">
        <f t="shared" si="18"/>
        <v>78</v>
      </c>
    </row>
    <row r="76" spans="1:21" x14ac:dyDescent="0.25">
      <c r="A76" s="3">
        <v>75</v>
      </c>
      <c r="B76" s="3">
        <v>78</v>
      </c>
      <c r="C76" s="3">
        <v>79</v>
      </c>
      <c r="D76" s="2">
        <f t="shared" si="10"/>
        <v>10985</v>
      </c>
      <c r="E76" s="2">
        <f t="shared" si="11"/>
        <v>5492.5</v>
      </c>
      <c r="F76" s="2">
        <v>2380</v>
      </c>
      <c r="G76" s="2">
        <f t="shared" si="12"/>
        <v>991.66666666666674</v>
      </c>
      <c r="H76" s="4">
        <f>VLOOKUP(B76,nodes!A:D,2,0)</f>
        <v>420</v>
      </c>
      <c r="I76" s="4">
        <f>VLOOKUP(B76,nodes!A:D,4,0)</f>
        <v>210</v>
      </c>
      <c r="J76" s="4">
        <f>VLOOKUP(C76,nodes!A:D,2,0)</f>
        <v>450</v>
      </c>
      <c r="K76" s="4">
        <f>VLOOKUP(C76,nodes!A:D,4,0)</f>
        <v>210</v>
      </c>
      <c r="L76" s="4">
        <f t="shared" si="13"/>
        <v>30</v>
      </c>
      <c r="N76" s="12">
        <f t="shared" si="14"/>
        <v>7437500</v>
      </c>
      <c r="O76" s="12">
        <f t="shared" si="15"/>
        <v>42840000</v>
      </c>
      <c r="P76" s="12">
        <f t="shared" si="16"/>
        <v>11900</v>
      </c>
      <c r="R76" s="23" t="s">
        <v>39</v>
      </c>
      <c r="S76" s="23" t="str">
        <f t="shared" si="17"/>
        <v>75,</v>
      </c>
      <c r="T76" s="23" t="str">
        <f t="shared" si="17"/>
        <v>78,</v>
      </c>
      <c r="U76" s="24">
        <f t="shared" si="18"/>
        <v>79</v>
      </c>
    </row>
    <row r="77" spans="1:21" x14ac:dyDescent="0.25">
      <c r="A77" s="3">
        <v>76</v>
      </c>
      <c r="B77" s="3">
        <v>79</v>
      </c>
      <c r="C77" s="3">
        <v>80</v>
      </c>
      <c r="D77" s="2">
        <f t="shared" si="10"/>
        <v>10985</v>
      </c>
      <c r="E77" s="2">
        <f t="shared" si="11"/>
        <v>5492.5</v>
      </c>
      <c r="F77" s="2">
        <v>2380</v>
      </c>
      <c r="G77" s="2">
        <f t="shared" si="12"/>
        <v>991.66666666666674</v>
      </c>
      <c r="H77" s="4">
        <f>VLOOKUP(B77,nodes!A:D,2,0)</f>
        <v>450</v>
      </c>
      <c r="I77" s="4">
        <f>VLOOKUP(B77,nodes!A:D,4,0)</f>
        <v>210</v>
      </c>
      <c r="J77" s="4">
        <f>VLOOKUP(C77,nodes!A:D,2,0)</f>
        <v>480</v>
      </c>
      <c r="K77" s="4">
        <f>VLOOKUP(C77,nodes!A:D,4,0)</f>
        <v>210</v>
      </c>
      <c r="L77" s="4">
        <f t="shared" si="13"/>
        <v>30</v>
      </c>
      <c r="N77" s="12">
        <f t="shared" si="14"/>
        <v>7437500</v>
      </c>
      <c r="O77" s="12">
        <f t="shared" si="15"/>
        <v>42840000</v>
      </c>
      <c r="P77" s="12">
        <f t="shared" si="16"/>
        <v>11900</v>
      </c>
      <c r="R77" s="23" t="s">
        <v>39</v>
      </c>
      <c r="S77" s="23" t="str">
        <f t="shared" si="17"/>
        <v>76,</v>
      </c>
      <c r="T77" s="23" t="str">
        <f t="shared" si="17"/>
        <v>79,</v>
      </c>
      <c r="U77" s="24">
        <f t="shared" si="18"/>
        <v>80</v>
      </c>
    </row>
    <row r="78" spans="1:21" x14ac:dyDescent="0.25">
      <c r="A78" s="3">
        <v>77</v>
      </c>
      <c r="B78" s="3">
        <v>80</v>
      </c>
      <c r="C78" s="3">
        <v>81</v>
      </c>
      <c r="D78" s="2">
        <f t="shared" si="10"/>
        <v>10985</v>
      </c>
      <c r="E78" s="2">
        <f t="shared" si="11"/>
        <v>5492.5</v>
      </c>
      <c r="F78" s="2">
        <v>2380</v>
      </c>
      <c r="G78" s="2">
        <f t="shared" si="12"/>
        <v>991.66666666666674</v>
      </c>
      <c r="H78" s="4">
        <f>VLOOKUP(B78,nodes!A:D,2,0)</f>
        <v>480</v>
      </c>
      <c r="I78" s="4">
        <f>VLOOKUP(B78,nodes!A:D,4,0)</f>
        <v>210</v>
      </c>
      <c r="J78" s="4">
        <f>VLOOKUP(C78,nodes!A:D,2,0)</f>
        <v>509.99999999999994</v>
      </c>
      <c r="K78" s="4">
        <f>VLOOKUP(C78,nodes!A:D,4,0)</f>
        <v>210</v>
      </c>
      <c r="L78" s="4">
        <f t="shared" si="13"/>
        <v>29.999999999999943</v>
      </c>
      <c r="N78" s="12">
        <f t="shared" si="14"/>
        <v>7437500</v>
      </c>
      <c r="O78" s="12">
        <f t="shared" si="15"/>
        <v>42840000</v>
      </c>
      <c r="P78" s="12">
        <f t="shared" si="16"/>
        <v>11900</v>
      </c>
      <c r="R78" s="23" t="s">
        <v>39</v>
      </c>
      <c r="S78" s="23" t="str">
        <f t="shared" si="17"/>
        <v>77,</v>
      </c>
      <c r="T78" s="23" t="str">
        <f t="shared" si="17"/>
        <v>80,</v>
      </c>
      <c r="U78" s="24">
        <f t="shared" si="18"/>
        <v>81</v>
      </c>
    </row>
    <row r="79" spans="1:21" x14ac:dyDescent="0.25">
      <c r="A79" s="3">
        <v>78</v>
      </c>
      <c r="B79" s="3">
        <v>81</v>
      </c>
      <c r="C79" s="3">
        <v>82</v>
      </c>
      <c r="D79" s="2">
        <f t="shared" si="10"/>
        <v>10985</v>
      </c>
      <c r="E79" s="2">
        <f t="shared" si="11"/>
        <v>5492.5</v>
      </c>
      <c r="F79" s="2">
        <v>2380</v>
      </c>
      <c r="G79" s="2">
        <f t="shared" si="12"/>
        <v>991.66666666666674</v>
      </c>
      <c r="H79" s="4">
        <f>VLOOKUP(B79,nodes!A:D,2,0)</f>
        <v>509.99999999999994</v>
      </c>
      <c r="I79" s="4">
        <f>VLOOKUP(B79,nodes!A:D,4,0)</f>
        <v>210</v>
      </c>
      <c r="J79" s="4">
        <f>VLOOKUP(C79,nodes!A:D,2,0)</f>
        <v>540</v>
      </c>
      <c r="K79" s="4">
        <f>VLOOKUP(C79,nodes!A:D,4,0)</f>
        <v>210</v>
      </c>
      <c r="L79" s="4">
        <f t="shared" si="13"/>
        <v>30.000000000000057</v>
      </c>
      <c r="N79" s="12">
        <f t="shared" si="14"/>
        <v>7437500</v>
      </c>
      <c r="O79" s="12">
        <f t="shared" si="15"/>
        <v>42840000</v>
      </c>
      <c r="P79" s="12">
        <f t="shared" si="16"/>
        <v>11900</v>
      </c>
      <c r="R79" s="23" t="s">
        <v>39</v>
      </c>
      <c r="S79" s="23" t="str">
        <f t="shared" si="17"/>
        <v>78,</v>
      </c>
      <c r="T79" s="23" t="str">
        <f t="shared" si="17"/>
        <v>81,</v>
      </c>
      <c r="U79" s="24">
        <f t="shared" si="18"/>
        <v>82</v>
      </c>
    </row>
    <row r="80" spans="1:21" x14ac:dyDescent="0.25">
      <c r="A80" s="3">
        <v>79</v>
      </c>
      <c r="B80" s="3">
        <v>82</v>
      </c>
      <c r="C80" s="3">
        <v>83</v>
      </c>
      <c r="D80" s="2">
        <f t="shared" si="10"/>
        <v>10985</v>
      </c>
      <c r="E80" s="2">
        <f t="shared" si="11"/>
        <v>5492.5</v>
      </c>
      <c r="F80" s="2">
        <v>2380</v>
      </c>
      <c r="G80" s="2">
        <f t="shared" si="12"/>
        <v>991.66666666666674</v>
      </c>
      <c r="H80" s="4">
        <f>VLOOKUP(B80,nodes!A:D,2,0)</f>
        <v>540</v>
      </c>
      <c r="I80" s="4">
        <f>VLOOKUP(B80,nodes!A:D,4,0)</f>
        <v>210</v>
      </c>
      <c r="J80" s="4">
        <f>VLOOKUP(C80,nodes!A:D,2,0)</f>
        <v>570</v>
      </c>
      <c r="K80" s="4">
        <f>VLOOKUP(C80,nodes!A:D,4,0)</f>
        <v>210</v>
      </c>
      <c r="L80" s="4">
        <f t="shared" si="13"/>
        <v>30</v>
      </c>
      <c r="N80" s="12">
        <f t="shared" si="14"/>
        <v>7437500</v>
      </c>
      <c r="O80" s="12">
        <f t="shared" si="15"/>
        <v>42840000</v>
      </c>
      <c r="P80" s="12">
        <f t="shared" si="16"/>
        <v>11900</v>
      </c>
      <c r="R80" s="23" t="s">
        <v>39</v>
      </c>
      <c r="S80" s="23" t="str">
        <f t="shared" si="17"/>
        <v>79,</v>
      </c>
      <c r="T80" s="23" t="str">
        <f t="shared" si="17"/>
        <v>82,</v>
      </c>
      <c r="U80" s="24">
        <f t="shared" si="18"/>
        <v>83</v>
      </c>
    </row>
    <row r="81" spans="1:21" x14ac:dyDescent="0.25">
      <c r="A81" s="3">
        <v>80</v>
      </c>
      <c r="B81" s="3">
        <v>83</v>
      </c>
      <c r="C81" s="3">
        <v>84</v>
      </c>
      <c r="D81" s="2">
        <f t="shared" si="10"/>
        <v>10985</v>
      </c>
      <c r="E81" s="2">
        <f t="shared" si="11"/>
        <v>5492.5</v>
      </c>
      <c r="F81" s="2">
        <v>2380</v>
      </c>
      <c r="G81" s="2">
        <f t="shared" si="12"/>
        <v>991.66666666666674</v>
      </c>
      <c r="H81" s="4">
        <f>VLOOKUP(B81,nodes!A:D,2,0)</f>
        <v>570</v>
      </c>
      <c r="I81" s="4">
        <f>VLOOKUP(B81,nodes!A:D,4,0)</f>
        <v>210</v>
      </c>
      <c r="J81" s="4">
        <f>VLOOKUP(C81,nodes!A:D,2,0)</f>
        <v>600</v>
      </c>
      <c r="K81" s="4">
        <f>VLOOKUP(C81,nodes!A:D,4,0)</f>
        <v>210</v>
      </c>
      <c r="L81" s="4">
        <f t="shared" si="13"/>
        <v>30</v>
      </c>
      <c r="N81" s="12">
        <f t="shared" si="14"/>
        <v>7437500</v>
      </c>
      <c r="O81" s="12">
        <f t="shared" si="15"/>
        <v>42840000</v>
      </c>
      <c r="P81" s="12">
        <f t="shared" si="16"/>
        <v>11900</v>
      </c>
      <c r="R81" s="23" t="s">
        <v>39</v>
      </c>
      <c r="S81" s="23" t="str">
        <f t="shared" si="17"/>
        <v>80,</v>
      </c>
      <c r="T81" s="23" t="str">
        <f t="shared" si="17"/>
        <v>83,</v>
      </c>
      <c r="U81" s="24">
        <f t="shared" si="18"/>
        <v>84</v>
      </c>
    </row>
    <row r="82" spans="1:21" x14ac:dyDescent="0.25">
      <c r="A82" s="3">
        <v>81</v>
      </c>
      <c r="B82" s="3">
        <v>85</v>
      </c>
      <c r="C82" s="3">
        <v>86</v>
      </c>
      <c r="D82" s="2">
        <f t="shared" si="10"/>
        <v>10985</v>
      </c>
      <c r="E82" s="2">
        <f t="shared" si="11"/>
        <v>5492.5</v>
      </c>
      <c r="F82" s="2">
        <v>2380</v>
      </c>
      <c r="G82" s="2">
        <f t="shared" si="12"/>
        <v>991.66666666666674</v>
      </c>
      <c r="H82" s="4">
        <f>VLOOKUP(B82,nodes!A:D,2,0)</f>
        <v>0</v>
      </c>
      <c r="I82" s="4">
        <f>VLOOKUP(B82,nodes!A:D,4,0)</f>
        <v>180</v>
      </c>
      <c r="J82" s="4">
        <f>VLOOKUP(C82,nodes!A:D,2,0)</f>
        <v>30</v>
      </c>
      <c r="K82" s="4">
        <f>VLOOKUP(C82,nodes!A:D,4,0)</f>
        <v>180</v>
      </c>
      <c r="L82" s="4">
        <f t="shared" si="13"/>
        <v>30</v>
      </c>
      <c r="N82" s="12">
        <f t="shared" si="14"/>
        <v>7437500</v>
      </c>
      <c r="O82" s="12">
        <f t="shared" si="15"/>
        <v>42840000</v>
      </c>
      <c r="P82" s="12">
        <f t="shared" si="16"/>
        <v>11900</v>
      </c>
      <c r="R82" s="23" t="s">
        <v>39</v>
      </c>
      <c r="S82" s="23" t="str">
        <f t="shared" si="17"/>
        <v>81,</v>
      </c>
      <c r="T82" s="23" t="str">
        <f t="shared" si="17"/>
        <v>85,</v>
      </c>
      <c r="U82" s="24">
        <f t="shared" si="18"/>
        <v>86</v>
      </c>
    </row>
    <row r="83" spans="1:21" x14ac:dyDescent="0.25">
      <c r="A83" s="3">
        <v>82</v>
      </c>
      <c r="B83" s="3">
        <v>86</v>
      </c>
      <c r="C83" s="3">
        <v>87</v>
      </c>
      <c r="D83" s="2">
        <f t="shared" si="10"/>
        <v>10985</v>
      </c>
      <c r="E83" s="2">
        <f t="shared" si="11"/>
        <v>5492.5</v>
      </c>
      <c r="F83" s="2">
        <v>2380</v>
      </c>
      <c r="G83" s="2">
        <f t="shared" si="12"/>
        <v>991.66666666666674</v>
      </c>
      <c r="H83" s="4">
        <f>VLOOKUP(B83,nodes!A:D,2,0)</f>
        <v>30</v>
      </c>
      <c r="I83" s="4">
        <f>VLOOKUP(B83,nodes!A:D,4,0)</f>
        <v>180</v>
      </c>
      <c r="J83" s="4">
        <f>VLOOKUP(C83,nodes!A:D,2,0)</f>
        <v>60</v>
      </c>
      <c r="K83" s="4">
        <f>VLOOKUP(C83,nodes!A:D,4,0)</f>
        <v>180</v>
      </c>
      <c r="L83" s="4">
        <f t="shared" si="13"/>
        <v>30</v>
      </c>
      <c r="N83" s="12">
        <f t="shared" si="14"/>
        <v>7437500</v>
      </c>
      <c r="O83" s="12">
        <f t="shared" si="15"/>
        <v>42840000</v>
      </c>
      <c r="P83" s="12">
        <f t="shared" si="16"/>
        <v>11900</v>
      </c>
      <c r="R83" s="23" t="s">
        <v>39</v>
      </c>
      <c r="S83" s="23" t="str">
        <f t="shared" si="17"/>
        <v>82,</v>
      </c>
      <c r="T83" s="23" t="str">
        <f t="shared" si="17"/>
        <v>86,</v>
      </c>
      <c r="U83" s="24">
        <f t="shared" si="18"/>
        <v>87</v>
      </c>
    </row>
    <row r="84" spans="1:21" x14ac:dyDescent="0.25">
      <c r="A84" s="3">
        <v>83</v>
      </c>
      <c r="B84" s="3">
        <v>87</v>
      </c>
      <c r="C84" s="3">
        <v>88</v>
      </c>
      <c r="D84" s="2">
        <f t="shared" si="10"/>
        <v>10985</v>
      </c>
      <c r="E84" s="2">
        <f t="shared" si="11"/>
        <v>5492.5</v>
      </c>
      <c r="F84" s="2">
        <v>2380</v>
      </c>
      <c r="G84" s="2">
        <f t="shared" si="12"/>
        <v>991.66666666666674</v>
      </c>
      <c r="H84" s="4">
        <f>VLOOKUP(B84,nodes!A:D,2,0)</f>
        <v>60</v>
      </c>
      <c r="I84" s="4">
        <f>VLOOKUP(B84,nodes!A:D,4,0)</f>
        <v>180</v>
      </c>
      <c r="J84" s="4">
        <f>VLOOKUP(C84,nodes!A:D,2,0)</f>
        <v>90</v>
      </c>
      <c r="K84" s="4">
        <f>VLOOKUP(C84,nodes!A:D,4,0)</f>
        <v>180</v>
      </c>
      <c r="L84" s="4">
        <f t="shared" si="13"/>
        <v>30</v>
      </c>
      <c r="N84" s="12">
        <f t="shared" si="14"/>
        <v>7437500</v>
      </c>
      <c r="O84" s="12">
        <f t="shared" si="15"/>
        <v>42840000</v>
      </c>
      <c r="P84" s="12">
        <f t="shared" si="16"/>
        <v>11900</v>
      </c>
      <c r="R84" s="23" t="s">
        <v>39</v>
      </c>
      <c r="S84" s="23" t="str">
        <f t="shared" si="17"/>
        <v>83,</v>
      </c>
      <c r="T84" s="23" t="str">
        <f t="shared" si="17"/>
        <v>87,</v>
      </c>
      <c r="U84" s="24">
        <f t="shared" si="18"/>
        <v>88</v>
      </c>
    </row>
    <row r="85" spans="1:21" x14ac:dyDescent="0.25">
      <c r="A85" s="3">
        <v>84</v>
      </c>
      <c r="B85" s="3">
        <v>88</v>
      </c>
      <c r="C85" s="3">
        <v>89</v>
      </c>
      <c r="D85" s="2">
        <f t="shared" si="10"/>
        <v>10985</v>
      </c>
      <c r="E85" s="2">
        <f t="shared" si="11"/>
        <v>5492.5</v>
      </c>
      <c r="F85" s="2">
        <v>2380</v>
      </c>
      <c r="G85" s="2">
        <f t="shared" si="12"/>
        <v>991.66666666666674</v>
      </c>
      <c r="H85" s="4">
        <f>VLOOKUP(B85,nodes!A:D,2,0)</f>
        <v>90</v>
      </c>
      <c r="I85" s="4">
        <f>VLOOKUP(B85,nodes!A:D,4,0)</f>
        <v>180</v>
      </c>
      <c r="J85" s="4">
        <f>VLOOKUP(C85,nodes!A:D,2,0)</f>
        <v>120</v>
      </c>
      <c r="K85" s="4">
        <f>VLOOKUP(C85,nodes!A:D,4,0)</f>
        <v>180</v>
      </c>
      <c r="L85" s="4">
        <f t="shared" si="13"/>
        <v>30</v>
      </c>
      <c r="N85" s="12">
        <f t="shared" si="14"/>
        <v>7437500</v>
      </c>
      <c r="O85" s="12">
        <f t="shared" si="15"/>
        <v>42840000</v>
      </c>
      <c r="P85" s="12">
        <f t="shared" si="16"/>
        <v>11900</v>
      </c>
      <c r="R85" s="23" t="s">
        <v>39</v>
      </c>
      <c r="S85" s="23" t="str">
        <f t="shared" si="17"/>
        <v>84,</v>
      </c>
      <c r="T85" s="23" t="str">
        <f t="shared" si="17"/>
        <v>88,</v>
      </c>
      <c r="U85" s="24">
        <f t="shared" si="18"/>
        <v>89</v>
      </c>
    </row>
    <row r="86" spans="1:21" x14ac:dyDescent="0.25">
      <c r="A86" s="3">
        <v>85</v>
      </c>
      <c r="B86" s="3">
        <v>89</v>
      </c>
      <c r="C86" s="3">
        <v>90</v>
      </c>
      <c r="D86" s="2">
        <f t="shared" si="10"/>
        <v>10985</v>
      </c>
      <c r="E86" s="2">
        <f t="shared" si="11"/>
        <v>5492.5</v>
      </c>
      <c r="F86" s="2">
        <v>2380</v>
      </c>
      <c r="G86" s="2">
        <f t="shared" si="12"/>
        <v>991.66666666666674</v>
      </c>
      <c r="H86" s="4">
        <f>VLOOKUP(B86,nodes!A:D,2,0)</f>
        <v>120</v>
      </c>
      <c r="I86" s="4">
        <f>VLOOKUP(B86,nodes!A:D,4,0)</f>
        <v>180</v>
      </c>
      <c r="J86" s="4">
        <f>VLOOKUP(C86,nodes!A:D,2,0)</f>
        <v>150</v>
      </c>
      <c r="K86" s="4">
        <f>VLOOKUP(C86,nodes!A:D,4,0)</f>
        <v>180</v>
      </c>
      <c r="L86" s="4">
        <f t="shared" si="13"/>
        <v>30</v>
      </c>
      <c r="N86" s="12">
        <f t="shared" si="14"/>
        <v>7437500</v>
      </c>
      <c r="O86" s="12">
        <f t="shared" si="15"/>
        <v>42840000</v>
      </c>
      <c r="P86" s="12">
        <f t="shared" si="16"/>
        <v>11900</v>
      </c>
      <c r="R86" s="23" t="s">
        <v>39</v>
      </c>
      <c r="S86" s="23" t="str">
        <f t="shared" si="17"/>
        <v>85,</v>
      </c>
      <c r="T86" s="23" t="str">
        <f t="shared" si="17"/>
        <v>89,</v>
      </c>
      <c r="U86" s="24">
        <f t="shared" si="18"/>
        <v>90</v>
      </c>
    </row>
    <row r="87" spans="1:21" x14ac:dyDescent="0.25">
      <c r="A87" s="3">
        <v>86</v>
      </c>
      <c r="B87" s="3">
        <v>90</v>
      </c>
      <c r="C87" s="3">
        <v>91</v>
      </c>
      <c r="D87" s="2">
        <f t="shared" si="10"/>
        <v>10985</v>
      </c>
      <c r="E87" s="2">
        <f t="shared" si="11"/>
        <v>5492.5</v>
      </c>
      <c r="F87" s="2">
        <v>2380</v>
      </c>
      <c r="G87" s="2">
        <f t="shared" si="12"/>
        <v>991.66666666666674</v>
      </c>
      <c r="H87" s="4">
        <f>VLOOKUP(B87,nodes!A:D,2,0)</f>
        <v>150</v>
      </c>
      <c r="I87" s="4">
        <f>VLOOKUP(B87,nodes!A:D,4,0)</f>
        <v>180</v>
      </c>
      <c r="J87" s="4">
        <f>VLOOKUP(C87,nodes!A:D,2,0)</f>
        <v>180</v>
      </c>
      <c r="K87" s="4">
        <f>VLOOKUP(C87,nodes!A:D,4,0)</f>
        <v>180</v>
      </c>
      <c r="L87" s="4">
        <f t="shared" si="13"/>
        <v>30</v>
      </c>
      <c r="N87" s="12">
        <f t="shared" si="14"/>
        <v>7437500</v>
      </c>
      <c r="O87" s="12">
        <f t="shared" si="15"/>
        <v>42840000</v>
      </c>
      <c r="P87" s="12">
        <f t="shared" si="16"/>
        <v>11900</v>
      </c>
      <c r="R87" s="23" t="s">
        <v>39</v>
      </c>
      <c r="S87" s="23" t="str">
        <f t="shared" si="17"/>
        <v>86,</v>
      </c>
      <c r="T87" s="23" t="str">
        <f t="shared" si="17"/>
        <v>90,</v>
      </c>
      <c r="U87" s="24">
        <f t="shared" si="18"/>
        <v>91</v>
      </c>
    </row>
    <row r="88" spans="1:21" x14ac:dyDescent="0.25">
      <c r="A88" s="3">
        <v>87</v>
      </c>
      <c r="B88" s="3">
        <v>91</v>
      </c>
      <c r="C88" s="3">
        <v>92</v>
      </c>
      <c r="D88" s="2">
        <f t="shared" si="10"/>
        <v>10985</v>
      </c>
      <c r="E88" s="2">
        <f t="shared" si="11"/>
        <v>5492.5</v>
      </c>
      <c r="F88" s="2">
        <v>2380</v>
      </c>
      <c r="G88" s="2">
        <f t="shared" si="12"/>
        <v>991.66666666666674</v>
      </c>
      <c r="H88" s="4">
        <f>VLOOKUP(B88,nodes!A:D,2,0)</f>
        <v>180</v>
      </c>
      <c r="I88" s="4">
        <f>VLOOKUP(B88,nodes!A:D,4,0)</f>
        <v>180</v>
      </c>
      <c r="J88" s="4">
        <f>VLOOKUP(C88,nodes!A:D,2,0)</f>
        <v>210</v>
      </c>
      <c r="K88" s="4">
        <f>VLOOKUP(C88,nodes!A:D,4,0)</f>
        <v>180</v>
      </c>
      <c r="L88" s="4">
        <f t="shared" si="13"/>
        <v>30</v>
      </c>
      <c r="N88" s="12">
        <f t="shared" si="14"/>
        <v>7437500</v>
      </c>
      <c r="O88" s="12">
        <f t="shared" si="15"/>
        <v>42840000</v>
      </c>
      <c r="P88" s="12">
        <f t="shared" si="16"/>
        <v>11900</v>
      </c>
      <c r="R88" s="23" t="s">
        <v>39</v>
      </c>
      <c r="S88" s="23" t="str">
        <f t="shared" si="17"/>
        <v>87,</v>
      </c>
      <c r="T88" s="23" t="str">
        <f t="shared" si="17"/>
        <v>91,</v>
      </c>
      <c r="U88" s="24">
        <f t="shared" si="18"/>
        <v>92</v>
      </c>
    </row>
    <row r="89" spans="1:21" x14ac:dyDescent="0.25">
      <c r="A89" s="3">
        <v>88</v>
      </c>
      <c r="B89" s="3">
        <v>92</v>
      </c>
      <c r="C89" s="3">
        <v>93</v>
      </c>
      <c r="D89" s="2">
        <f t="shared" si="10"/>
        <v>10985</v>
      </c>
      <c r="E89" s="2">
        <f t="shared" si="11"/>
        <v>5492.5</v>
      </c>
      <c r="F89" s="2">
        <v>2380</v>
      </c>
      <c r="G89" s="2">
        <f t="shared" si="12"/>
        <v>991.66666666666674</v>
      </c>
      <c r="H89" s="4">
        <f>VLOOKUP(B89,nodes!A:D,2,0)</f>
        <v>210</v>
      </c>
      <c r="I89" s="4">
        <f>VLOOKUP(B89,nodes!A:D,4,0)</f>
        <v>180</v>
      </c>
      <c r="J89" s="4">
        <f>VLOOKUP(C89,nodes!A:D,2,0)</f>
        <v>240</v>
      </c>
      <c r="K89" s="4">
        <f>VLOOKUP(C89,nodes!A:D,4,0)</f>
        <v>180</v>
      </c>
      <c r="L89" s="4">
        <f t="shared" si="13"/>
        <v>30</v>
      </c>
      <c r="N89" s="12">
        <f t="shared" si="14"/>
        <v>7437500</v>
      </c>
      <c r="O89" s="12">
        <f t="shared" si="15"/>
        <v>42840000</v>
      </c>
      <c r="P89" s="12">
        <f t="shared" si="16"/>
        <v>11900</v>
      </c>
      <c r="R89" s="23" t="s">
        <v>39</v>
      </c>
      <c r="S89" s="23" t="str">
        <f t="shared" si="17"/>
        <v>88,</v>
      </c>
      <c r="T89" s="23" t="str">
        <f t="shared" si="17"/>
        <v>92,</v>
      </c>
      <c r="U89" s="24">
        <f t="shared" si="18"/>
        <v>93</v>
      </c>
    </row>
    <row r="90" spans="1:21" x14ac:dyDescent="0.25">
      <c r="A90" s="3">
        <v>89</v>
      </c>
      <c r="B90" s="3">
        <v>93</v>
      </c>
      <c r="C90" s="3">
        <v>94</v>
      </c>
      <c r="D90" s="2">
        <f t="shared" si="10"/>
        <v>10985</v>
      </c>
      <c r="E90" s="2">
        <f t="shared" si="11"/>
        <v>5492.5</v>
      </c>
      <c r="F90" s="2">
        <v>2380</v>
      </c>
      <c r="G90" s="2">
        <f t="shared" si="12"/>
        <v>991.66666666666674</v>
      </c>
      <c r="H90" s="4">
        <f>VLOOKUP(B90,nodes!A:D,2,0)</f>
        <v>240</v>
      </c>
      <c r="I90" s="4">
        <f>VLOOKUP(B90,nodes!A:D,4,0)</f>
        <v>180</v>
      </c>
      <c r="J90" s="4">
        <f>VLOOKUP(C90,nodes!A:D,2,0)</f>
        <v>270</v>
      </c>
      <c r="K90" s="4">
        <f>VLOOKUP(C90,nodes!A:D,4,0)</f>
        <v>180</v>
      </c>
      <c r="L90" s="4">
        <f t="shared" si="13"/>
        <v>30</v>
      </c>
      <c r="N90" s="12">
        <f t="shared" si="14"/>
        <v>7437500</v>
      </c>
      <c r="O90" s="12">
        <f t="shared" si="15"/>
        <v>42840000</v>
      </c>
      <c r="P90" s="12">
        <f t="shared" si="16"/>
        <v>11900</v>
      </c>
      <c r="R90" s="23" t="s">
        <v>39</v>
      </c>
      <c r="S90" s="23" t="str">
        <f t="shared" si="17"/>
        <v>89,</v>
      </c>
      <c r="T90" s="23" t="str">
        <f t="shared" si="17"/>
        <v>93,</v>
      </c>
      <c r="U90" s="24">
        <f t="shared" si="18"/>
        <v>94</v>
      </c>
    </row>
    <row r="91" spans="1:21" x14ac:dyDescent="0.25">
      <c r="A91" s="3">
        <v>90</v>
      </c>
      <c r="B91" s="3">
        <v>94</v>
      </c>
      <c r="C91" s="3">
        <v>95</v>
      </c>
      <c r="D91" s="2">
        <f t="shared" si="10"/>
        <v>10985</v>
      </c>
      <c r="E91" s="2">
        <f t="shared" si="11"/>
        <v>5492.5</v>
      </c>
      <c r="F91" s="2">
        <v>2380</v>
      </c>
      <c r="G91" s="2">
        <f t="shared" si="12"/>
        <v>991.66666666666674</v>
      </c>
      <c r="H91" s="4">
        <f>VLOOKUP(B91,nodes!A:D,2,0)</f>
        <v>270</v>
      </c>
      <c r="I91" s="4">
        <f>VLOOKUP(B91,nodes!A:D,4,0)</f>
        <v>180</v>
      </c>
      <c r="J91" s="4">
        <f>VLOOKUP(C91,nodes!A:D,2,0)</f>
        <v>300</v>
      </c>
      <c r="K91" s="4">
        <f>VLOOKUP(C91,nodes!A:D,4,0)</f>
        <v>180</v>
      </c>
      <c r="L91" s="4">
        <f t="shared" si="13"/>
        <v>30</v>
      </c>
      <c r="N91" s="12">
        <f t="shared" si="14"/>
        <v>7437500</v>
      </c>
      <c r="O91" s="12">
        <f t="shared" si="15"/>
        <v>42840000</v>
      </c>
      <c r="P91" s="12">
        <f t="shared" si="16"/>
        <v>11900</v>
      </c>
      <c r="R91" s="23" t="s">
        <v>39</v>
      </c>
      <c r="S91" s="23" t="str">
        <f t="shared" si="17"/>
        <v>90,</v>
      </c>
      <c r="T91" s="23" t="str">
        <f t="shared" si="17"/>
        <v>94,</v>
      </c>
      <c r="U91" s="24">
        <f t="shared" si="18"/>
        <v>95</v>
      </c>
    </row>
    <row r="92" spans="1:21" x14ac:dyDescent="0.25">
      <c r="A92" s="3">
        <v>91</v>
      </c>
      <c r="B92" s="3">
        <v>95</v>
      </c>
      <c r="C92" s="3">
        <v>96</v>
      </c>
      <c r="D92" s="2">
        <f t="shared" si="10"/>
        <v>10985</v>
      </c>
      <c r="E92" s="2">
        <f t="shared" si="11"/>
        <v>5492.5</v>
      </c>
      <c r="F92" s="2">
        <v>2380</v>
      </c>
      <c r="G92" s="2">
        <f t="shared" si="12"/>
        <v>991.66666666666674</v>
      </c>
      <c r="H92" s="4">
        <f>VLOOKUP(B92,nodes!A:D,2,0)</f>
        <v>300</v>
      </c>
      <c r="I92" s="4">
        <f>VLOOKUP(B92,nodes!A:D,4,0)</f>
        <v>180</v>
      </c>
      <c r="J92" s="4">
        <f>VLOOKUP(C92,nodes!A:D,2,0)</f>
        <v>330</v>
      </c>
      <c r="K92" s="4">
        <f>VLOOKUP(C92,nodes!A:D,4,0)</f>
        <v>180</v>
      </c>
      <c r="L92" s="4">
        <f t="shared" si="13"/>
        <v>30</v>
      </c>
      <c r="N92" s="12">
        <f t="shared" si="14"/>
        <v>7437500</v>
      </c>
      <c r="O92" s="12">
        <f t="shared" si="15"/>
        <v>42840000</v>
      </c>
      <c r="P92" s="12">
        <f t="shared" si="16"/>
        <v>11900</v>
      </c>
      <c r="R92" s="23" t="s">
        <v>39</v>
      </c>
      <c r="S92" s="23" t="str">
        <f t="shared" si="17"/>
        <v>91,</v>
      </c>
      <c r="T92" s="23" t="str">
        <f t="shared" si="17"/>
        <v>95,</v>
      </c>
      <c r="U92" s="24">
        <f t="shared" si="18"/>
        <v>96</v>
      </c>
    </row>
    <row r="93" spans="1:21" x14ac:dyDescent="0.25">
      <c r="A93" s="3">
        <v>92</v>
      </c>
      <c r="B93" s="3">
        <v>96</v>
      </c>
      <c r="C93" s="3">
        <v>97</v>
      </c>
      <c r="D93" s="2">
        <f t="shared" si="10"/>
        <v>10985</v>
      </c>
      <c r="E93" s="2">
        <f t="shared" si="11"/>
        <v>5492.5</v>
      </c>
      <c r="F93" s="2">
        <v>2380</v>
      </c>
      <c r="G93" s="2">
        <f t="shared" si="12"/>
        <v>991.66666666666674</v>
      </c>
      <c r="H93" s="4">
        <f>VLOOKUP(B93,nodes!A:D,2,0)</f>
        <v>330</v>
      </c>
      <c r="I93" s="4">
        <f>VLOOKUP(B93,nodes!A:D,4,0)</f>
        <v>180</v>
      </c>
      <c r="J93" s="4">
        <f>VLOOKUP(C93,nodes!A:D,2,0)</f>
        <v>360</v>
      </c>
      <c r="K93" s="4">
        <f>VLOOKUP(C93,nodes!A:D,4,0)</f>
        <v>180</v>
      </c>
      <c r="L93" s="4">
        <f t="shared" si="13"/>
        <v>30</v>
      </c>
      <c r="N93" s="12">
        <f t="shared" si="14"/>
        <v>7437500</v>
      </c>
      <c r="O93" s="12">
        <f t="shared" si="15"/>
        <v>42840000</v>
      </c>
      <c r="P93" s="12">
        <f t="shared" si="16"/>
        <v>11900</v>
      </c>
      <c r="R93" s="23" t="s">
        <v>39</v>
      </c>
      <c r="S93" s="23" t="str">
        <f t="shared" si="17"/>
        <v>92,</v>
      </c>
      <c r="T93" s="23" t="str">
        <f t="shared" si="17"/>
        <v>96,</v>
      </c>
      <c r="U93" s="24">
        <f t="shared" si="18"/>
        <v>97</v>
      </c>
    </row>
    <row r="94" spans="1:21" x14ac:dyDescent="0.25">
      <c r="A94" s="3">
        <v>93</v>
      </c>
      <c r="B94" s="3">
        <v>97</v>
      </c>
      <c r="C94" s="3">
        <v>98</v>
      </c>
      <c r="D94" s="2">
        <f t="shared" si="10"/>
        <v>10985</v>
      </c>
      <c r="E94" s="2">
        <f t="shared" si="11"/>
        <v>5492.5</v>
      </c>
      <c r="F94" s="2">
        <v>2380</v>
      </c>
      <c r="G94" s="2">
        <f t="shared" si="12"/>
        <v>991.66666666666674</v>
      </c>
      <c r="H94" s="4">
        <f>VLOOKUP(B94,nodes!A:D,2,0)</f>
        <v>360</v>
      </c>
      <c r="I94" s="4">
        <f>VLOOKUP(B94,nodes!A:D,4,0)</f>
        <v>180</v>
      </c>
      <c r="J94" s="4">
        <f>VLOOKUP(C94,nodes!A:D,2,0)</f>
        <v>390</v>
      </c>
      <c r="K94" s="4">
        <f>VLOOKUP(C94,nodes!A:D,4,0)</f>
        <v>180</v>
      </c>
      <c r="L94" s="4">
        <f t="shared" si="13"/>
        <v>30</v>
      </c>
      <c r="N94" s="12">
        <f t="shared" si="14"/>
        <v>7437500</v>
      </c>
      <c r="O94" s="12">
        <f t="shared" si="15"/>
        <v>42840000</v>
      </c>
      <c r="P94" s="12">
        <f t="shared" si="16"/>
        <v>11900</v>
      </c>
      <c r="R94" s="23" t="s">
        <v>39</v>
      </c>
      <c r="S94" s="23" t="str">
        <f t="shared" si="17"/>
        <v>93,</v>
      </c>
      <c r="T94" s="23" t="str">
        <f t="shared" si="17"/>
        <v>97,</v>
      </c>
      <c r="U94" s="24">
        <f t="shared" si="18"/>
        <v>98</v>
      </c>
    </row>
    <row r="95" spans="1:21" x14ac:dyDescent="0.25">
      <c r="A95" s="3">
        <v>94</v>
      </c>
      <c r="B95" s="3">
        <v>98</v>
      </c>
      <c r="C95" s="3">
        <v>99</v>
      </c>
      <c r="D95" s="2">
        <f t="shared" si="10"/>
        <v>10985</v>
      </c>
      <c r="E95" s="2">
        <f t="shared" si="11"/>
        <v>5492.5</v>
      </c>
      <c r="F95" s="2">
        <v>2380</v>
      </c>
      <c r="G95" s="2">
        <f t="shared" si="12"/>
        <v>991.66666666666674</v>
      </c>
      <c r="H95" s="4">
        <f>VLOOKUP(B95,nodes!A:D,2,0)</f>
        <v>390</v>
      </c>
      <c r="I95" s="4">
        <f>VLOOKUP(B95,nodes!A:D,4,0)</f>
        <v>180</v>
      </c>
      <c r="J95" s="4">
        <f>VLOOKUP(C95,nodes!A:D,2,0)</f>
        <v>420</v>
      </c>
      <c r="K95" s="4">
        <f>VLOOKUP(C95,nodes!A:D,4,0)</f>
        <v>180</v>
      </c>
      <c r="L95" s="4">
        <f t="shared" si="13"/>
        <v>30</v>
      </c>
      <c r="N95" s="12">
        <f t="shared" si="14"/>
        <v>7437500</v>
      </c>
      <c r="O95" s="12">
        <f t="shared" si="15"/>
        <v>42840000</v>
      </c>
      <c r="P95" s="12">
        <f t="shared" si="16"/>
        <v>11900</v>
      </c>
      <c r="R95" s="23" t="s">
        <v>39</v>
      </c>
      <c r="S95" s="23" t="str">
        <f t="shared" si="17"/>
        <v>94,</v>
      </c>
      <c r="T95" s="23" t="str">
        <f t="shared" si="17"/>
        <v>98,</v>
      </c>
      <c r="U95" s="24">
        <f t="shared" si="18"/>
        <v>99</v>
      </c>
    </row>
    <row r="96" spans="1:21" x14ac:dyDescent="0.25">
      <c r="A96" s="3">
        <v>95</v>
      </c>
      <c r="B96" s="3">
        <v>99</v>
      </c>
      <c r="C96" s="3">
        <v>100</v>
      </c>
      <c r="D96" s="2">
        <f t="shared" si="10"/>
        <v>10985</v>
      </c>
      <c r="E96" s="2">
        <f t="shared" si="11"/>
        <v>5492.5</v>
      </c>
      <c r="F96" s="2">
        <v>2380</v>
      </c>
      <c r="G96" s="2">
        <f t="shared" si="12"/>
        <v>991.66666666666674</v>
      </c>
      <c r="H96" s="4">
        <f>VLOOKUP(B96,nodes!A:D,2,0)</f>
        <v>420</v>
      </c>
      <c r="I96" s="4">
        <f>VLOOKUP(B96,nodes!A:D,4,0)</f>
        <v>180</v>
      </c>
      <c r="J96" s="4">
        <f>VLOOKUP(C96,nodes!A:D,2,0)</f>
        <v>450</v>
      </c>
      <c r="K96" s="4">
        <f>VLOOKUP(C96,nodes!A:D,4,0)</f>
        <v>180</v>
      </c>
      <c r="L96" s="4">
        <f t="shared" si="13"/>
        <v>30</v>
      </c>
      <c r="N96" s="12">
        <f t="shared" si="14"/>
        <v>7437500</v>
      </c>
      <c r="O96" s="12">
        <f t="shared" si="15"/>
        <v>42840000</v>
      </c>
      <c r="P96" s="12">
        <f t="shared" si="16"/>
        <v>11900</v>
      </c>
      <c r="R96" s="23" t="s">
        <v>39</v>
      </c>
      <c r="S96" s="23" t="str">
        <f t="shared" si="17"/>
        <v>95,</v>
      </c>
      <c r="T96" s="23" t="str">
        <f t="shared" si="17"/>
        <v>99,</v>
      </c>
      <c r="U96" s="24">
        <f t="shared" si="18"/>
        <v>100</v>
      </c>
    </row>
    <row r="97" spans="1:21" x14ac:dyDescent="0.25">
      <c r="A97" s="3">
        <v>96</v>
      </c>
      <c r="B97" s="3">
        <v>100</v>
      </c>
      <c r="C97" s="3">
        <v>101</v>
      </c>
      <c r="D97" s="2">
        <f t="shared" si="10"/>
        <v>10985</v>
      </c>
      <c r="E97" s="2">
        <f t="shared" si="11"/>
        <v>5492.5</v>
      </c>
      <c r="F97" s="2">
        <v>2380</v>
      </c>
      <c r="G97" s="2">
        <f t="shared" si="12"/>
        <v>991.66666666666674</v>
      </c>
      <c r="H97" s="4">
        <f>VLOOKUP(B97,nodes!A:D,2,0)</f>
        <v>450</v>
      </c>
      <c r="I97" s="4">
        <f>VLOOKUP(B97,nodes!A:D,4,0)</f>
        <v>180</v>
      </c>
      <c r="J97" s="4">
        <f>VLOOKUP(C97,nodes!A:D,2,0)</f>
        <v>480</v>
      </c>
      <c r="K97" s="4">
        <f>VLOOKUP(C97,nodes!A:D,4,0)</f>
        <v>180</v>
      </c>
      <c r="L97" s="4">
        <f t="shared" si="13"/>
        <v>30</v>
      </c>
      <c r="N97" s="12">
        <f t="shared" si="14"/>
        <v>7437500</v>
      </c>
      <c r="O97" s="12">
        <f t="shared" si="15"/>
        <v>42840000</v>
      </c>
      <c r="P97" s="12">
        <f t="shared" si="16"/>
        <v>11900</v>
      </c>
      <c r="R97" s="23" t="s">
        <v>39</v>
      </c>
      <c r="S97" s="23" t="str">
        <f t="shared" si="17"/>
        <v>96,</v>
      </c>
      <c r="T97" s="23" t="str">
        <f t="shared" si="17"/>
        <v>100,</v>
      </c>
      <c r="U97" s="24">
        <f t="shared" si="18"/>
        <v>101</v>
      </c>
    </row>
    <row r="98" spans="1:21" x14ac:dyDescent="0.25">
      <c r="A98" s="3">
        <v>97</v>
      </c>
      <c r="B98" s="3">
        <v>101</v>
      </c>
      <c r="C98" s="3">
        <v>102</v>
      </c>
      <c r="D98" s="2">
        <f t="shared" si="10"/>
        <v>10985</v>
      </c>
      <c r="E98" s="2">
        <f t="shared" si="11"/>
        <v>5492.5</v>
      </c>
      <c r="F98" s="2">
        <v>2380</v>
      </c>
      <c r="G98" s="2">
        <f t="shared" si="12"/>
        <v>991.66666666666674</v>
      </c>
      <c r="H98" s="4">
        <f>VLOOKUP(B98,nodes!A:D,2,0)</f>
        <v>480</v>
      </c>
      <c r="I98" s="4">
        <f>VLOOKUP(B98,nodes!A:D,4,0)</f>
        <v>180</v>
      </c>
      <c r="J98" s="4">
        <f>VLOOKUP(C98,nodes!A:D,2,0)</f>
        <v>509.99999999999994</v>
      </c>
      <c r="K98" s="4">
        <f>VLOOKUP(C98,nodes!A:D,4,0)</f>
        <v>180</v>
      </c>
      <c r="L98" s="4">
        <f t="shared" si="13"/>
        <v>29.999999999999943</v>
      </c>
      <c r="N98" s="12">
        <f t="shared" si="14"/>
        <v>7437500</v>
      </c>
      <c r="O98" s="12">
        <f t="shared" si="15"/>
        <v>42840000</v>
      </c>
      <c r="P98" s="12">
        <f t="shared" si="16"/>
        <v>11900</v>
      </c>
      <c r="R98" s="23" t="s">
        <v>39</v>
      </c>
      <c r="S98" s="23" t="str">
        <f t="shared" si="17"/>
        <v>97,</v>
      </c>
      <c r="T98" s="23" t="str">
        <f t="shared" si="17"/>
        <v>101,</v>
      </c>
      <c r="U98" s="24">
        <f t="shared" si="18"/>
        <v>102</v>
      </c>
    </row>
    <row r="99" spans="1:21" x14ac:dyDescent="0.25">
      <c r="A99" s="3">
        <v>98</v>
      </c>
      <c r="B99" s="3">
        <v>102</v>
      </c>
      <c r="C99" s="3">
        <v>103</v>
      </c>
      <c r="D99" s="2">
        <f t="shared" si="10"/>
        <v>10985</v>
      </c>
      <c r="E99" s="2">
        <f t="shared" si="11"/>
        <v>5492.5</v>
      </c>
      <c r="F99" s="2">
        <v>2380</v>
      </c>
      <c r="G99" s="2">
        <f t="shared" si="12"/>
        <v>991.66666666666674</v>
      </c>
      <c r="H99" s="4">
        <f>VLOOKUP(B99,nodes!A:D,2,0)</f>
        <v>509.99999999999994</v>
      </c>
      <c r="I99" s="4">
        <f>VLOOKUP(B99,nodes!A:D,4,0)</f>
        <v>180</v>
      </c>
      <c r="J99" s="4">
        <f>VLOOKUP(C99,nodes!A:D,2,0)</f>
        <v>540</v>
      </c>
      <c r="K99" s="4">
        <f>VLOOKUP(C99,nodes!A:D,4,0)</f>
        <v>180</v>
      </c>
      <c r="L99" s="4">
        <f t="shared" si="13"/>
        <v>30.000000000000057</v>
      </c>
      <c r="N99" s="12">
        <f t="shared" si="14"/>
        <v>7437500</v>
      </c>
      <c r="O99" s="12">
        <f t="shared" si="15"/>
        <v>42840000</v>
      </c>
      <c r="P99" s="12">
        <f t="shared" si="16"/>
        <v>11900</v>
      </c>
      <c r="R99" s="23" t="s">
        <v>39</v>
      </c>
      <c r="S99" s="23" t="str">
        <f t="shared" si="17"/>
        <v>98,</v>
      </c>
      <c r="T99" s="23" t="str">
        <f t="shared" si="17"/>
        <v>102,</v>
      </c>
      <c r="U99" s="24">
        <f t="shared" si="18"/>
        <v>103</v>
      </c>
    </row>
    <row r="100" spans="1:21" x14ac:dyDescent="0.25">
      <c r="A100" s="3">
        <v>99</v>
      </c>
      <c r="B100" s="3">
        <v>103</v>
      </c>
      <c r="C100" s="3">
        <v>104</v>
      </c>
      <c r="D100" s="2">
        <f t="shared" si="10"/>
        <v>10985</v>
      </c>
      <c r="E100" s="2">
        <f t="shared" si="11"/>
        <v>5492.5</v>
      </c>
      <c r="F100" s="2">
        <v>2380</v>
      </c>
      <c r="G100" s="2">
        <f t="shared" si="12"/>
        <v>991.66666666666674</v>
      </c>
      <c r="H100" s="4">
        <f>VLOOKUP(B100,nodes!A:D,2,0)</f>
        <v>540</v>
      </c>
      <c r="I100" s="4">
        <f>VLOOKUP(B100,nodes!A:D,4,0)</f>
        <v>180</v>
      </c>
      <c r="J100" s="4">
        <f>VLOOKUP(C100,nodes!A:D,2,0)</f>
        <v>570</v>
      </c>
      <c r="K100" s="4">
        <f>VLOOKUP(C100,nodes!A:D,4,0)</f>
        <v>180</v>
      </c>
      <c r="L100" s="4">
        <f t="shared" si="13"/>
        <v>30</v>
      </c>
      <c r="N100" s="12">
        <f t="shared" si="14"/>
        <v>7437500</v>
      </c>
      <c r="O100" s="12">
        <f t="shared" si="15"/>
        <v>42840000</v>
      </c>
      <c r="P100" s="12">
        <f t="shared" si="16"/>
        <v>11900</v>
      </c>
      <c r="R100" s="23" t="s">
        <v>39</v>
      </c>
      <c r="S100" s="23" t="str">
        <f t="shared" si="17"/>
        <v>99,</v>
      </c>
      <c r="T100" s="23" t="str">
        <f t="shared" si="17"/>
        <v>103,</v>
      </c>
      <c r="U100" s="24">
        <f t="shared" si="18"/>
        <v>104</v>
      </c>
    </row>
    <row r="101" spans="1:21" x14ac:dyDescent="0.25">
      <c r="A101" s="3">
        <v>100</v>
      </c>
      <c r="B101" s="3">
        <v>104</v>
      </c>
      <c r="C101" s="3">
        <v>105</v>
      </c>
      <c r="D101" s="2">
        <f t="shared" si="10"/>
        <v>10985</v>
      </c>
      <c r="E101" s="2">
        <f t="shared" si="11"/>
        <v>5492.5</v>
      </c>
      <c r="F101" s="2">
        <v>2380</v>
      </c>
      <c r="G101" s="2">
        <f t="shared" si="12"/>
        <v>991.66666666666674</v>
      </c>
      <c r="H101" s="4">
        <f>VLOOKUP(B101,nodes!A:D,2,0)</f>
        <v>570</v>
      </c>
      <c r="I101" s="4">
        <f>VLOOKUP(B101,nodes!A:D,4,0)</f>
        <v>180</v>
      </c>
      <c r="J101" s="4">
        <f>VLOOKUP(C101,nodes!A:D,2,0)</f>
        <v>600</v>
      </c>
      <c r="K101" s="4">
        <f>VLOOKUP(C101,nodes!A:D,4,0)</f>
        <v>180</v>
      </c>
      <c r="L101" s="4">
        <f t="shared" si="13"/>
        <v>30</v>
      </c>
      <c r="N101" s="12">
        <f t="shared" si="14"/>
        <v>7437500</v>
      </c>
      <c r="O101" s="12">
        <f t="shared" si="15"/>
        <v>42840000</v>
      </c>
      <c r="P101" s="12">
        <f t="shared" si="16"/>
        <v>11900</v>
      </c>
      <c r="R101" s="23" t="s">
        <v>39</v>
      </c>
      <c r="S101" s="23" t="str">
        <f t="shared" si="17"/>
        <v>100,</v>
      </c>
      <c r="T101" s="23" t="str">
        <f t="shared" si="17"/>
        <v>104,</v>
      </c>
      <c r="U101" s="24">
        <f t="shared" si="18"/>
        <v>105</v>
      </c>
    </row>
    <row r="102" spans="1:21" x14ac:dyDescent="0.25">
      <c r="A102" s="3">
        <v>101</v>
      </c>
      <c r="B102" s="3">
        <v>106</v>
      </c>
      <c r="C102" s="3">
        <v>107</v>
      </c>
      <c r="D102" s="2">
        <f t="shared" si="10"/>
        <v>10985</v>
      </c>
      <c r="E102" s="2">
        <f t="shared" si="11"/>
        <v>5492.5</v>
      </c>
      <c r="F102" s="2">
        <v>2380</v>
      </c>
      <c r="G102" s="2">
        <f t="shared" si="12"/>
        <v>991.66666666666674</v>
      </c>
      <c r="H102" s="4">
        <f>VLOOKUP(B102,nodes!A:D,2,0)</f>
        <v>0</v>
      </c>
      <c r="I102" s="4">
        <f>VLOOKUP(B102,nodes!A:D,4,0)</f>
        <v>150</v>
      </c>
      <c r="J102" s="4">
        <f>VLOOKUP(C102,nodes!A:D,2,0)</f>
        <v>30</v>
      </c>
      <c r="K102" s="4">
        <f>VLOOKUP(C102,nodes!A:D,4,0)</f>
        <v>150</v>
      </c>
      <c r="L102" s="4">
        <f t="shared" si="13"/>
        <v>30</v>
      </c>
      <c r="N102" s="12">
        <f t="shared" si="14"/>
        <v>7437500</v>
      </c>
      <c r="O102" s="12">
        <f t="shared" si="15"/>
        <v>42840000</v>
      </c>
      <c r="P102" s="12">
        <f t="shared" si="16"/>
        <v>11900</v>
      </c>
      <c r="R102" s="23" t="s">
        <v>39</v>
      </c>
      <c r="S102" s="23" t="str">
        <f t="shared" si="17"/>
        <v>101,</v>
      </c>
      <c r="T102" s="23" t="str">
        <f t="shared" si="17"/>
        <v>106,</v>
      </c>
      <c r="U102" s="24">
        <f t="shared" si="18"/>
        <v>107</v>
      </c>
    </row>
    <row r="103" spans="1:21" x14ac:dyDescent="0.25">
      <c r="A103" s="3">
        <v>102</v>
      </c>
      <c r="B103" s="3">
        <v>107</v>
      </c>
      <c r="C103" s="3">
        <v>108</v>
      </c>
      <c r="D103" s="2">
        <f t="shared" si="10"/>
        <v>10985</v>
      </c>
      <c r="E103" s="2">
        <f t="shared" si="11"/>
        <v>5492.5</v>
      </c>
      <c r="F103" s="2">
        <v>2380</v>
      </c>
      <c r="G103" s="2">
        <f t="shared" si="12"/>
        <v>991.66666666666674</v>
      </c>
      <c r="H103" s="4">
        <f>VLOOKUP(B103,nodes!A:D,2,0)</f>
        <v>30</v>
      </c>
      <c r="I103" s="4">
        <f>VLOOKUP(B103,nodes!A:D,4,0)</f>
        <v>150</v>
      </c>
      <c r="J103" s="4">
        <f>VLOOKUP(C103,nodes!A:D,2,0)</f>
        <v>60</v>
      </c>
      <c r="K103" s="4">
        <f>VLOOKUP(C103,nodes!A:D,4,0)</f>
        <v>150</v>
      </c>
      <c r="L103" s="4">
        <f t="shared" si="13"/>
        <v>30</v>
      </c>
      <c r="N103" s="12">
        <f t="shared" si="14"/>
        <v>7437500</v>
      </c>
      <c r="O103" s="12">
        <f t="shared" si="15"/>
        <v>42840000</v>
      </c>
      <c r="P103" s="12">
        <f t="shared" si="16"/>
        <v>11900</v>
      </c>
      <c r="R103" s="23" t="s">
        <v>39</v>
      </c>
      <c r="S103" s="23" t="str">
        <f t="shared" si="17"/>
        <v>102,</v>
      </c>
      <c r="T103" s="23" t="str">
        <f t="shared" si="17"/>
        <v>107,</v>
      </c>
      <c r="U103" s="24">
        <f t="shared" si="18"/>
        <v>108</v>
      </c>
    </row>
    <row r="104" spans="1:21" x14ac:dyDescent="0.25">
      <c r="A104" s="3">
        <v>103</v>
      </c>
      <c r="B104" s="3">
        <v>108</v>
      </c>
      <c r="C104" s="3">
        <v>109</v>
      </c>
      <c r="D104" s="2">
        <f t="shared" si="10"/>
        <v>10985</v>
      </c>
      <c r="E104" s="2">
        <f t="shared" si="11"/>
        <v>5492.5</v>
      </c>
      <c r="F104" s="2">
        <v>2380</v>
      </c>
      <c r="G104" s="2">
        <f t="shared" si="12"/>
        <v>991.66666666666674</v>
      </c>
      <c r="H104" s="4">
        <f>VLOOKUP(B104,nodes!A:D,2,0)</f>
        <v>60</v>
      </c>
      <c r="I104" s="4">
        <f>VLOOKUP(B104,nodes!A:D,4,0)</f>
        <v>150</v>
      </c>
      <c r="J104" s="4">
        <f>VLOOKUP(C104,nodes!A:D,2,0)</f>
        <v>90</v>
      </c>
      <c r="K104" s="4">
        <f>VLOOKUP(C104,nodes!A:D,4,0)</f>
        <v>150</v>
      </c>
      <c r="L104" s="4">
        <f t="shared" si="13"/>
        <v>30</v>
      </c>
      <c r="N104" s="12">
        <f t="shared" si="14"/>
        <v>7437500</v>
      </c>
      <c r="O104" s="12">
        <f t="shared" si="15"/>
        <v>42840000</v>
      </c>
      <c r="P104" s="12">
        <f t="shared" si="16"/>
        <v>11900</v>
      </c>
      <c r="R104" s="23" t="s">
        <v>39</v>
      </c>
      <c r="S104" s="23" t="str">
        <f t="shared" si="17"/>
        <v>103,</v>
      </c>
      <c r="T104" s="23" t="str">
        <f t="shared" si="17"/>
        <v>108,</v>
      </c>
      <c r="U104" s="24">
        <f t="shared" si="18"/>
        <v>109</v>
      </c>
    </row>
    <row r="105" spans="1:21" x14ac:dyDescent="0.25">
      <c r="A105" s="3">
        <v>104</v>
      </c>
      <c r="B105" s="3">
        <v>109</v>
      </c>
      <c r="C105" s="3">
        <v>110</v>
      </c>
      <c r="D105" s="2">
        <f t="shared" si="10"/>
        <v>10985</v>
      </c>
      <c r="E105" s="2">
        <f t="shared" si="11"/>
        <v>5492.5</v>
      </c>
      <c r="F105" s="2">
        <v>2380</v>
      </c>
      <c r="G105" s="2">
        <f t="shared" si="12"/>
        <v>991.66666666666674</v>
      </c>
      <c r="H105" s="4">
        <f>VLOOKUP(B105,nodes!A:D,2,0)</f>
        <v>90</v>
      </c>
      <c r="I105" s="4">
        <f>VLOOKUP(B105,nodes!A:D,4,0)</f>
        <v>150</v>
      </c>
      <c r="J105" s="4">
        <f>VLOOKUP(C105,nodes!A:D,2,0)</f>
        <v>120</v>
      </c>
      <c r="K105" s="4">
        <f>VLOOKUP(C105,nodes!A:D,4,0)</f>
        <v>150</v>
      </c>
      <c r="L105" s="4">
        <f t="shared" si="13"/>
        <v>30</v>
      </c>
      <c r="N105" s="12">
        <f t="shared" si="14"/>
        <v>7437500</v>
      </c>
      <c r="O105" s="12">
        <f t="shared" si="15"/>
        <v>42840000</v>
      </c>
      <c r="P105" s="12">
        <f t="shared" si="16"/>
        <v>11900</v>
      </c>
      <c r="R105" s="23" t="s">
        <v>39</v>
      </c>
      <c r="S105" s="23" t="str">
        <f t="shared" si="17"/>
        <v>104,</v>
      </c>
      <c r="T105" s="23" t="str">
        <f t="shared" si="17"/>
        <v>109,</v>
      </c>
      <c r="U105" s="24">
        <f t="shared" si="18"/>
        <v>110</v>
      </c>
    </row>
    <row r="106" spans="1:21" x14ac:dyDescent="0.25">
      <c r="A106" s="3">
        <v>105</v>
      </c>
      <c r="B106" s="3">
        <v>110</v>
      </c>
      <c r="C106" s="3">
        <v>111</v>
      </c>
      <c r="D106" s="2">
        <f t="shared" si="10"/>
        <v>10985</v>
      </c>
      <c r="E106" s="2">
        <f t="shared" si="11"/>
        <v>5492.5</v>
      </c>
      <c r="F106" s="2">
        <v>2380</v>
      </c>
      <c r="G106" s="2">
        <f t="shared" si="12"/>
        <v>991.66666666666674</v>
      </c>
      <c r="H106" s="4">
        <f>VLOOKUP(B106,nodes!A:D,2,0)</f>
        <v>120</v>
      </c>
      <c r="I106" s="4">
        <f>VLOOKUP(B106,nodes!A:D,4,0)</f>
        <v>150</v>
      </c>
      <c r="J106" s="4">
        <f>VLOOKUP(C106,nodes!A:D,2,0)</f>
        <v>150</v>
      </c>
      <c r="K106" s="4">
        <f>VLOOKUP(C106,nodes!A:D,4,0)</f>
        <v>150</v>
      </c>
      <c r="L106" s="4">
        <f t="shared" si="13"/>
        <v>30</v>
      </c>
      <c r="N106" s="12">
        <f t="shared" si="14"/>
        <v>7437500</v>
      </c>
      <c r="O106" s="12">
        <f t="shared" si="15"/>
        <v>42840000</v>
      </c>
      <c r="P106" s="12">
        <f t="shared" si="16"/>
        <v>11900</v>
      </c>
      <c r="R106" s="23" t="s">
        <v>39</v>
      </c>
      <c r="S106" s="23" t="str">
        <f t="shared" si="17"/>
        <v>105,</v>
      </c>
      <c r="T106" s="23" t="str">
        <f t="shared" si="17"/>
        <v>110,</v>
      </c>
      <c r="U106" s="24">
        <f t="shared" si="18"/>
        <v>111</v>
      </c>
    </row>
    <row r="107" spans="1:21" x14ac:dyDescent="0.25">
      <c r="A107" s="3">
        <v>106</v>
      </c>
      <c r="B107" s="3">
        <v>111</v>
      </c>
      <c r="C107" s="3">
        <v>112</v>
      </c>
      <c r="D107" s="2">
        <f t="shared" si="10"/>
        <v>10985</v>
      </c>
      <c r="E107" s="2">
        <f t="shared" si="11"/>
        <v>5492.5</v>
      </c>
      <c r="F107" s="2">
        <v>2380</v>
      </c>
      <c r="G107" s="2">
        <f t="shared" si="12"/>
        <v>991.66666666666674</v>
      </c>
      <c r="H107" s="4">
        <f>VLOOKUP(B107,nodes!A:D,2,0)</f>
        <v>150</v>
      </c>
      <c r="I107" s="4">
        <f>VLOOKUP(B107,nodes!A:D,4,0)</f>
        <v>150</v>
      </c>
      <c r="J107" s="4">
        <f>VLOOKUP(C107,nodes!A:D,2,0)</f>
        <v>180</v>
      </c>
      <c r="K107" s="4">
        <f>VLOOKUP(C107,nodes!A:D,4,0)</f>
        <v>150</v>
      </c>
      <c r="L107" s="4">
        <f t="shared" si="13"/>
        <v>30</v>
      </c>
      <c r="N107" s="12">
        <f t="shared" si="14"/>
        <v>7437500</v>
      </c>
      <c r="O107" s="12">
        <f t="shared" si="15"/>
        <v>42840000</v>
      </c>
      <c r="P107" s="12">
        <f t="shared" si="16"/>
        <v>11900</v>
      </c>
      <c r="R107" s="23" t="s">
        <v>39</v>
      </c>
      <c r="S107" s="23" t="str">
        <f t="shared" si="17"/>
        <v>106,</v>
      </c>
      <c r="T107" s="23" t="str">
        <f t="shared" si="17"/>
        <v>111,</v>
      </c>
      <c r="U107" s="24">
        <f t="shared" si="18"/>
        <v>112</v>
      </c>
    </row>
    <row r="108" spans="1:21" x14ac:dyDescent="0.25">
      <c r="A108" s="3">
        <v>107</v>
      </c>
      <c r="B108" s="3">
        <v>112</v>
      </c>
      <c r="C108" s="3">
        <v>113</v>
      </c>
      <c r="D108" s="2">
        <f t="shared" si="10"/>
        <v>10985</v>
      </c>
      <c r="E108" s="2">
        <f t="shared" si="11"/>
        <v>5492.5</v>
      </c>
      <c r="F108" s="2">
        <v>2380</v>
      </c>
      <c r="G108" s="2">
        <f t="shared" si="12"/>
        <v>991.66666666666674</v>
      </c>
      <c r="H108" s="4">
        <f>VLOOKUP(B108,nodes!A:D,2,0)</f>
        <v>180</v>
      </c>
      <c r="I108" s="4">
        <f>VLOOKUP(B108,nodes!A:D,4,0)</f>
        <v>150</v>
      </c>
      <c r="J108" s="4">
        <f>VLOOKUP(C108,nodes!A:D,2,0)</f>
        <v>210</v>
      </c>
      <c r="K108" s="4">
        <f>VLOOKUP(C108,nodes!A:D,4,0)</f>
        <v>150</v>
      </c>
      <c r="L108" s="4">
        <f t="shared" si="13"/>
        <v>30</v>
      </c>
      <c r="N108" s="12">
        <f t="shared" si="14"/>
        <v>7437500</v>
      </c>
      <c r="O108" s="12">
        <f t="shared" si="15"/>
        <v>42840000</v>
      </c>
      <c r="P108" s="12">
        <f t="shared" si="16"/>
        <v>11900</v>
      </c>
      <c r="R108" s="23" t="s">
        <v>39</v>
      </c>
      <c r="S108" s="23" t="str">
        <f t="shared" si="17"/>
        <v>107,</v>
      </c>
      <c r="T108" s="23" t="str">
        <f t="shared" si="17"/>
        <v>112,</v>
      </c>
      <c r="U108" s="24">
        <f t="shared" si="18"/>
        <v>113</v>
      </c>
    </row>
    <row r="109" spans="1:21" x14ac:dyDescent="0.25">
      <c r="A109" s="3">
        <v>108</v>
      </c>
      <c r="B109" s="3">
        <v>113</v>
      </c>
      <c r="C109" s="3">
        <v>114</v>
      </c>
      <c r="D109" s="2">
        <f t="shared" si="10"/>
        <v>10985</v>
      </c>
      <c r="E109" s="2">
        <f t="shared" si="11"/>
        <v>5492.5</v>
      </c>
      <c r="F109" s="2">
        <v>2380</v>
      </c>
      <c r="G109" s="2">
        <f t="shared" si="12"/>
        <v>991.66666666666674</v>
      </c>
      <c r="H109" s="4">
        <f>VLOOKUP(B109,nodes!A:D,2,0)</f>
        <v>210</v>
      </c>
      <c r="I109" s="4">
        <f>VLOOKUP(B109,nodes!A:D,4,0)</f>
        <v>150</v>
      </c>
      <c r="J109" s="4">
        <f>VLOOKUP(C109,nodes!A:D,2,0)</f>
        <v>240</v>
      </c>
      <c r="K109" s="4">
        <f>VLOOKUP(C109,nodes!A:D,4,0)</f>
        <v>150</v>
      </c>
      <c r="L109" s="4">
        <f t="shared" si="13"/>
        <v>30</v>
      </c>
      <c r="N109" s="12">
        <f t="shared" si="14"/>
        <v>7437500</v>
      </c>
      <c r="O109" s="12">
        <f t="shared" si="15"/>
        <v>42840000</v>
      </c>
      <c r="P109" s="12">
        <f t="shared" si="16"/>
        <v>11900</v>
      </c>
      <c r="R109" s="23" t="s">
        <v>39</v>
      </c>
      <c r="S109" s="23" t="str">
        <f t="shared" si="17"/>
        <v>108,</v>
      </c>
      <c r="T109" s="23" t="str">
        <f t="shared" si="17"/>
        <v>113,</v>
      </c>
      <c r="U109" s="24">
        <f t="shared" si="18"/>
        <v>114</v>
      </c>
    </row>
    <row r="110" spans="1:21" x14ac:dyDescent="0.25">
      <c r="A110" s="3">
        <v>109</v>
      </c>
      <c r="B110" s="3">
        <v>114</v>
      </c>
      <c r="C110" s="3">
        <v>115</v>
      </c>
      <c r="D110" s="2">
        <f t="shared" si="10"/>
        <v>10985</v>
      </c>
      <c r="E110" s="2">
        <f t="shared" si="11"/>
        <v>5492.5</v>
      </c>
      <c r="F110" s="2">
        <v>2380</v>
      </c>
      <c r="G110" s="2">
        <f t="shared" si="12"/>
        <v>991.66666666666674</v>
      </c>
      <c r="H110" s="4">
        <f>VLOOKUP(B110,nodes!A:D,2,0)</f>
        <v>240</v>
      </c>
      <c r="I110" s="4">
        <f>VLOOKUP(B110,nodes!A:D,4,0)</f>
        <v>150</v>
      </c>
      <c r="J110" s="4">
        <f>VLOOKUP(C110,nodes!A:D,2,0)</f>
        <v>270</v>
      </c>
      <c r="K110" s="4">
        <f>VLOOKUP(C110,nodes!A:D,4,0)</f>
        <v>150</v>
      </c>
      <c r="L110" s="4">
        <f t="shared" si="13"/>
        <v>30</v>
      </c>
      <c r="N110" s="12">
        <f t="shared" si="14"/>
        <v>7437500</v>
      </c>
      <c r="O110" s="12">
        <f t="shared" si="15"/>
        <v>42840000</v>
      </c>
      <c r="P110" s="12">
        <f t="shared" si="16"/>
        <v>11900</v>
      </c>
      <c r="R110" s="23" t="s">
        <v>39</v>
      </c>
      <c r="S110" s="23" t="str">
        <f t="shared" si="17"/>
        <v>109,</v>
      </c>
      <c r="T110" s="23" t="str">
        <f t="shared" si="17"/>
        <v>114,</v>
      </c>
      <c r="U110" s="24">
        <f t="shared" si="18"/>
        <v>115</v>
      </c>
    </row>
    <row r="111" spans="1:21" x14ac:dyDescent="0.25">
      <c r="A111" s="3">
        <v>110</v>
      </c>
      <c r="B111" s="3">
        <v>115</v>
      </c>
      <c r="C111" s="3">
        <v>116</v>
      </c>
      <c r="D111" s="2">
        <f t="shared" si="10"/>
        <v>10985</v>
      </c>
      <c r="E111" s="2">
        <f t="shared" si="11"/>
        <v>5492.5</v>
      </c>
      <c r="F111" s="2">
        <v>2380</v>
      </c>
      <c r="G111" s="2">
        <f t="shared" si="12"/>
        <v>991.66666666666674</v>
      </c>
      <c r="H111" s="4">
        <f>VLOOKUP(B111,nodes!A:D,2,0)</f>
        <v>270</v>
      </c>
      <c r="I111" s="4">
        <f>VLOOKUP(B111,nodes!A:D,4,0)</f>
        <v>150</v>
      </c>
      <c r="J111" s="4">
        <f>VLOOKUP(C111,nodes!A:D,2,0)</f>
        <v>300</v>
      </c>
      <c r="K111" s="4">
        <f>VLOOKUP(C111,nodes!A:D,4,0)</f>
        <v>150</v>
      </c>
      <c r="L111" s="4">
        <f t="shared" si="13"/>
        <v>30</v>
      </c>
      <c r="N111" s="12">
        <f t="shared" si="14"/>
        <v>7437500</v>
      </c>
      <c r="O111" s="12">
        <f t="shared" si="15"/>
        <v>42840000</v>
      </c>
      <c r="P111" s="12">
        <f t="shared" si="16"/>
        <v>11900</v>
      </c>
      <c r="R111" s="23" t="s">
        <v>39</v>
      </c>
      <c r="S111" s="23" t="str">
        <f t="shared" si="17"/>
        <v>110,</v>
      </c>
      <c r="T111" s="23" t="str">
        <f t="shared" si="17"/>
        <v>115,</v>
      </c>
      <c r="U111" s="24">
        <f t="shared" si="18"/>
        <v>116</v>
      </c>
    </row>
    <row r="112" spans="1:21" x14ac:dyDescent="0.25">
      <c r="A112" s="3">
        <v>111</v>
      </c>
      <c r="B112" s="3">
        <v>116</v>
      </c>
      <c r="C112" s="3">
        <v>117</v>
      </c>
      <c r="D112" s="2">
        <f t="shared" si="10"/>
        <v>10985</v>
      </c>
      <c r="E112" s="2">
        <f t="shared" si="11"/>
        <v>5492.5</v>
      </c>
      <c r="F112" s="2">
        <v>2380</v>
      </c>
      <c r="G112" s="2">
        <f t="shared" si="12"/>
        <v>991.66666666666674</v>
      </c>
      <c r="H112" s="4">
        <f>VLOOKUP(B112,nodes!A:D,2,0)</f>
        <v>300</v>
      </c>
      <c r="I112" s="4">
        <f>VLOOKUP(B112,nodes!A:D,4,0)</f>
        <v>150</v>
      </c>
      <c r="J112" s="4">
        <f>VLOOKUP(C112,nodes!A:D,2,0)</f>
        <v>330</v>
      </c>
      <c r="K112" s="4">
        <f>VLOOKUP(C112,nodes!A:D,4,0)</f>
        <v>150</v>
      </c>
      <c r="L112" s="4">
        <f t="shared" si="13"/>
        <v>30</v>
      </c>
      <c r="N112" s="12">
        <f t="shared" si="14"/>
        <v>7437500</v>
      </c>
      <c r="O112" s="12">
        <f t="shared" si="15"/>
        <v>42840000</v>
      </c>
      <c r="P112" s="12">
        <f t="shared" si="16"/>
        <v>11900</v>
      </c>
      <c r="R112" s="23" t="s">
        <v>39</v>
      </c>
      <c r="S112" s="23" t="str">
        <f t="shared" si="17"/>
        <v>111,</v>
      </c>
      <c r="T112" s="23" t="str">
        <f t="shared" si="17"/>
        <v>116,</v>
      </c>
      <c r="U112" s="24">
        <f t="shared" si="18"/>
        <v>117</v>
      </c>
    </row>
    <row r="113" spans="1:21" x14ac:dyDescent="0.25">
      <c r="A113" s="3">
        <v>112</v>
      </c>
      <c r="B113" s="3">
        <v>117</v>
      </c>
      <c r="C113" s="3">
        <v>118</v>
      </c>
      <c r="D113" s="2">
        <f t="shared" si="10"/>
        <v>10985</v>
      </c>
      <c r="E113" s="2">
        <f t="shared" si="11"/>
        <v>5492.5</v>
      </c>
      <c r="F113" s="2">
        <v>2380</v>
      </c>
      <c r="G113" s="2">
        <f t="shared" si="12"/>
        <v>991.66666666666674</v>
      </c>
      <c r="H113" s="4">
        <f>VLOOKUP(B113,nodes!A:D,2,0)</f>
        <v>330</v>
      </c>
      <c r="I113" s="4">
        <f>VLOOKUP(B113,nodes!A:D,4,0)</f>
        <v>150</v>
      </c>
      <c r="J113" s="4">
        <f>VLOOKUP(C113,nodes!A:D,2,0)</f>
        <v>360</v>
      </c>
      <c r="K113" s="4">
        <f>VLOOKUP(C113,nodes!A:D,4,0)</f>
        <v>150</v>
      </c>
      <c r="L113" s="4">
        <f t="shared" si="13"/>
        <v>30</v>
      </c>
      <c r="N113" s="12">
        <f t="shared" si="14"/>
        <v>7437500</v>
      </c>
      <c r="O113" s="12">
        <f t="shared" si="15"/>
        <v>42840000</v>
      </c>
      <c r="P113" s="12">
        <f t="shared" si="16"/>
        <v>11900</v>
      </c>
      <c r="R113" s="23" t="s">
        <v>39</v>
      </c>
      <c r="S113" s="23" t="str">
        <f t="shared" si="17"/>
        <v>112,</v>
      </c>
      <c r="T113" s="23" t="str">
        <f t="shared" si="17"/>
        <v>117,</v>
      </c>
      <c r="U113" s="24">
        <f t="shared" si="18"/>
        <v>118</v>
      </c>
    </row>
    <row r="114" spans="1:21" x14ac:dyDescent="0.25">
      <c r="A114" s="3">
        <v>113</v>
      </c>
      <c r="B114" s="3">
        <v>118</v>
      </c>
      <c r="C114" s="3">
        <v>119</v>
      </c>
      <c r="D114" s="2">
        <f t="shared" si="10"/>
        <v>10985</v>
      </c>
      <c r="E114" s="2">
        <f t="shared" si="11"/>
        <v>5492.5</v>
      </c>
      <c r="F114" s="2">
        <v>2380</v>
      </c>
      <c r="G114" s="2">
        <f t="shared" si="12"/>
        <v>991.66666666666674</v>
      </c>
      <c r="H114" s="4">
        <f>VLOOKUP(B114,nodes!A:D,2,0)</f>
        <v>360</v>
      </c>
      <c r="I114" s="4">
        <f>VLOOKUP(B114,nodes!A:D,4,0)</f>
        <v>150</v>
      </c>
      <c r="J114" s="4">
        <f>VLOOKUP(C114,nodes!A:D,2,0)</f>
        <v>390</v>
      </c>
      <c r="K114" s="4">
        <f>VLOOKUP(C114,nodes!A:D,4,0)</f>
        <v>150</v>
      </c>
      <c r="L114" s="4">
        <f t="shared" si="13"/>
        <v>30</v>
      </c>
      <c r="N114" s="12">
        <f t="shared" si="14"/>
        <v>7437500</v>
      </c>
      <c r="O114" s="12">
        <f t="shared" si="15"/>
        <v>42840000</v>
      </c>
      <c r="P114" s="12">
        <f t="shared" si="16"/>
        <v>11900</v>
      </c>
      <c r="R114" s="23" t="s">
        <v>39</v>
      </c>
      <c r="S114" s="23" t="str">
        <f t="shared" si="17"/>
        <v>113,</v>
      </c>
      <c r="T114" s="23" t="str">
        <f t="shared" si="17"/>
        <v>118,</v>
      </c>
      <c r="U114" s="24">
        <f t="shared" si="18"/>
        <v>119</v>
      </c>
    </row>
    <row r="115" spans="1:21" x14ac:dyDescent="0.25">
      <c r="A115" s="3">
        <v>114</v>
      </c>
      <c r="B115" s="3">
        <v>119</v>
      </c>
      <c r="C115" s="3">
        <v>120</v>
      </c>
      <c r="D115" s="2">
        <f t="shared" si="10"/>
        <v>10985</v>
      </c>
      <c r="E115" s="2">
        <f t="shared" si="11"/>
        <v>5492.5</v>
      </c>
      <c r="F115" s="2">
        <v>2380</v>
      </c>
      <c r="G115" s="2">
        <f t="shared" si="12"/>
        <v>991.66666666666674</v>
      </c>
      <c r="H115" s="4">
        <f>VLOOKUP(B115,nodes!A:D,2,0)</f>
        <v>390</v>
      </c>
      <c r="I115" s="4">
        <f>VLOOKUP(B115,nodes!A:D,4,0)</f>
        <v>150</v>
      </c>
      <c r="J115" s="4">
        <f>VLOOKUP(C115,nodes!A:D,2,0)</f>
        <v>420</v>
      </c>
      <c r="K115" s="4">
        <f>VLOOKUP(C115,nodes!A:D,4,0)</f>
        <v>150</v>
      </c>
      <c r="L115" s="4">
        <f t="shared" si="13"/>
        <v>30</v>
      </c>
      <c r="N115" s="12">
        <f t="shared" si="14"/>
        <v>7437500</v>
      </c>
      <c r="O115" s="12">
        <f t="shared" si="15"/>
        <v>42840000</v>
      </c>
      <c r="P115" s="12">
        <f t="shared" si="16"/>
        <v>11900</v>
      </c>
      <c r="R115" s="23" t="s">
        <v>39</v>
      </c>
      <c r="S115" s="23" t="str">
        <f t="shared" si="17"/>
        <v>114,</v>
      </c>
      <c r="T115" s="23" t="str">
        <f t="shared" si="17"/>
        <v>119,</v>
      </c>
      <c r="U115" s="24">
        <f t="shared" si="18"/>
        <v>120</v>
      </c>
    </row>
    <row r="116" spans="1:21" x14ac:dyDescent="0.25">
      <c r="A116" s="3">
        <v>115</v>
      </c>
      <c r="B116" s="3">
        <v>120</v>
      </c>
      <c r="C116" s="3">
        <v>121</v>
      </c>
      <c r="D116" s="2">
        <f t="shared" si="10"/>
        <v>10985</v>
      </c>
      <c r="E116" s="2">
        <f t="shared" si="11"/>
        <v>5492.5</v>
      </c>
      <c r="F116" s="2">
        <v>2380</v>
      </c>
      <c r="G116" s="2">
        <f t="shared" si="12"/>
        <v>991.66666666666674</v>
      </c>
      <c r="H116" s="4">
        <f>VLOOKUP(B116,nodes!A:D,2,0)</f>
        <v>420</v>
      </c>
      <c r="I116" s="4">
        <f>VLOOKUP(B116,nodes!A:D,4,0)</f>
        <v>150</v>
      </c>
      <c r="J116" s="4">
        <f>VLOOKUP(C116,nodes!A:D,2,0)</f>
        <v>450</v>
      </c>
      <c r="K116" s="4">
        <f>VLOOKUP(C116,nodes!A:D,4,0)</f>
        <v>150</v>
      </c>
      <c r="L116" s="4">
        <f t="shared" si="13"/>
        <v>30</v>
      </c>
      <c r="N116" s="12">
        <f t="shared" si="14"/>
        <v>7437500</v>
      </c>
      <c r="O116" s="12">
        <f t="shared" si="15"/>
        <v>42840000</v>
      </c>
      <c r="P116" s="12">
        <f t="shared" si="16"/>
        <v>11900</v>
      </c>
      <c r="R116" s="23" t="s">
        <v>39</v>
      </c>
      <c r="S116" s="23" t="str">
        <f t="shared" si="17"/>
        <v>115,</v>
      </c>
      <c r="T116" s="23" t="str">
        <f t="shared" si="17"/>
        <v>120,</v>
      </c>
      <c r="U116" s="24">
        <f t="shared" si="18"/>
        <v>121</v>
      </c>
    </row>
    <row r="117" spans="1:21" x14ac:dyDescent="0.25">
      <c r="A117" s="3">
        <v>116</v>
      </c>
      <c r="B117" s="3">
        <v>121</v>
      </c>
      <c r="C117" s="3">
        <v>122</v>
      </c>
      <c r="D117" s="2">
        <f t="shared" si="10"/>
        <v>10985</v>
      </c>
      <c r="E117" s="2">
        <f t="shared" si="11"/>
        <v>5492.5</v>
      </c>
      <c r="F117" s="2">
        <v>2380</v>
      </c>
      <c r="G117" s="2">
        <f t="shared" si="12"/>
        <v>991.66666666666674</v>
      </c>
      <c r="H117" s="4">
        <f>VLOOKUP(B117,nodes!A:D,2,0)</f>
        <v>450</v>
      </c>
      <c r="I117" s="4">
        <f>VLOOKUP(B117,nodes!A:D,4,0)</f>
        <v>150</v>
      </c>
      <c r="J117" s="4">
        <f>VLOOKUP(C117,nodes!A:D,2,0)</f>
        <v>480</v>
      </c>
      <c r="K117" s="4">
        <f>VLOOKUP(C117,nodes!A:D,4,0)</f>
        <v>150</v>
      </c>
      <c r="L117" s="4">
        <f t="shared" si="13"/>
        <v>30</v>
      </c>
      <c r="N117" s="12">
        <f t="shared" si="14"/>
        <v>7437500</v>
      </c>
      <c r="O117" s="12">
        <f t="shared" si="15"/>
        <v>42840000</v>
      </c>
      <c r="P117" s="12">
        <f t="shared" si="16"/>
        <v>11900</v>
      </c>
      <c r="R117" s="23" t="s">
        <v>39</v>
      </c>
      <c r="S117" s="23" t="str">
        <f t="shared" si="17"/>
        <v>116,</v>
      </c>
      <c r="T117" s="23" t="str">
        <f t="shared" si="17"/>
        <v>121,</v>
      </c>
      <c r="U117" s="24">
        <f t="shared" si="18"/>
        <v>122</v>
      </c>
    </row>
    <row r="118" spans="1:21" x14ac:dyDescent="0.25">
      <c r="A118" s="3">
        <v>117</v>
      </c>
      <c r="B118" s="3">
        <v>122</v>
      </c>
      <c r="C118" s="3">
        <v>123</v>
      </c>
      <c r="D118" s="2">
        <f t="shared" si="10"/>
        <v>10985</v>
      </c>
      <c r="E118" s="2">
        <f t="shared" si="11"/>
        <v>5492.5</v>
      </c>
      <c r="F118" s="2">
        <v>2380</v>
      </c>
      <c r="G118" s="2">
        <f t="shared" si="12"/>
        <v>991.66666666666674</v>
      </c>
      <c r="H118" s="4">
        <f>VLOOKUP(B118,nodes!A:D,2,0)</f>
        <v>480</v>
      </c>
      <c r="I118" s="4">
        <f>VLOOKUP(B118,nodes!A:D,4,0)</f>
        <v>150</v>
      </c>
      <c r="J118" s="4">
        <f>VLOOKUP(C118,nodes!A:D,2,0)</f>
        <v>509.99999999999994</v>
      </c>
      <c r="K118" s="4">
        <f>VLOOKUP(C118,nodes!A:D,4,0)</f>
        <v>150</v>
      </c>
      <c r="L118" s="4">
        <f t="shared" si="13"/>
        <v>29.999999999999943</v>
      </c>
      <c r="N118" s="12">
        <f t="shared" si="14"/>
        <v>7437500</v>
      </c>
      <c r="O118" s="12">
        <f t="shared" si="15"/>
        <v>42840000</v>
      </c>
      <c r="P118" s="12">
        <f t="shared" si="16"/>
        <v>11900</v>
      </c>
      <c r="R118" s="23" t="s">
        <v>39</v>
      </c>
      <c r="S118" s="23" t="str">
        <f t="shared" si="17"/>
        <v>117,</v>
      </c>
      <c r="T118" s="23" t="str">
        <f t="shared" si="17"/>
        <v>122,</v>
      </c>
      <c r="U118" s="24">
        <f t="shared" si="18"/>
        <v>123</v>
      </c>
    </row>
    <row r="119" spans="1:21" x14ac:dyDescent="0.25">
      <c r="A119" s="3">
        <v>118</v>
      </c>
      <c r="B119" s="3">
        <v>123</v>
      </c>
      <c r="C119" s="3">
        <v>124</v>
      </c>
      <c r="D119" s="2">
        <f t="shared" si="10"/>
        <v>10985</v>
      </c>
      <c r="E119" s="2">
        <f t="shared" si="11"/>
        <v>5492.5</v>
      </c>
      <c r="F119" s="2">
        <v>2380</v>
      </c>
      <c r="G119" s="2">
        <f t="shared" si="12"/>
        <v>991.66666666666674</v>
      </c>
      <c r="H119" s="4">
        <f>VLOOKUP(B119,nodes!A:D,2,0)</f>
        <v>509.99999999999994</v>
      </c>
      <c r="I119" s="4">
        <f>VLOOKUP(B119,nodes!A:D,4,0)</f>
        <v>150</v>
      </c>
      <c r="J119" s="4">
        <f>VLOOKUP(C119,nodes!A:D,2,0)</f>
        <v>540</v>
      </c>
      <c r="K119" s="4">
        <f>VLOOKUP(C119,nodes!A:D,4,0)</f>
        <v>150</v>
      </c>
      <c r="L119" s="4">
        <f t="shared" si="13"/>
        <v>30.000000000000057</v>
      </c>
      <c r="N119" s="12">
        <f t="shared" si="14"/>
        <v>7437500</v>
      </c>
      <c r="O119" s="12">
        <f t="shared" si="15"/>
        <v>42840000</v>
      </c>
      <c r="P119" s="12">
        <f t="shared" si="16"/>
        <v>11900</v>
      </c>
      <c r="R119" s="23" t="s">
        <v>39</v>
      </c>
      <c r="S119" s="23" t="str">
        <f t="shared" si="17"/>
        <v>118,</v>
      </c>
      <c r="T119" s="23" t="str">
        <f t="shared" si="17"/>
        <v>123,</v>
      </c>
      <c r="U119" s="24">
        <f t="shared" si="18"/>
        <v>124</v>
      </c>
    </row>
    <row r="120" spans="1:21" x14ac:dyDescent="0.25">
      <c r="A120" s="3">
        <v>119</v>
      </c>
      <c r="B120" s="3">
        <v>124</v>
      </c>
      <c r="C120" s="3">
        <v>125</v>
      </c>
      <c r="D120" s="2">
        <f t="shared" si="10"/>
        <v>10985</v>
      </c>
      <c r="E120" s="2">
        <f t="shared" si="11"/>
        <v>5492.5</v>
      </c>
      <c r="F120" s="2">
        <v>2380</v>
      </c>
      <c r="G120" s="2">
        <f t="shared" si="12"/>
        <v>991.66666666666674</v>
      </c>
      <c r="H120" s="4">
        <f>VLOOKUP(B120,nodes!A:D,2,0)</f>
        <v>540</v>
      </c>
      <c r="I120" s="4">
        <f>VLOOKUP(B120,nodes!A:D,4,0)</f>
        <v>150</v>
      </c>
      <c r="J120" s="4">
        <f>VLOOKUP(C120,nodes!A:D,2,0)</f>
        <v>570</v>
      </c>
      <c r="K120" s="4">
        <f>VLOOKUP(C120,nodes!A:D,4,0)</f>
        <v>150</v>
      </c>
      <c r="L120" s="4">
        <f t="shared" si="13"/>
        <v>30</v>
      </c>
      <c r="N120" s="12">
        <f t="shared" si="14"/>
        <v>7437500</v>
      </c>
      <c r="O120" s="12">
        <f t="shared" si="15"/>
        <v>42840000</v>
      </c>
      <c r="P120" s="12">
        <f t="shared" si="16"/>
        <v>11900</v>
      </c>
      <c r="R120" s="23" t="s">
        <v>39</v>
      </c>
      <c r="S120" s="23" t="str">
        <f t="shared" si="17"/>
        <v>119,</v>
      </c>
      <c r="T120" s="23" t="str">
        <f t="shared" si="17"/>
        <v>124,</v>
      </c>
      <c r="U120" s="24">
        <f t="shared" si="18"/>
        <v>125</v>
      </c>
    </row>
    <row r="121" spans="1:21" x14ac:dyDescent="0.25">
      <c r="A121" s="3">
        <v>120</v>
      </c>
      <c r="B121" s="3">
        <v>125</v>
      </c>
      <c r="C121" s="3">
        <v>126</v>
      </c>
      <c r="D121" s="2">
        <f t="shared" si="10"/>
        <v>10985</v>
      </c>
      <c r="E121" s="2">
        <f t="shared" si="11"/>
        <v>5492.5</v>
      </c>
      <c r="F121" s="2">
        <v>2380</v>
      </c>
      <c r="G121" s="2">
        <f t="shared" si="12"/>
        <v>991.66666666666674</v>
      </c>
      <c r="H121" s="4">
        <f>VLOOKUP(B121,nodes!A:D,2,0)</f>
        <v>570</v>
      </c>
      <c r="I121" s="4">
        <f>VLOOKUP(B121,nodes!A:D,4,0)</f>
        <v>150</v>
      </c>
      <c r="J121" s="4">
        <f>VLOOKUP(C121,nodes!A:D,2,0)</f>
        <v>600</v>
      </c>
      <c r="K121" s="4">
        <f>VLOOKUP(C121,nodes!A:D,4,0)</f>
        <v>150</v>
      </c>
      <c r="L121" s="4">
        <f t="shared" si="13"/>
        <v>30</v>
      </c>
      <c r="N121" s="12">
        <f t="shared" si="14"/>
        <v>7437500</v>
      </c>
      <c r="O121" s="12">
        <f t="shared" si="15"/>
        <v>42840000</v>
      </c>
      <c r="P121" s="12">
        <f t="shared" si="16"/>
        <v>11900</v>
      </c>
      <c r="R121" s="23" t="s">
        <v>39</v>
      </c>
      <c r="S121" s="23" t="str">
        <f t="shared" si="17"/>
        <v>120,</v>
      </c>
      <c r="T121" s="23" t="str">
        <f t="shared" si="17"/>
        <v>125,</v>
      </c>
      <c r="U121" s="24">
        <f t="shared" si="18"/>
        <v>126</v>
      </c>
    </row>
    <row r="122" spans="1:21" x14ac:dyDescent="0.25">
      <c r="A122" s="3">
        <v>121</v>
      </c>
      <c r="B122" s="3">
        <v>127</v>
      </c>
      <c r="C122" s="3">
        <v>128</v>
      </c>
      <c r="D122" s="2">
        <f t="shared" si="10"/>
        <v>10985</v>
      </c>
      <c r="E122" s="2">
        <f t="shared" si="11"/>
        <v>5492.5</v>
      </c>
      <c r="F122" s="2">
        <v>2380</v>
      </c>
      <c r="G122" s="2">
        <f t="shared" si="12"/>
        <v>991.66666666666674</v>
      </c>
      <c r="H122" s="4">
        <f>VLOOKUP(B122,nodes!A:D,2,0)</f>
        <v>0</v>
      </c>
      <c r="I122" s="4">
        <f>VLOOKUP(B122,nodes!A:D,4,0)</f>
        <v>120</v>
      </c>
      <c r="J122" s="4">
        <f>VLOOKUP(C122,nodes!A:D,2,0)</f>
        <v>30</v>
      </c>
      <c r="K122" s="4">
        <f>VLOOKUP(C122,nodes!A:D,4,0)</f>
        <v>120</v>
      </c>
      <c r="L122" s="4">
        <f t="shared" si="13"/>
        <v>30</v>
      </c>
      <c r="N122" s="12">
        <f t="shared" si="14"/>
        <v>7437500</v>
      </c>
      <c r="O122" s="12">
        <f t="shared" si="15"/>
        <v>42840000</v>
      </c>
      <c r="P122" s="12">
        <f t="shared" si="16"/>
        <v>11900</v>
      </c>
      <c r="R122" s="23" t="s">
        <v>39</v>
      </c>
      <c r="S122" s="23" t="str">
        <f t="shared" si="17"/>
        <v>121,</v>
      </c>
      <c r="T122" s="23" t="str">
        <f t="shared" si="17"/>
        <v>127,</v>
      </c>
      <c r="U122" s="24">
        <f t="shared" si="18"/>
        <v>128</v>
      </c>
    </row>
    <row r="123" spans="1:21" x14ac:dyDescent="0.25">
      <c r="A123" s="3">
        <v>122</v>
      </c>
      <c r="B123" s="3">
        <v>128</v>
      </c>
      <c r="C123" s="3">
        <v>129</v>
      </c>
      <c r="D123" s="2">
        <f t="shared" si="10"/>
        <v>10985</v>
      </c>
      <c r="E123" s="2">
        <f t="shared" si="11"/>
        <v>5492.5</v>
      </c>
      <c r="F123" s="2">
        <v>2380</v>
      </c>
      <c r="G123" s="2">
        <f t="shared" si="12"/>
        <v>991.66666666666674</v>
      </c>
      <c r="H123" s="4">
        <f>VLOOKUP(B123,nodes!A:D,2,0)</f>
        <v>30</v>
      </c>
      <c r="I123" s="4">
        <f>VLOOKUP(B123,nodes!A:D,4,0)</f>
        <v>120</v>
      </c>
      <c r="J123" s="4">
        <f>VLOOKUP(C123,nodes!A:D,2,0)</f>
        <v>60</v>
      </c>
      <c r="K123" s="4">
        <f>VLOOKUP(C123,nodes!A:D,4,0)</f>
        <v>120</v>
      </c>
      <c r="L123" s="4">
        <f t="shared" si="13"/>
        <v>30</v>
      </c>
      <c r="N123" s="12">
        <f t="shared" si="14"/>
        <v>7437500</v>
      </c>
      <c r="O123" s="12">
        <f t="shared" si="15"/>
        <v>42840000</v>
      </c>
      <c r="P123" s="12">
        <f t="shared" si="16"/>
        <v>11900</v>
      </c>
      <c r="R123" s="23" t="s">
        <v>39</v>
      </c>
      <c r="S123" s="23" t="str">
        <f t="shared" si="17"/>
        <v>122,</v>
      </c>
      <c r="T123" s="23" t="str">
        <f t="shared" si="17"/>
        <v>128,</v>
      </c>
      <c r="U123" s="24">
        <f t="shared" si="18"/>
        <v>129</v>
      </c>
    </row>
    <row r="124" spans="1:21" x14ac:dyDescent="0.25">
      <c r="A124" s="3">
        <v>123</v>
      </c>
      <c r="B124" s="3">
        <v>129</v>
      </c>
      <c r="C124" s="3">
        <v>130</v>
      </c>
      <c r="D124" s="2">
        <f t="shared" si="10"/>
        <v>10985</v>
      </c>
      <c r="E124" s="2">
        <f t="shared" si="11"/>
        <v>5492.5</v>
      </c>
      <c r="F124" s="2">
        <v>2380</v>
      </c>
      <c r="G124" s="2">
        <f t="shared" si="12"/>
        <v>991.66666666666674</v>
      </c>
      <c r="H124" s="4">
        <f>VLOOKUP(B124,nodes!A:D,2,0)</f>
        <v>60</v>
      </c>
      <c r="I124" s="4">
        <f>VLOOKUP(B124,nodes!A:D,4,0)</f>
        <v>120</v>
      </c>
      <c r="J124" s="4">
        <f>VLOOKUP(C124,nodes!A:D,2,0)</f>
        <v>90</v>
      </c>
      <c r="K124" s="4">
        <f>VLOOKUP(C124,nodes!A:D,4,0)</f>
        <v>120</v>
      </c>
      <c r="L124" s="4">
        <f t="shared" si="13"/>
        <v>30</v>
      </c>
      <c r="N124" s="12">
        <f t="shared" si="14"/>
        <v>7437500</v>
      </c>
      <c r="O124" s="12">
        <f t="shared" si="15"/>
        <v>42840000</v>
      </c>
      <c r="P124" s="12">
        <f t="shared" si="16"/>
        <v>11900</v>
      </c>
      <c r="R124" s="23" t="s">
        <v>39</v>
      </c>
      <c r="S124" s="23" t="str">
        <f t="shared" si="17"/>
        <v>123,</v>
      </c>
      <c r="T124" s="23" t="str">
        <f t="shared" si="17"/>
        <v>129,</v>
      </c>
      <c r="U124" s="24">
        <f t="shared" si="18"/>
        <v>130</v>
      </c>
    </row>
    <row r="125" spans="1:21" x14ac:dyDescent="0.25">
      <c r="A125" s="3">
        <v>124</v>
      </c>
      <c r="B125" s="3">
        <v>130</v>
      </c>
      <c r="C125" s="3">
        <v>131</v>
      </c>
      <c r="D125" s="2">
        <f t="shared" si="10"/>
        <v>10985</v>
      </c>
      <c r="E125" s="2">
        <f t="shared" si="11"/>
        <v>5492.5</v>
      </c>
      <c r="F125" s="2">
        <v>2380</v>
      </c>
      <c r="G125" s="2">
        <f t="shared" si="12"/>
        <v>991.66666666666674</v>
      </c>
      <c r="H125" s="4">
        <f>VLOOKUP(B125,nodes!A:D,2,0)</f>
        <v>90</v>
      </c>
      <c r="I125" s="4">
        <f>VLOOKUP(B125,nodes!A:D,4,0)</f>
        <v>120</v>
      </c>
      <c r="J125" s="4">
        <f>VLOOKUP(C125,nodes!A:D,2,0)</f>
        <v>120</v>
      </c>
      <c r="K125" s="4">
        <f>VLOOKUP(C125,nodes!A:D,4,0)</f>
        <v>120</v>
      </c>
      <c r="L125" s="4">
        <f t="shared" si="13"/>
        <v>30</v>
      </c>
      <c r="N125" s="12">
        <f t="shared" si="14"/>
        <v>7437500</v>
      </c>
      <c r="O125" s="12">
        <f t="shared" si="15"/>
        <v>42840000</v>
      </c>
      <c r="P125" s="12">
        <f t="shared" si="16"/>
        <v>11900</v>
      </c>
      <c r="R125" s="23" t="s">
        <v>39</v>
      </c>
      <c r="S125" s="23" t="str">
        <f t="shared" si="17"/>
        <v>124,</v>
      </c>
      <c r="T125" s="23" t="str">
        <f t="shared" si="17"/>
        <v>130,</v>
      </c>
      <c r="U125" s="24">
        <f t="shared" si="18"/>
        <v>131</v>
      </c>
    </row>
    <row r="126" spans="1:21" x14ac:dyDescent="0.25">
      <c r="A126" s="3">
        <v>125</v>
      </c>
      <c r="B126" s="3">
        <v>131</v>
      </c>
      <c r="C126" s="3">
        <v>132</v>
      </c>
      <c r="D126" s="2">
        <f t="shared" si="10"/>
        <v>10985</v>
      </c>
      <c r="E126" s="2">
        <f t="shared" si="11"/>
        <v>5492.5</v>
      </c>
      <c r="F126" s="2">
        <v>2380</v>
      </c>
      <c r="G126" s="2">
        <f t="shared" si="12"/>
        <v>991.66666666666674</v>
      </c>
      <c r="H126" s="4">
        <f>VLOOKUP(B126,nodes!A:D,2,0)</f>
        <v>120</v>
      </c>
      <c r="I126" s="4">
        <f>VLOOKUP(B126,nodes!A:D,4,0)</f>
        <v>120</v>
      </c>
      <c r="J126" s="4">
        <f>VLOOKUP(C126,nodes!A:D,2,0)</f>
        <v>150</v>
      </c>
      <c r="K126" s="4">
        <f>VLOOKUP(C126,nodes!A:D,4,0)</f>
        <v>120</v>
      </c>
      <c r="L126" s="4">
        <f t="shared" si="13"/>
        <v>30</v>
      </c>
      <c r="N126" s="12">
        <f t="shared" si="14"/>
        <v>7437500</v>
      </c>
      <c r="O126" s="12">
        <f t="shared" si="15"/>
        <v>42840000</v>
      </c>
      <c r="P126" s="12">
        <f t="shared" si="16"/>
        <v>11900</v>
      </c>
      <c r="R126" s="23" t="s">
        <v>39</v>
      </c>
      <c r="S126" s="23" t="str">
        <f t="shared" si="17"/>
        <v>125,</v>
      </c>
      <c r="T126" s="23" t="str">
        <f t="shared" si="17"/>
        <v>131,</v>
      </c>
      <c r="U126" s="24">
        <f t="shared" si="18"/>
        <v>132</v>
      </c>
    </row>
    <row r="127" spans="1:21" x14ac:dyDescent="0.25">
      <c r="A127" s="3">
        <v>126</v>
      </c>
      <c r="B127" s="3">
        <v>132</v>
      </c>
      <c r="C127" s="3">
        <v>133</v>
      </c>
      <c r="D127" s="2">
        <f t="shared" si="10"/>
        <v>10985</v>
      </c>
      <c r="E127" s="2">
        <f t="shared" si="11"/>
        <v>5492.5</v>
      </c>
      <c r="F127" s="2">
        <v>2380</v>
      </c>
      <c r="G127" s="2">
        <f t="shared" si="12"/>
        <v>991.66666666666674</v>
      </c>
      <c r="H127" s="4">
        <f>VLOOKUP(B127,nodes!A:D,2,0)</f>
        <v>150</v>
      </c>
      <c r="I127" s="4">
        <f>VLOOKUP(B127,nodes!A:D,4,0)</f>
        <v>120</v>
      </c>
      <c r="J127" s="4">
        <f>VLOOKUP(C127,nodes!A:D,2,0)</f>
        <v>180</v>
      </c>
      <c r="K127" s="4">
        <f>VLOOKUP(C127,nodes!A:D,4,0)</f>
        <v>120</v>
      </c>
      <c r="L127" s="4">
        <f t="shared" si="13"/>
        <v>30</v>
      </c>
      <c r="N127" s="12">
        <f t="shared" si="14"/>
        <v>7437500</v>
      </c>
      <c r="O127" s="12">
        <f t="shared" si="15"/>
        <v>42840000</v>
      </c>
      <c r="P127" s="12">
        <f t="shared" si="16"/>
        <v>11900</v>
      </c>
      <c r="R127" s="23" t="s">
        <v>39</v>
      </c>
      <c r="S127" s="23" t="str">
        <f t="shared" si="17"/>
        <v>126,</v>
      </c>
      <c r="T127" s="23" t="str">
        <f t="shared" si="17"/>
        <v>132,</v>
      </c>
      <c r="U127" s="24">
        <f t="shared" si="18"/>
        <v>133</v>
      </c>
    </row>
    <row r="128" spans="1:21" x14ac:dyDescent="0.25">
      <c r="A128" s="3">
        <v>127</v>
      </c>
      <c r="B128" s="3">
        <v>133</v>
      </c>
      <c r="C128" s="3">
        <v>134</v>
      </c>
      <c r="D128" s="2">
        <f t="shared" si="10"/>
        <v>10985</v>
      </c>
      <c r="E128" s="2">
        <f t="shared" si="11"/>
        <v>5492.5</v>
      </c>
      <c r="F128" s="2">
        <v>2380</v>
      </c>
      <c r="G128" s="2">
        <f t="shared" si="12"/>
        <v>991.66666666666674</v>
      </c>
      <c r="H128" s="4">
        <f>VLOOKUP(B128,nodes!A:D,2,0)</f>
        <v>180</v>
      </c>
      <c r="I128" s="4">
        <f>VLOOKUP(B128,nodes!A:D,4,0)</f>
        <v>120</v>
      </c>
      <c r="J128" s="4">
        <f>VLOOKUP(C128,nodes!A:D,2,0)</f>
        <v>210</v>
      </c>
      <c r="K128" s="4">
        <f>VLOOKUP(C128,nodes!A:D,4,0)</f>
        <v>120</v>
      </c>
      <c r="L128" s="4">
        <f t="shared" si="13"/>
        <v>30</v>
      </c>
      <c r="N128" s="12">
        <f t="shared" si="14"/>
        <v>7437500</v>
      </c>
      <c r="O128" s="12">
        <f t="shared" si="15"/>
        <v>42840000</v>
      </c>
      <c r="P128" s="12">
        <f t="shared" si="16"/>
        <v>11900</v>
      </c>
      <c r="R128" s="23" t="s">
        <v>39</v>
      </c>
      <c r="S128" s="23" t="str">
        <f t="shared" si="17"/>
        <v>127,</v>
      </c>
      <c r="T128" s="23" t="str">
        <f t="shared" si="17"/>
        <v>133,</v>
      </c>
      <c r="U128" s="24">
        <f t="shared" si="18"/>
        <v>134</v>
      </c>
    </row>
    <row r="129" spans="1:21" x14ac:dyDescent="0.25">
      <c r="A129" s="3">
        <v>128</v>
      </c>
      <c r="B129" s="3">
        <v>134</v>
      </c>
      <c r="C129" s="3">
        <v>135</v>
      </c>
      <c r="D129" s="2">
        <f t="shared" si="10"/>
        <v>10985</v>
      </c>
      <c r="E129" s="2">
        <f t="shared" si="11"/>
        <v>5492.5</v>
      </c>
      <c r="F129" s="2">
        <v>2380</v>
      </c>
      <c r="G129" s="2">
        <f t="shared" si="12"/>
        <v>991.66666666666674</v>
      </c>
      <c r="H129" s="4">
        <f>VLOOKUP(B129,nodes!A:D,2,0)</f>
        <v>210</v>
      </c>
      <c r="I129" s="4">
        <f>VLOOKUP(B129,nodes!A:D,4,0)</f>
        <v>120</v>
      </c>
      <c r="J129" s="4">
        <f>VLOOKUP(C129,nodes!A:D,2,0)</f>
        <v>240</v>
      </c>
      <c r="K129" s="4">
        <f>VLOOKUP(C129,nodes!A:D,4,0)</f>
        <v>120</v>
      </c>
      <c r="L129" s="4">
        <f t="shared" si="13"/>
        <v>30</v>
      </c>
      <c r="N129" s="12">
        <f t="shared" si="14"/>
        <v>7437500</v>
      </c>
      <c r="O129" s="12">
        <f t="shared" si="15"/>
        <v>42840000</v>
      </c>
      <c r="P129" s="12">
        <f t="shared" si="16"/>
        <v>11900</v>
      </c>
      <c r="R129" s="23" t="s">
        <v>39</v>
      </c>
      <c r="S129" s="23" t="str">
        <f t="shared" si="17"/>
        <v>128,</v>
      </c>
      <c r="T129" s="23" t="str">
        <f t="shared" si="17"/>
        <v>134,</v>
      </c>
      <c r="U129" s="24">
        <f t="shared" si="18"/>
        <v>135</v>
      </c>
    </row>
    <row r="130" spans="1:21" x14ac:dyDescent="0.25">
      <c r="A130" s="3">
        <v>129</v>
      </c>
      <c r="B130" s="3">
        <v>135</v>
      </c>
      <c r="C130" s="3">
        <v>136</v>
      </c>
      <c r="D130" s="2">
        <f t="shared" ref="D130:D193" si="19">E130*2</f>
        <v>10985</v>
      </c>
      <c r="E130" s="2">
        <f t="shared" si="11"/>
        <v>5492.5</v>
      </c>
      <c r="F130" s="2">
        <v>2380</v>
      </c>
      <c r="G130" s="2">
        <f t="shared" si="12"/>
        <v>991.66666666666674</v>
      </c>
      <c r="H130" s="4">
        <f>VLOOKUP(B130,nodes!A:D,2,0)</f>
        <v>240</v>
      </c>
      <c r="I130" s="4">
        <f>VLOOKUP(B130,nodes!A:D,4,0)</f>
        <v>120</v>
      </c>
      <c r="J130" s="4">
        <f>VLOOKUP(C130,nodes!A:D,2,0)</f>
        <v>270</v>
      </c>
      <c r="K130" s="4">
        <f>VLOOKUP(C130,nodes!A:D,4,0)</f>
        <v>120</v>
      </c>
      <c r="L130" s="4">
        <f t="shared" si="13"/>
        <v>30</v>
      </c>
      <c r="N130" s="12">
        <f t="shared" si="14"/>
        <v>7437500</v>
      </c>
      <c r="O130" s="12">
        <f t="shared" si="15"/>
        <v>42840000</v>
      </c>
      <c r="P130" s="12">
        <f t="shared" si="16"/>
        <v>11900</v>
      </c>
      <c r="R130" s="23" t="s">
        <v>39</v>
      </c>
      <c r="S130" s="23" t="str">
        <f t="shared" si="17"/>
        <v>129,</v>
      </c>
      <c r="T130" s="23" t="str">
        <f t="shared" si="17"/>
        <v>135,</v>
      </c>
      <c r="U130" s="24">
        <f t="shared" si="18"/>
        <v>136</v>
      </c>
    </row>
    <row r="131" spans="1:21" x14ac:dyDescent="0.25">
      <c r="A131" s="3">
        <v>130</v>
      </c>
      <c r="B131" s="3">
        <v>136</v>
      </c>
      <c r="C131" s="3">
        <v>137</v>
      </c>
      <c r="D131" s="2">
        <f t="shared" si="19"/>
        <v>10985</v>
      </c>
      <c r="E131" s="2">
        <f t="shared" ref="E131:E194" si="20">(30*13^3)/12</f>
        <v>5492.5</v>
      </c>
      <c r="F131" s="2">
        <v>2380</v>
      </c>
      <c r="G131" s="2">
        <f t="shared" ref="G131:G194" si="21">F131/(2*(1+0.2))</f>
        <v>991.66666666666674</v>
      </c>
      <c r="H131" s="4">
        <f>VLOOKUP(B131,nodes!A:D,2,0)</f>
        <v>270</v>
      </c>
      <c r="I131" s="4">
        <f>VLOOKUP(B131,nodes!A:D,4,0)</f>
        <v>120</v>
      </c>
      <c r="J131" s="4">
        <f>VLOOKUP(C131,nodes!A:D,2,0)</f>
        <v>300</v>
      </c>
      <c r="K131" s="4">
        <f>VLOOKUP(C131,nodes!A:D,4,0)</f>
        <v>120</v>
      </c>
      <c r="L131" s="4">
        <f t="shared" ref="L131:L194" si="22">((J131-H131)^2+(K131-I131)^2)^0.5</f>
        <v>30</v>
      </c>
      <c r="N131" s="12">
        <f t="shared" ref="N131:N194" si="23">12*2380*60*(25^3)/(300*12)</f>
        <v>7437500</v>
      </c>
      <c r="O131" s="12">
        <f t="shared" ref="O131:O194" si="24">12*2380*25*(60^3)/(300*12)</f>
        <v>42840000</v>
      </c>
      <c r="P131" s="12">
        <f t="shared" ref="P131:P194" si="25">2380*25*60/300</f>
        <v>11900</v>
      </c>
      <c r="R131" s="23" t="s">
        <v>39</v>
      </c>
      <c r="S131" s="23" t="str">
        <f t="shared" ref="S131:T194" si="26">A131&amp;","</f>
        <v>130,</v>
      </c>
      <c r="T131" s="23" t="str">
        <f t="shared" si="26"/>
        <v>136,</v>
      </c>
      <c r="U131" s="24">
        <f t="shared" ref="U131:U194" si="27">C131</f>
        <v>137</v>
      </c>
    </row>
    <row r="132" spans="1:21" x14ac:dyDescent="0.25">
      <c r="A132" s="3">
        <v>131</v>
      </c>
      <c r="B132" s="3">
        <v>137</v>
      </c>
      <c r="C132" s="3">
        <v>138</v>
      </c>
      <c r="D132" s="2">
        <f t="shared" si="19"/>
        <v>10985</v>
      </c>
      <c r="E132" s="2">
        <f t="shared" si="20"/>
        <v>5492.5</v>
      </c>
      <c r="F132" s="2">
        <v>2380</v>
      </c>
      <c r="G132" s="2">
        <f t="shared" si="21"/>
        <v>991.66666666666674</v>
      </c>
      <c r="H132" s="4">
        <f>VLOOKUP(B132,nodes!A:D,2,0)</f>
        <v>300</v>
      </c>
      <c r="I132" s="4">
        <f>VLOOKUP(B132,nodes!A:D,4,0)</f>
        <v>120</v>
      </c>
      <c r="J132" s="4">
        <f>VLOOKUP(C132,nodes!A:D,2,0)</f>
        <v>330</v>
      </c>
      <c r="K132" s="4">
        <f>VLOOKUP(C132,nodes!A:D,4,0)</f>
        <v>120</v>
      </c>
      <c r="L132" s="4">
        <f t="shared" si="22"/>
        <v>30</v>
      </c>
      <c r="N132" s="12">
        <f t="shared" si="23"/>
        <v>7437500</v>
      </c>
      <c r="O132" s="12">
        <f t="shared" si="24"/>
        <v>42840000</v>
      </c>
      <c r="P132" s="12">
        <f t="shared" si="25"/>
        <v>11900</v>
      </c>
      <c r="R132" s="23" t="s">
        <v>39</v>
      </c>
      <c r="S132" s="23" t="str">
        <f t="shared" si="26"/>
        <v>131,</v>
      </c>
      <c r="T132" s="23" t="str">
        <f t="shared" si="26"/>
        <v>137,</v>
      </c>
      <c r="U132" s="24">
        <f t="shared" si="27"/>
        <v>138</v>
      </c>
    </row>
    <row r="133" spans="1:21" x14ac:dyDescent="0.25">
      <c r="A133" s="3">
        <v>132</v>
      </c>
      <c r="B133" s="3">
        <v>138</v>
      </c>
      <c r="C133" s="3">
        <v>139</v>
      </c>
      <c r="D133" s="2">
        <f t="shared" si="19"/>
        <v>10985</v>
      </c>
      <c r="E133" s="2">
        <f t="shared" si="20"/>
        <v>5492.5</v>
      </c>
      <c r="F133" s="2">
        <v>2380</v>
      </c>
      <c r="G133" s="2">
        <f t="shared" si="21"/>
        <v>991.66666666666674</v>
      </c>
      <c r="H133" s="4">
        <f>VLOOKUP(B133,nodes!A:D,2,0)</f>
        <v>330</v>
      </c>
      <c r="I133" s="4">
        <f>VLOOKUP(B133,nodes!A:D,4,0)</f>
        <v>120</v>
      </c>
      <c r="J133" s="4">
        <f>VLOOKUP(C133,nodes!A:D,2,0)</f>
        <v>360</v>
      </c>
      <c r="K133" s="4">
        <f>VLOOKUP(C133,nodes!A:D,4,0)</f>
        <v>120</v>
      </c>
      <c r="L133" s="4">
        <f t="shared" si="22"/>
        <v>30</v>
      </c>
      <c r="N133" s="12">
        <f t="shared" si="23"/>
        <v>7437500</v>
      </c>
      <c r="O133" s="12">
        <f t="shared" si="24"/>
        <v>42840000</v>
      </c>
      <c r="P133" s="12">
        <f t="shared" si="25"/>
        <v>11900</v>
      </c>
      <c r="R133" s="23" t="s">
        <v>39</v>
      </c>
      <c r="S133" s="23" t="str">
        <f t="shared" si="26"/>
        <v>132,</v>
      </c>
      <c r="T133" s="23" t="str">
        <f t="shared" si="26"/>
        <v>138,</v>
      </c>
      <c r="U133" s="24">
        <f t="shared" si="27"/>
        <v>139</v>
      </c>
    </row>
    <row r="134" spans="1:21" x14ac:dyDescent="0.25">
      <c r="A134" s="3">
        <v>133</v>
      </c>
      <c r="B134" s="3">
        <v>139</v>
      </c>
      <c r="C134" s="3">
        <v>140</v>
      </c>
      <c r="D134" s="2">
        <f t="shared" si="19"/>
        <v>10985</v>
      </c>
      <c r="E134" s="2">
        <f t="shared" si="20"/>
        <v>5492.5</v>
      </c>
      <c r="F134" s="2">
        <v>2380</v>
      </c>
      <c r="G134" s="2">
        <f t="shared" si="21"/>
        <v>991.66666666666674</v>
      </c>
      <c r="H134" s="4">
        <f>VLOOKUP(B134,nodes!A:D,2,0)</f>
        <v>360</v>
      </c>
      <c r="I134" s="4">
        <f>VLOOKUP(B134,nodes!A:D,4,0)</f>
        <v>120</v>
      </c>
      <c r="J134" s="4">
        <f>VLOOKUP(C134,nodes!A:D,2,0)</f>
        <v>390</v>
      </c>
      <c r="K134" s="4">
        <f>VLOOKUP(C134,nodes!A:D,4,0)</f>
        <v>120</v>
      </c>
      <c r="L134" s="4">
        <f t="shared" si="22"/>
        <v>30</v>
      </c>
      <c r="N134" s="12">
        <f t="shared" si="23"/>
        <v>7437500</v>
      </c>
      <c r="O134" s="12">
        <f t="shared" si="24"/>
        <v>42840000</v>
      </c>
      <c r="P134" s="12">
        <f t="shared" si="25"/>
        <v>11900</v>
      </c>
      <c r="R134" s="23" t="s">
        <v>39</v>
      </c>
      <c r="S134" s="23" t="str">
        <f t="shared" si="26"/>
        <v>133,</v>
      </c>
      <c r="T134" s="23" t="str">
        <f t="shared" si="26"/>
        <v>139,</v>
      </c>
      <c r="U134" s="24">
        <f t="shared" si="27"/>
        <v>140</v>
      </c>
    </row>
    <row r="135" spans="1:21" x14ac:dyDescent="0.25">
      <c r="A135" s="3">
        <v>134</v>
      </c>
      <c r="B135" s="3">
        <v>140</v>
      </c>
      <c r="C135" s="3">
        <v>141</v>
      </c>
      <c r="D135" s="2">
        <f t="shared" si="19"/>
        <v>10985</v>
      </c>
      <c r="E135" s="2">
        <f t="shared" si="20"/>
        <v>5492.5</v>
      </c>
      <c r="F135" s="2">
        <v>2380</v>
      </c>
      <c r="G135" s="2">
        <f t="shared" si="21"/>
        <v>991.66666666666674</v>
      </c>
      <c r="H135" s="4">
        <f>VLOOKUP(B135,nodes!A:D,2,0)</f>
        <v>390</v>
      </c>
      <c r="I135" s="4">
        <f>VLOOKUP(B135,nodes!A:D,4,0)</f>
        <v>120</v>
      </c>
      <c r="J135" s="4">
        <f>VLOOKUP(C135,nodes!A:D,2,0)</f>
        <v>420</v>
      </c>
      <c r="K135" s="4">
        <f>VLOOKUP(C135,nodes!A:D,4,0)</f>
        <v>120</v>
      </c>
      <c r="L135" s="4">
        <f t="shared" si="22"/>
        <v>30</v>
      </c>
      <c r="N135" s="12">
        <f t="shared" si="23"/>
        <v>7437500</v>
      </c>
      <c r="O135" s="12">
        <f t="shared" si="24"/>
        <v>42840000</v>
      </c>
      <c r="P135" s="12">
        <f t="shared" si="25"/>
        <v>11900</v>
      </c>
      <c r="R135" s="23" t="s">
        <v>39</v>
      </c>
      <c r="S135" s="23" t="str">
        <f t="shared" si="26"/>
        <v>134,</v>
      </c>
      <c r="T135" s="23" t="str">
        <f t="shared" si="26"/>
        <v>140,</v>
      </c>
      <c r="U135" s="24">
        <f t="shared" si="27"/>
        <v>141</v>
      </c>
    </row>
    <row r="136" spans="1:21" x14ac:dyDescent="0.25">
      <c r="A136" s="3">
        <v>135</v>
      </c>
      <c r="B136" s="3">
        <v>141</v>
      </c>
      <c r="C136" s="3">
        <v>142</v>
      </c>
      <c r="D136" s="2">
        <f t="shared" si="19"/>
        <v>10985</v>
      </c>
      <c r="E136" s="2">
        <f t="shared" si="20"/>
        <v>5492.5</v>
      </c>
      <c r="F136" s="2">
        <v>2380</v>
      </c>
      <c r="G136" s="2">
        <f t="shared" si="21"/>
        <v>991.66666666666674</v>
      </c>
      <c r="H136" s="4">
        <f>VLOOKUP(B136,nodes!A:D,2,0)</f>
        <v>420</v>
      </c>
      <c r="I136" s="4">
        <f>VLOOKUP(B136,nodes!A:D,4,0)</f>
        <v>120</v>
      </c>
      <c r="J136" s="4">
        <f>VLOOKUP(C136,nodes!A:D,2,0)</f>
        <v>450</v>
      </c>
      <c r="K136" s="4">
        <f>VLOOKUP(C136,nodes!A:D,4,0)</f>
        <v>120</v>
      </c>
      <c r="L136" s="4">
        <f t="shared" si="22"/>
        <v>30</v>
      </c>
      <c r="N136" s="12">
        <f t="shared" si="23"/>
        <v>7437500</v>
      </c>
      <c r="O136" s="12">
        <f t="shared" si="24"/>
        <v>42840000</v>
      </c>
      <c r="P136" s="12">
        <f t="shared" si="25"/>
        <v>11900</v>
      </c>
      <c r="R136" s="23" t="s">
        <v>39</v>
      </c>
      <c r="S136" s="23" t="str">
        <f t="shared" si="26"/>
        <v>135,</v>
      </c>
      <c r="T136" s="23" t="str">
        <f t="shared" si="26"/>
        <v>141,</v>
      </c>
      <c r="U136" s="24">
        <f t="shared" si="27"/>
        <v>142</v>
      </c>
    </row>
    <row r="137" spans="1:21" x14ac:dyDescent="0.25">
      <c r="A137" s="3">
        <v>136</v>
      </c>
      <c r="B137" s="3">
        <v>142</v>
      </c>
      <c r="C137" s="3">
        <v>143</v>
      </c>
      <c r="D137" s="2">
        <f t="shared" si="19"/>
        <v>10985</v>
      </c>
      <c r="E137" s="2">
        <f t="shared" si="20"/>
        <v>5492.5</v>
      </c>
      <c r="F137" s="2">
        <v>2380</v>
      </c>
      <c r="G137" s="2">
        <f t="shared" si="21"/>
        <v>991.66666666666674</v>
      </c>
      <c r="H137" s="4">
        <f>VLOOKUP(B137,nodes!A:D,2,0)</f>
        <v>450</v>
      </c>
      <c r="I137" s="4">
        <f>VLOOKUP(B137,nodes!A:D,4,0)</f>
        <v>120</v>
      </c>
      <c r="J137" s="4">
        <f>VLOOKUP(C137,nodes!A:D,2,0)</f>
        <v>480</v>
      </c>
      <c r="K137" s="4">
        <f>VLOOKUP(C137,nodes!A:D,4,0)</f>
        <v>120</v>
      </c>
      <c r="L137" s="4">
        <f t="shared" si="22"/>
        <v>30</v>
      </c>
      <c r="N137" s="12">
        <f t="shared" si="23"/>
        <v>7437500</v>
      </c>
      <c r="O137" s="12">
        <f t="shared" si="24"/>
        <v>42840000</v>
      </c>
      <c r="P137" s="12">
        <f t="shared" si="25"/>
        <v>11900</v>
      </c>
      <c r="R137" s="23" t="s">
        <v>39</v>
      </c>
      <c r="S137" s="23" t="str">
        <f t="shared" si="26"/>
        <v>136,</v>
      </c>
      <c r="T137" s="23" t="str">
        <f t="shared" si="26"/>
        <v>142,</v>
      </c>
      <c r="U137" s="24">
        <f t="shared" si="27"/>
        <v>143</v>
      </c>
    </row>
    <row r="138" spans="1:21" x14ac:dyDescent="0.25">
      <c r="A138" s="3">
        <v>137</v>
      </c>
      <c r="B138" s="3">
        <v>143</v>
      </c>
      <c r="C138" s="3">
        <v>144</v>
      </c>
      <c r="D138" s="2">
        <f t="shared" si="19"/>
        <v>10985</v>
      </c>
      <c r="E138" s="2">
        <f t="shared" si="20"/>
        <v>5492.5</v>
      </c>
      <c r="F138" s="2">
        <v>2380</v>
      </c>
      <c r="G138" s="2">
        <f t="shared" si="21"/>
        <v>991.66666666666674</v>
      </c>
      <c r="H138" s="4">
        <f>VLOOKUP(B138,nodes!A:D,2,0)</f>
        <v>480</v>
      </c>
      <c r="I138" s="4">
        <f>VLOOKUP(B138,nodes!A:D,4,0)</f>
        <v>120</v>
      </c>
      <c r="J138" s="4">
        <f>VLOOKUP(C138,nodes!A:D,2,0)</f>
        <v>509.99999999999994</v>
      </c>
      <c r="K138" s="4">
        <f>VLOOKUP(C138,nodes!A:D,4,0)</f>
        <v>120</v>
      </c>
      <c r="L138" s="4">
        <f t="shared" si="22"/>
        <v>29.999999999999943</v>
      </c>
      <c r="N138" s="12">
        <f t="shared" si="23"/>
        <v>7437500</v>
      </c>
      <c r="O138" s="12">
        <f t="shared" si="24"/>
        <v>42840000</v>
      </c>
      <c r="P138" s="12">
        <f t="shared" si="25"/>
        <v>11900</v>
      </c>
      <c r="R138" s="23" t="s">
        <v>39</v>
      </c>
      <c r="S138" s="23" t="str">
        <f t="shared" si="26"/>
        <v>137,</v>
      </c>
      <c r="T138" s="23" t="str">
        <f t="shared" si="26"/>
        <v>143,</v>
      </c>
      <c r="U138" s="24">
        <f t="shared" si="27"/>
        <v>144</v>
      </c>
    </row>
    <row r="139" spans="1:21" x14ac:dyDescent="0.25">
      <c r="A139" s="3">
        <v>138</v>
      </c>
      <c r="B139" s="3">
        <v>144</v>
      </c>
      <c r="C139" s="3">
        <v>145</v>
      </c>
      <c r="D139" s="2">
        <f t="shared" si="19"/>
        <v>10985</v>
      </c>
      <c r="E139" s="2">
        <f t="shared" si="20"/>
        <v>5492.5</v>
      </c>
      <c r="F139" s="2">
        <v>2380</v>
      </c>
      <c r="G139" s="2">
        <f t="shared" si="21"/>
        <v>991.66666666666674</v>
      </c>
      <c r="H139" s="4">
        <f>VLOOKUP(B139,nodes!A:D,2,0)</f>
        <v>509.99999999999994</v>
      </c>
      <c r="I139" s="4">
        <f>VLOOKUP(B139,nodes!A:D,4,0)</f>
        <v>120</v>
      </c>
      <c r="J139" s="4">
        <f>VLOOKUP(C139,nodes!A:D,2,0)</f>
        <v>540</v>
      </c>
      <c r="K139" s="4">
        <f>VLOOKUP(C139,nodes!A:D,4,0)</f>
        <v>120</v>
      </c>
      <c r="L139" s="4">
        <f t="shared" si="22"/>
        <v>30.000000000000057</v>
      </c>
      <c r="N139" s="12">
        <f t="shared" si="23"/>
        <v>7437500</v>
      </c>
      <c r="O139" s="12">
        <f t="shared" si="24"/>
        <v>42840000</v>
      </c>
      <c r="P139" s="12">
        <f t="shared" si="25"/>
        <v>11900</v>
      </c>
      <c r="R139" s="23" t="s">
        <v>39</v>
      </c>
      <c r="S139" s="23" t="str">
        <f t="shared" si="26"/>
        <v>138,</v>
      </c>
      <c r="T139" s="23" t="str">
        <f t="shared" si="26"/>
        <v>144,</v>
      </c>
      <c r="U139" s="24">
        <f t="shared" si="27"/>
        <v>145</v>
      </c>
    </row>
    <row r="140" spans="1:21" x14ac:dyDescent="0.25">
      <c r="A140" s="3">
        <v>139</v>
      </c>
      <c r="B140" s="3">
        <v>145</v>
      </c>
      <c r="C140" s="3">
        <v>146</v>
      </c>
      <c r="D140" s="2">
        <f t="shared" si="19"/>
        <v>10985</v>
      </c>
      <c r="E140" s="2">
        <f t="shared" si="20"/>
        <v>5492.5</v>
      </c>
      <c r="F140" s="2">
        <v>2380</v>
      </c>
      <c r="G140" s="2">
        <f t="shared" si="21"/>
        <v>991.66666666666674</v>
      </c>
      <c r="H140" s="4">
        <f>VLOOKUP(B140,nodes!A:D,2,0)</f>
        <v>540</v>
      </c>
      <c r="I140" s="4">
        <f>VLOOKUP(B140,nodes!A:D,4,0)</f>
        <v>120</v>
      </c>
      <c r="J140" s="4">
        <f>VLOOKUP(C140,nodes!A:D,2,0)</f>
        <v>570</v>
      </c>
      <c r="K140" s="4">
        <f>VLOOKUP(C140,nodes!A:D,4,0)</f>
        <v>120</v>
      </c>
      <c r="L140" s="4">
        <f t="shared" si="22"/>
        <v>30</v>
      </c>
      <c r="N140" s="12">
        <f t="shared" si="23"/>
        <v>7437500</v>
      </c>
      <c r="O140" s="12">
        <f t="shared" si="24"/>
        <v>42840000</v>
      </c>
      <c r="P140" s="12">
        <f t="shared" si="25"/>
        <v>11900</v>
      </c>
      <c r="R140" s="23" t="s">
        <v>39</v>
      </c>
      <c r="S140" s="23" t="str">
        <f t="shared" si="26"/>
        <v>139,</v>
      </c>
      <c r="T140" s="23" t="str">
        <f t="shared" si="26"/>
        <v>145,</v>
      </c>
      <c r="U140" s="24">
        <f t="shared" si="27"/>
        <v>146</v>
      </c>
    </row>
    <row r="141" spans="1:21" x14ac:dyDescent="0.25">
      <c r="A141" s="3">
        <v>140</v>
      </c>
      <c r="B141" s="3">
        <v>146</v>
      </c>
      <c r="C141" s="3">
        <v>147</v>
      </c>
      <c r="D141" s="2">
        <f t="shared" si="19"/>
        <v>10985</v>
      </c>
      <c r="E141" s="2">
        <f t="shared" si="20"/>
        <v>5492.5</v>
      </c>
      <c r="F141" s="2">
        <v>2380</v>
      </c>
      <c r="G141" s="2">
        <f t="shared" si="21"/>
        <v>991.66666666666674</v>
      </c>
      <c r="H141" s="4">
        <f>VLOOKUP(B141,nodes!A:D,2,0)</f>
        <v>570</v>
      </c>
      <c r="I141" s="4">
        <f>VLOOKUP(B141,nodes!A:D,4,0)</f>
        <v>120</v>
      </c>
      <c r="J141" s="4">
        <f>VLOOKUP(C141,nodes!A:D,2,0)</f>
        <v>600</v>
      </c>
      <c r="K141" s="4">
        <f>VLOOKUP(C141,nodes!A:D,4,0)</f>
        <v>120</v>
      </c>
      <c r="L141" s="4">
        <f t="shared" si="22"/>
        <v>30</v>
      </c>
      <c r="N141" s="12">
        <f t="shared" si="23"/>
        <v>7437500</v>
      </c>
      <c r="O141" s="12">
        <f t="shared" si="24"/>
        <v>42840000</v>
      </c>
      <c r="P141" s="12">
        <f t="shared" si="25"/>
        <v>11900</v>
      </c>
      <c r="R141" s="23" t="s">
        <v>39</v>
      </c>
      <c r="S141" s="23" t="str">
        <f t="shared" si="26"/>
        <v>140,</v>
      </c>
      <c r="T141" s="23" t="str">
        <f t="shared" si="26"/>
        <v>146,</v>
      </c>
      <c r="U141" s="24">
        <f t="shared" si="27"/>
        <v>147</v>
      </c>
    </row>
    <row r="142" spans="1:21" x14ac:dyDescent="0.25">
      <c r="A142" s="3">
        <v>141</v>
      </c>
      <c r="B142" s="3">
        <v>148</v>
      </c>
      <c r="C142" s="3">
        <v>149</v>
      </c>
      <c r="D142" s="2">
        <f t="shared" si="19"/>
        <v>10985</v>
      </c>
      <c r="E142" s="2">
        <f t="shared" si="20"/>
        <v>5492.5</v>
      </c>
      <c r="F142" s="2">
        <v>2380</v>
      </c>
      <c r="G142" s="2">
        <f t="shared" si="21"/>
        <v>991.66666666666674</v>
      </c>
      <c r="H142" s="4">
        <f>VLOOKUP(B142,nodes!A:D,2,0)</f>
        <v>0</v>
      </c>
      <c r="I142" s="4">
        <f>VLOOKUP(B142,nodes!A:D,4,0)</f>
        <v>90</v>
      </c>
      <c r="J142" s="4">
        <f>VLOOKUP(C142,nodes!A:D,2,0)</f>
        <v>30</v>
      </c>
      <c r="K142" s="4">
        <f>VLOOKUP(C142,nodes!A:D,4,0)</f>
        <v>90</v>
      </c>
      <c r="L142" s="4">
        <f t="shared" si="22"/>
        <v>30</v>
      </c>
      <c r="N142" s="12">
        <f t="shared" si="23"/>
        <v>7437500</v>
      </c>
      <c r="O142" s="12">
        <f t="shared" si="24"/>
        <v>42840000</v>
      </c>
      <c r="P142" s="12">
        <f t="shared" si="25"/>
        <v>11900</v>
      </c>
      <c r="R142" s="23" t="s">
        <v>39</v>
      </c>
      <c r="S142" s="23" t="str">
        <f t="shared" si="26"/>
        <v>141,</v>
      </c>
      <c r="T142" s="23" t="str">
        <f t="shared" si="26"/>
        <v>148,</v>
      </c>
      <c r="U142" s="24">
        <f t="shared" si="27"/>
        <v>149</v>
      </c>
    </row>
    <row r="143" spans="1:21" x14ac:dyDescent="0.25">
      <c r="A143" s="3">
        <v>142</v>
      </c>
      <c r="B143" s="3">
        <v>149</v>
      </c>
      <c r="C143" s="3">
        <v>150</v>
      </c>
      <c r="D143" s="2">
        <f t="shared" si="19"/>
        <v>10985</v>
      </c>
      <c r="E143" s="2">
        <f t="shared" si="20"/>
        <v>5492.5</v>
      </c>
      <c r="F143" s="2">
        <v>2380</v>
      </c>
      <c r="G143" s="2">
        <f t="shared" si="21"/>
        <v>991.66666666666674</v>
      </c>
      <c r="H143" s="4">
        <f>VLOOKUP(B143,nodes!A:D,2,0)</f>
        <v>30</v>
      </c>
      <c r="I143" s="4">
        <f>VLOOKUP(B143,nodes!A:D,4,0)</f>
        <v>90</v>
      </c>
      <c r="J143" s="4">
        <f>VLOOKUP(C143,nodes!A:D,2,0)</f>
        <v>60</v>
      </c>
      <c r="K143" s="4">
        <f>VLOOKUP(C143,nodes!A:D,4,0)</f>
        <v>90</v>
      </c>
      <c r="L143" s="4">
        <f t="shared" si="22"/>
        <v>30</v>
      </c>
      <c r="N143" s="12">
        <f t="shared" si="23"/>
        <v>7437500</v>
      </c>
      <c r="O143" s="12">
        <f t="shared" si="24"/>
        <v>42840000</v>
      </c>
      <c r="P143" s="12">
        <f t="shared" si="25"/>
        <v>11900</v>
      </c>
      <c r="R143" s="23" t="s">
        <v>39</v>
      </c>
      <c r="S143" s="23" t="str">
        <f t="shared" si="26"/>
        <v>142,</v>
      </c>
      <c r="T143" s="23" t="str">
        <f t="shared" si="26"/>
        <v>149,</v>
      </c>
      <c r="U143" s="24">
        <f t="shared" si="27"/>
        <v>150</v>
      </c>
    </row>
    <row r="144" spans="1:21" x14ac:dyDescent="0.25">
      <c r="A144" s="3">
        <v>143</v>
      </c>
      <c r="B144" s="3">
        <v>150</v>
      </c>
      <c r="C144" s="3">
        <v>151</v>
      </c>
      <c r="D144" s="2">
        <f t="shared" si="19"/>
        <v>10985</v>
      </c>
      <c r="E144" s="2">
        <f t="shared" si="20"/>
        <v>5492.5</v>
      </c>
      <c r="F144" s="2">
        <v>2380</v>
      </c>
      <c r="G144" s="2">
        <f t="shared" si="21"/>
        <v>991.66666666666674</v>
      </c>
      <c r="H144" s="4">
        <f>VLOOKUP(B144,nodes!A:D,2,0)</f>
        <v>60</v>
      </c>
      <c r="I144" s="4">
        <f>VLOOKUP(B144,nodes!A:D,4,0)</f>
        <v>90</v>
      </c>
      <c r="J144" s="4">
        <f>VLOOKUP(C144,nodes!A:D,2,0)</f>
        <v>90</v>
      </c>
      <c r="K144" s="4">
        <f>VLOOKUP(C144,nodes!A:D,4,0)</f>
        <v>90</v>
      </c>
      <c r="L144" s="4">
        <f t="shared" si="22"/>
        <v>30</v>
      </c>
      <c r="N144" s="12">
        <f t="shared" si="23"/>
        <v>7437500</v>
      </c>
      <c r="O144" s="12">
        <f t="shared" si="24"/>
        <v>42840000</v>
      </c>
      <c r="P144" s="12">
        <f t="shared" si="25"/>
        <v>11900</v>
      </c>
      <c r="R144" s="23" t="s">
        <v>39</v>
      </c>
      <c r="S144" s="23" t="str">
        <f t="shared" si="26"/>
        <v>143,</v>
      </c>
      <c r="T144" s="23" t="str">
        <f t="shared" si="26"/>
        <v>150,</v>
      </c>
      <c r="U144" s="24">
        <f t="shared" si="27"/>
        <v>151</v>
      </c>
    </row>
    <row r="145" spans="1:21" x14ac:dyDescent="0.25">
      <c r="A145" s="3">
        <v>144</v>
      </c>
      <c r="B145" s="3">
        <v>151</v>
      </c>
      <c r="C145" s="3">
        <v>152</v>
      </c>
      <c r="D145" s="2">
        <f t="shared" si="19"/>
        <v>10985</v>
      </c>
      <c r="E145" s="2">
        <f t="shared" si="20"/>
        <v>5492.5</v>
      </c>
      <c r="F145" s="2">
        <v>2380</v>
      </c>
      <c r="G145" s="2">
        <f t="shared" si="21"/>
        <v>991.66666666666674</v>
      </c>
      <c r="H145" s="4">
        <f>VLOOKUP(B145,nodes!A:D,2,0)</f>
        <v>90</v>
      </c>
      <c r="I145" s="4">
        <f>VLOOKUP(B145,nodes!A:D,4,0)</f>
        <v>90</v>
      </c>
      <c r="J145" s="4">
        <f>VLOOKUP(C145,nodes!A:D,2,0)</f>
        <v>120</v>
      </c>
      <c r="K145" s="4">
        <f>VLOOKUP(C145,nodes!A:D,4,0)</f>
        <v>90</v>
      </c>
      <c r="L145" s="4">
        <f t="shared" si="22"/>
        <v>30</v>
      </c>
      <c r="N145" s="12">
        <f t="shared" si="23"/>
        <v>7437500</v>
      </c>
      <c r="O145" s="12">
        <f t="shared" si="24"/>
        <v>42840000</v>
      </c>
      <c r="P145" s="12">
        <f t="shared" si="25"/>
        <v>11900</v>
      </c>
      <c r="R145" s="23" t="s">
        <v>39</v>
      </c>
      <c r="S145" s="23" t="str">
        <f t="shared" si="26"/>
        <v>144,</v>
      </c>
      <c r="T145" s="23" t="str">
        <f t="shared" si="26"/>
        <v>151,</v>
      </c>
      <c r="U145" s="24">
        <f t="shared" si="27"/>
        <v>152</v>
      </c>
    </row>
    <row r="146" spans="1:21" x14ac:dyDescent="0.25">
      <c r="A146" s="3">
        <v>145</v>
      </c>
      <c r="B146" s="3">
        <v>152</v>
      </c>
      <c r="C146" s="3">
        <v>153</v>
      </c>
      <c r="D146" s="2">
        <f t="shared" si="19"/>
        <v>10985</v>
      </c>
      <c r="E146" s="2">
        <f t="shared" si="20"/>
        <v>5492.5</v>
      </c>
      <c r="F146" s="2">
        <v>2380</v>
      </c>
      <c r="G146" s="2">
        <f t="shared" si="21"/>
        <v>991.66666666666674</v>
      </c>
      <c r="H146" s="4">
        <f>VLOOKUP(B146,nodes!A:D,2,0)</f>
        <v>120</v>
      </c>
      <c r="I146" s="4">
        <f>VLOOKUP(B146,nodes!A:D,4,0)</f>
        <v>90</v>
      </c>
      <c r="J146" s="4">
        <f>VLOOKUP(C146,nodes!A:D,2,0)</f>
        <v>150</v>
      </c>
      <c r="K146" s="4">
        <f>VLOOKUP(C146,nodes!A:D,4,0)</f>
        <v>90</v>
      </c>
      <c r="L146" s="4">
        <f t="shared" si="22"/>
        <v>30</v>
      </c>
      <c r="N146" s="12">
        <f t="shared" si="23"/>
        <v>7437500</v>
      </c>
      <c r="O146" s="12">
        <f t="shared" si="24"/>
        <v>42840000</v>
      </c>
      <c r="P146" s="12">
        <f t="shared" si="25"/>
        <v>11900</v>
      </c>
      <c r="R146" s="23" t="s">
        <v>39</v>
      </c>
      <c r="S146" s="23" t="str">
        <f t="shared" si="26"/>
        <v>145,</v>
      </c>
      <c r="T146" s="23" t="str">
        <f t="shared" si="26"/>
        <v>152,</v>
      </c>
      <c r="U146" s="24">
        <f t="shared" si="27"/>
        <v>153</v>
      </c>
    </row>
    <row r="147" spans="1:21" x14ac:dyDescent="0.25">
      <c r="A147" s="3">
        <v>146</v>
      </c>
      <c r="B147" s="3">
        <v>153</v>
      </c>
      <c r="C147" s="3">
        <v>154</v>
      </c>
      <c r="D147" s="2">
        <f t="shared" si="19"/>
        <v>10985</v>
      </c>
      <c r="E147" s="2">
        <f t="shared" si="20"/>
        <v>5492.5</v>
      </c>
      <c r="F147" s="2">
        <v>2380</v>
      </c>
      <c r="G147" s="2">
        <f t="shared" si="21"/>
        <v>991.66666666666674</v>
      </c>
      <c r="H147" s="4">
        <f>VLOOKUP(B147,nodes!A:D,2,0)</f>
        <v>150</v>
      </c>
      <c r="I147" s="4">
        <f>VLOOKUP(B147,nodes!A:D,4,0)</f>
        <v>90</v>
      </c>
      <c r="J147" s="4">
        <f>VLOOKUP(C147,nodes!A:D,2,0)</f>
        <v>180</v>
      </c>
      <c r="K147" s="4">
        <f>VLOOKUP(C147,nodes!A:D,4,0)</f>
        <v>90</v>
      </c>
      <c r="L147" s="4">
        <f t="shared" si="22"/>
        <v>30</v>
      </c>
      <c r="N147" s="12">
        <f t="shared" si="23"/>
        <v>7437500</v>
      </c>
      <c r="O147" s="12">
        <f t="shared" si="24"/>
        <v>42840000</v>
      </c>
      <c r="P147" s="12">
        <f t="shared" si="25"/>
        <v>11900</v>
      </c>
      <c r="R147" s="23" t="s">
        <v>39</v>
      </c>
      <c r="S147" s="23" t="str">
        <f t="shared" si="26"/>
        <v>146,</v>
      </c>
      <c r="T147" s="23" t="str">
        <f t="shared" si="26"/>
        <v>153,</v>
      </c>
      <c r="U147" s="24">
        <f t="shared" si="27"/>
        <v>154</v>
      </c>
    </row>
    <row r="148" spans="1:21" x14ac:dyDescent="0.25">
      <c r="A148" s="3">
        <v>147</v>
      </c>
      <c r="B148" s="3">
        <v>154</v>
      </c>
      <c r="C148" s="3">
        <v>155</v>
      </c>
      <c r="D148" s="2">
        <f t="shared" si="19"/>
        <v>10985</v>
      </c>
      <c r="E148" s="2">
        <f t="shared" si="20"/>
        <v>5492.5</v>
      </c>
      <c r="F148" s="2">
        <v>2380</v>
      </c>
      <c r="G148" s="2">
        <f t="shared" si="21"/>
        <v>991.66666666666674</v>
      </c>
      <c r="H148" s="4">
        <f>VLOOKUP(B148,nodes!A:D,2,0)</f>
        <v>180</v>
      </c>
      <c r="I148" s="4">
        <f>VLOOKUP(B148,nodes!A:D,4,0)</f>
        <v>90</v>
      </c>
      <c r="J148" s="4">
        <f>VLOOKUP(C148,nodes!A:D,2,0)</f>
        <v>210</v>
      </c>
      <c r="K148" s="4">
        <f>VLOOKUP(C148,nodes!A:D,4,0)</f>
        <v>90</v>
      </c>
      <c r="L148" s="4">
        <f t="shared" si="22"/>
        <v>30</v>
      </c>
      <c r="N148" s="12">
        <f t="shared" si="23"/>
        <v>7437500</v>
      </c>
      <c r="O148" s="12">
        <f t="shared" si="24"/>
        <v>42840000</v>
      </c>
      <c r="P148" s="12">
        <f t="shared" si="25"/>
        <v>11900</v>
      </c>
      <c r="R148" s="23" t="s">
        <v>39</v>
      </c>
      <c r="S148" s="23" t="str">
        <f t="shared" si="26"/>
        <v>147,</v>
      </c>
      <c r="T148" s="23" t="str">
        <f t="shared" si="26"/>
        <v>154,</v>
      </c>
      <c r="U148" s="24">
        <f t="shared" si="27"/>
        <v>155</v>
      </c>
    </row>
    <row r="149" spans="1:21" x14ac:dyDescent="0.25">
      <c r="A149" s="3">
        <v>148</v>
      </c>
      <c r="B149" s="3">
        <v>155</v>
      </c>
      <c r="C149" s="3">
        <v>156</v>
      </c>
      <c r="D149" s="2">
        <f t="shared" si="19"/>
        <v>10985</v>
      </c>
      <c r="E149" s="2">
        <f t="shared" si="20"/>
        <v>5492.5</v>
      </c>
      <c r="F149" s="2">
        <v>2380</v>
      </c>
      <c r="G149" s="2">
        <f t="shared" si="21"/>
        <v>991.66666666666674</v>
      </c>
      <c r="H149" s="4">
        <f>VLOOKUP(B149,nodes!A:D,2,0)</f>
        <v>210</v>
      </c>
      <c r="I149" s="4">
        <f>VLOOKUP(B149,nodes!A:D,4,0)</f>
        <v>90</v>
      </c>
      <c r="J149" s="4">
        <f>VLOOKUP(C149,nodes!A:D,2,0)</f>
        <v>240</v>
      </c>
      <c r="K149" s="4">
        <f>VLOOKUP(C149,nodes!A:D,4,0)</f>
        <v>90</v>
      </c>
      <c r="L149" s="4">
        <f t="shared" si="22"/>
        <v>30</v>
      </c>
      <c r="N149" s="12">
        <f t="shared" si="23"/>
        <v>7437500</v>
      </c>
      <c r="O149" s="12">
        <f t="shared" si="24"/>
        <v>42840000</v>
      </c>
      <c r="P149" s="12">
        <f t="shared" si="25"/>
        <v>11900</v>
      </c>
      <c r="R149" s="23" t="s">
        <v>39</v>
      </c>
      <c r="S149" s="23" t="str">
        <f t="shared" si="26"/>
        <v>148,</v>
      </c>
      <c r="T149" s="23" t="str">
        <f t="shared" si="26"/>
        <v>155,</v>
      </c>
      <c r="U149" s="24">
        <f t="shared" si="27"/>
        <v>156</v>
      </c>
    </row>
    <row r="150" spans="1:21" x14ac:dyDescent="0.25">
      <c r="A150" s="3">
        <v>149</v>
      </c>
      <c r="B150" s="3">
        <v>156</v>
      </c>
      <c r="C150" s="3">
        <v>157</v>
      </c>
      <c r="D150" s="2">
        <f t="shared" si="19"/>
        <v>10985</v>
      </c>
      <c r="E150" s="2">
        <f t="shared" si="20"/>
        <v>5492.5</v>
      </c>
      <c r="F150" s="2">
        <v>2380</v>
      </c>
      <c r="G150" s="2">
        <f t="shared" si="21"/>
        <v>991.66666666666674</v>
      </c>
      <c r="H150" s="4">
        <f>VLOOKUP(B150,nodes!A:D,2,0)</f>
        <v>240</v>
      </c>
      <c r="I150" s="4">
        <f>VLOOKUP(B150,nodes!A:D,4,0)</f>
        <v>90</v>
      </c>
      <c r="J150" s="4">
        <f>VLOOKUP(C150,nodes!A:D,2,0)</f>
        <v>270</v>
      </c>
      <c r="K150" s="4">
        <f>VLOOKUP(C150,nodes!A:D,4,0)</f>
        <v>90</v>
      </c>
      <c r="L150" s="4">
        <f t="shared" si="22"/>
        <v>30</v>
      </c>
      <c r="N150" s="12">
        <f t="shared" si="23"/>
        <v>7437500</v>
      </c>
      <c r="O150" s="12">
        <f t="shared" si="24"/>
        <v>42840000</v>
      </c>
      <c r="P150" s="12">
        <f t="shared" si="25"/>
        <v>11900</v>
      </c>
      <c r="R150" s="23" t="s">
        <v>39</v>
      </c>
      <c r="S150" s="23" t="str">
        <f t="shared" si="26"/>
        <v>149,</v>
      </c>
      <c r="T150" s="23" t="str">
        <f t="shared" si="26"/>
        <v>156,</v>
      </c>
      <c r="U150" s="24">
        <f t="shared" si="27"/>
        <v>157</v>
      </c>
    </row>
    <row r="151" spans="1:21" x14ac:dyDescent="0.25">
      <c r="A151" s="3">
        <v>150</v>
      </c>
      <c r="B151" s="3">
        <v>157</v>
      </c>
      <c r="C151" s="3">
        <v>158</v>
      </c>
      <c r="D151" s="2">
        <f t="shared" si="19"/>
        <v>10985</v>
      </c>
      <c r="E151" s="2">
        <f t="shared" si="20"/>
        <v>5492.5</v>
      </c>
      <c r="F151" s="2">
        <v>2380</v>
      </c>
      <c r="G151" s="2">
        <f t="shared" si="21"/>
        <v>991.66666666666674</v>
      </c>
      <c r="H151" s="4">
        <f>VLOOKUP(B151,nodes!A:D,2,0)</f>
        <v>270</v>
      </c>
      <c r="I151" s="4">
        <f>VLOOKUP(B151,nodes!A:D,4,0)</f>
        <v>90</v>
      </c>
      <c r="J151" s="4">
        <f>VLOOKUP(C151,nodes!A:D,2,0)</f>
        <v>300</v>
      </c>
      <c r="K151" s="4">
        <f>VLOOKUP(C151,nodes!A:D,4,0)</f>
        <v>90</v>
      </c>
      <c r="L151" s="4">
        <f t="shared" si="22"/>
        <v>30</v>
      </c>
      <c r="N151" s="12">
        <f t="shared" si="23"/>
        <v>7437500</v>
      </c>
      <c r="O151" s="12">
        <f t="shared" si="24"/>
        <v>42840000</v>
      </c>
      <c r="P151" s="12">
        <f t="shared" si="25"/>
        <v>11900</v>
      </c>
      <c r="R151" s="23" t="s">
        <v>39</v>
      </c>
      <c r="S151" s="23" t="str">
        <f t="shared" si="26"/>
        <v>150,</v>
      </c>
      <c r="T151" s="23" t="str">
        <f t="shared" si="26"/>
        <v>157,</v>
      </c>
      <c r="U151" s="24">
        <f t="shared" si="27"/>
        <v>158</v>
      </c>
    </row>
    <row r="152" spans="1:21" x14ac:dyDescent="0.25">
      <c r="A152" s="3">
        <v>151</v>
      </c>
      <c r="B152" s="3">
        <v>158</v>
      </c>
      <c r="C152" s="3">
        <v>159</v>
      </c>
      <c r="D152" s="2">
        <f t="shared" si="19"/>
        <v>10985</v>
      </c>
      <c r="E152" s="2">
        <f t="shared" si="20"/>
        <v>5492.5</v>
      </c>
      <c r="F152" s="2">
        <v>2380</v>
      </c>
      <c r="G152" s="2">
        <f t="shared" si="21"/>
        <v>991.66666666666674</v>
      </c>
      <c r="H152" s="4">
        <f>VLOOKUP(B152,nodes!A:D,2,0)</f>
        <v>300</v>
      </c>
      <c r="I152" s="4">
        <f>VLOOKUP(B152,nodes!A:D,4,0)</f>
        <v>90</v>
      </c>
      <c r="J152" s="4">
        <f>VLOOKUP(C152,nodes!A:D,2,0)</f>
        <v>330</v>
      </c>
      <c r="K152" s="4">
        <f>VLOOKUP(C152,nodes!A:D,4,0)</f>
        <v>90</v>
      </c>
      <c r="L152" s="4">
        <f t="shared" si="22"/>
        <v>30</v>
      </c>
      <c r="N152" s="12">
        <f t="shared" si="23"/>
        <v>7437500</v>
      </c>
      <c r="O152" s="12">
        <f t="shared" si="24"/>
        <v>42840000</v>
      </c>
      <c r="P152" s="12">
        <f t="shared" si="25"/>
        <v>11900</v>
      </c>
      <c r="R152" s="23" t="s">
        <v>39</v>
      </c>
      <c r="S152" s="23" t="str">
        <f t="shared" si="26"/>
        <v>151,</v>
      </c>
      <c r="T152" s="23" t="str">
        <f t="shared" si="26"/>
        <v>158,</v>
      </c>
      <c r="U152" s="24">
        <f t="shared" si="27"/>
        <v>159</v>
      </c>
    </row>
    <row r="153" spans="1:21" x14ac:dyDescent="0.25">
      <c r="A153" s="3">
        <v>152</v>
      </c>
      <c r="B153" s="3">
        <v>159</v>
      </c>
      <c r="C153" s="3">
        <v>160</v>
      </c>
      <c r="D153" s="2">
        <f t="shared" si="19"/>
        <v>10985</v>
      </c>
      <c r="E153" s="2">
        <f t="shared" si="20"/>
        <v>5492.5</v>
      </c>
      <c r="F153" s="2">
        <v>2380</v>
      </c>
      <c r="G153" s="2">
        <f t="shared" si="21"/>
        <v>991.66666666666674</v>
      </c>
      <c r="H153" s="4">
        <f>VLOOKUP(B153,nodes!A:D,2,0)</f>
        <v>330</v>
      </c>
      <c r="I153" s="4">
        <f>VLOOKUP(B153,nodes!A:D,4,0)</f>
        <v>90</v>
      </c>
      <c r="J153" s="4">
        <f>VLOOKUP(C153,nodes!A:D,2,0)</f>
        <v>360</v>
      </c>
      <c r="K153" s="4">
        <f>VLOOKUP(C153,nodes!A:D,4,0)</f>
        <v>90</v>
      </c>
      <c r="L153" s="4">
        <f t="shared" si="22"/>
        <v>30</v>
      </c>
      <c r="N153" s="12">
        <f t="shared" si="23"/>
        <v>7437500</v>
      </c>
      <c r="O153" s="12">
        <f t="shared" si="24"/>
        <v>42840000</v>
      </c>
      <c r="P153" s="12">
        <f t="shared" si="25"/>
        <v>11900</v>
      </c>
      <c r="R153" s="23" t="s">
        <v>39</v>
      </c>
      <c r="S153" s="23" t="str">
        <f t="shared" si="26"/>
        <v>152,</v>
      </c>
      <c r="T153" s="23" t="str">
        <f t="shared" si="26"/>
        <v>159,</v>
      </c>
      <c r="U153" s="24">
        <f t="shared" si="27"/>
        <v>160</v>
      </c>
    </row>
    <row r="154" spans="1:21" x14ac:dyDescent="0.25">
      <c r="A154" s="3">
        <v>153</v>
      </c>
      <c r="B154" s="3">
        <v>160</v>
      </c>
      <c r="C154" s="3">
        <v>161</v>
      </c>
      <c r="D154" s="2">
        <f t="shared" si="19"/>
        <v>10985</v>
      </c>
      <c r="E154" s="2">
        <f t="shared" si="20"/>
        <v>5492.5</v>
      </c>
      <c r="F154" s="2">
        <v>2380</v>
      </c>
      <c r="G154" s="2">
        <f t="shared" si="21"/>
        <v>991.66666666666674</v>
      </c>
      <c r="H154" s="4">
        <f>VLOOKUP(B154,nodes!A:D,2,0)</f>
        <v>360</v>
      </c>
      <c r="I154" s="4">
        <f>VLOOKUP(B154,nodes!A:D,4,0)</f>
        <v>90</v>
      </c>
      <c r="J154" s="4">
        <f>VLOOKUP(C154,nodes!A:D,2,0)</f>
        <v>390</v>
      </c>
      <c r="K154" s="4">
        <f>VLOOKUP(C154,nodes!A:D,4,0)</f>
        <v>90</v>
      </c>
      <c r="L154" s="4">
        <f t="shared" si="22"/>
        <v>30</v>
      </c>
      <c r="N154" s="12">
        <f t="shared" si="23"/>
        <v>7437500</v>
      </c>
      <c r="O154" s="12">
        <f t="shared" si="24"/>
        <v>42840000</v>
      </c>
      <c r="P154" s="12">
        <f t="shared" si="25"/>
        <v>11900</v>
      </c>
      <c r="R154" s="23" t="s">
        <v>39</v>
      </c>
      <c r="S154" s="23" t="str">
        <f t="shared" si="26"/>
        <v>153,</v>
      </c>
      <c r="T154" s="23" t="str">
        <f t="shared" si="26"/>
        <v>160,</v>
      </c>
      <c r="U154" s="24">
        <f t="shared" si="27"/>
        <v>161</v>
      </c>
    </row>
    <row r="155" spans="1:21" x14ac:dyDescent="0.25">
      <c r="A155" s="3">
        <v>154</v>
      </c>
      <c r="B155" s="3">
        <v>161</v>
      </c>
      <c r="C155" s="3">
        <v>162</v>
      </c>
      <c r="D155" s="2">
        <f t="shared" si="19"/>
        <v>10985</v>
      </c>
      <c r="E155" s="2">
        <f t="shared" si="20"/>
        <v>5492.5</v>
      </c>
      <c r="F155" s="2">
        <v>2380</v>
      </c>
      <c r="G155" s="2">
        <f t="shared" si="21"/>
        <v>991.66666666666674</v>
      </c>
      <c r="H155" s="4">
        <f>VLOOKUP(B155,nodes!A:D,2,0)</f>
        <v>390</v>
      </c>
      <c r="I155" s="4">
        <f>VLOOKUP(B155,nodes!A:D,4,0)</f>
        <v>90</v>
      </c>
      <c r="J155" s="4">
        <f>VLOOKUP(C155,nodes!A:D,2,0)</f>
        <v>420</v>
      </c>
      <c r="K155" s="4">
        <f>VLOOKUP(C155,nodes!A:D,4,0)</f>
        <v>90</v>
      </c>
      <c r="L155" s="4">
        <f t="shared" si="22"/>
        <v>30</v>
      </c>
      <c r="N155" s="12">
        <f t="shared" si="23"/>
        <v>7437500</v>
      </c>
      <c r="O155" s="12">
        <f t="shared" si="24"/>
        <v>42840000</v>
      </c>
      <c r="P155" s="12">
        <f t="shared" si="25"/>
        <v>11900</v>
      </c>
      <c r="R155" s="23" t="s">
        <v>39</v>
      </c>
      <c r="S155" s="23" t="str">
        <f t="shared" si="26"/>
        <v>154,</v>
      </c>
      <c r="T155" s="23" t="str">
        <f t="shared" si="26"/>
        <v>161,</v>
      </c>
      <c r="U155" s="24">
        <f t="shared" si="27"/>
        <v>162</v>
      </c>
    </row>
    <row r="156" spans="1:21" x14ac:dyDescent="0.25">
      <c r="A156" s="3">
        <v>155</v>
      </c>
      <c r="B156" s="3">
        <v>162</v>
      </c>
      <c r="C156" s="3">
        <v>163</v>
      </c>
      <c r="D156" s="2">
        <f t="shared" si="19"/>
        <v>10985</v>
      </c>
      <c r="E156" s="2">
        <f t="shared" si="20"/>
        <v>5492.5</v>
      </c>
      <c r="F156" s="2">
        <v>2380</v>
      </c>
      <c r="G156" s="2">
        <f t="shared" si="21"/>
        <v>991.66666666666674</v>
      </c>
      <c r="H156" s="4">
        <f>VLOOKUP(B156,nodes!A:D,2,0)</f>
        <v>420</v>
      </c>
      <c r="I156" s="4">
        <f>VLOOKUP(B156,nodes!A:D,4,0)</f>
        <v>90</v>
      </c>
      <c r="J156" s="4">
        <f>VLOOKUP(C156,nodes!A:D,2,0)</f>
        <v>450</v>
      </c>
      <c r="K156" s="4">
        <f>VLOOKUP(C156,nodes!A:D,4,0)</f>
        <v>90</v>
      </c>
      <c r="L156" s="4">
        <f t="shared" si="22"/>
        <v>30</v>
      </c>
      <c r="N156" s="12">
        <f t="shared" si="23"/>
        <v>7437500</v>
      </c>
      <c r="O156" s="12">
        <f t="shared" si="24"/>
        <v>42840000</v>
      </c>
      <c r="P156" s="12">
        <f t="shared" si="25"/>
        <v>11900</v>
      </c>
      <c r="R156" s="23" t="s">
        <v>39</v>
      </c>
      <c r="S156" s="23" t="str">
        <f t="shared" si="26"/>
        <v>155,</v>
      </c>
      <c r="T156" s="23" t="str">
        <f t="shared" si="26"/>
        <v>162,</v>
      </c>
      <c r="U156" s="24">
        <f t="shared" si="27"/>
        <v>163</v>
      </c>
    </row>
    <row r="157" spans="1:21" x14ac:dyDescent="0.25">
      <c r="A157" s="3">
        <v>156</v>
      </c>
      <c r="B157" s="3">
        <v>163</v>
      </c>
      <c r="C157" s="3">
        <v>164</v>
      </c>
      <c r="D157" s="2">
        <f t="shared" si="19"/>
        <v>10985</v>
      </c>
      <c r="E157" s="2">
        <f t="shared" si="20"/>
        <v>5492.5</v>
      </c>
      <c r="F157" s="2">
        <v>2380</v>
      </c>
      <c r="G157" s="2">
        <f t="shared" si="21"/>
        <v>991.66666666666674</v>
      </c>
      <c r="H157" s="4">
        <f>VLOOKUP(B157,nodes!A:D,2,0)</f>
        <v>450</v>
      </c>
      <c r="I157" s="4">
        <f>VLOOKUP(B157,nodes!A:D,4,0)</f>
        <v>90</v>
      </c>
      <c r="J157" s="4">
        <f>VLOOKUP(C157,nodes!A:D,2,0)</f>
        <v>480</v>
      </c>
      <c r="K157" s="4">
        <f>VLOOKUP(C157,nodes!A:D,4,0)</f>
        <v>90</v>
      </c>
      <c r="L157" s="4">
        <f t="shared" si="22"/>
        <v>30</v>
      </c>
      <c r="N157" s="12">
        <f t="shared" si="23"/>
        <v>7437500</v>
      </c>
      <c r="O157" s="12">
        <f t="shared" si="24"/>
        <v>42840000</v>
      </c>
      <c r="P157" s="12">
        <f t="shared" si="25"/>
        <v>11900</v>
      </c>
      <c r="R157" s="23" t="s">
        <v>39</v>
      </c>
      <c r="S157" s="23" t="str">
        <f t="shared" si="26"/>
        <v>156,</v>
      </c>
      <c r="T157" s="23" t="str">
        <f t="shared" si="26"/>
        <v>163,</v>
      </c>
      <c r="U157" s="24">
        <f t="shared" si="27"/>
        <v>164</v>
      </c>
    </row>
    <row r="158" spans="1:21" x14ac:dyDescent="0.25">
      <c r="A158" s="3">
        <v>157</v>
      </c>
      <c r="B158" s="3">
        <v>164</v>
      </c>
      <c r="C158" s="3">
        <v>165</v>
      </c>
      <c r="D158" s="2">
        <f t="shared" si="19"/>
        <v>10985</v>
      </c>
      <c r="E158" s="2">
        <f t="shared" si="20"/>
        <v>5492.5</v>
      </c>
      <c r="F158" s="2">
        <v>2380</v>
      </c>
      <c r="G158" s="2">
        <f t="shared" si="21"/>
        <v>991.66666666666674</v>
      </c>
      <c r="H158" s="4">
        <f>VLOOKUP(B158,nodes!A:D,2,0)</f>
        <v>480</v>
      </c>
      <c r="I158" s="4">
        <f>VLOOKUP(B158,nodes!A:D,4,0)</f>
        <v>90</v>
      </c>
      <c r="J158" s="4">
        <f>VLOOKUP(C158,nodes!A:D,2,0)</f>
        <v>509.99999999999994</v>
      </c>
      <c r="K158" s="4">
        <f>VLOOKUP(C158,nodes!A:D,4,0)</f>
        <v>90</v>
      </c>
      <c r="L158" s="4">
        <f t="shared" si="22"/>
        <v>29.999999999999943</v>
      </c>
      <c r="N158" s="12">
        <f t="shared" si="23"/>
        <v>7437500</v>
      </c>
      <c r="O158" s="12">
        <f t="shared" si="24"/>
        <v>42840000</v>
      </c>
      <c r="P158" s="12">
        <f t="shared" si="25"/>
        <v>11900</v>
      </c>
      <c r="R158" s="23" t="s">
        <v>39</v>
      </c>
      <c r="S158" s="23" t="str">
        <f t="shared" si="26"/>
        <v>157,</v>
      </c>
      <c r="T158" s="23" t="str">
        <f t="shared" si="26"/>
        <v>164,</v>
      </c>
      <c r="U158" s="24">
        <f t="shared" si="27"/>
        <v>165</v>
      </c>
    </row>
    <row r="159" spans="1:21" x14ac:dyDescent="0.25">
      <c r="A159" s="3">
        <v>158</v>
      </c>
      <c r="B159" s="3">
        <v>165</v>
      </c>
      <c r="C159" s="3">
        <v>166</v>
      </c>
      <c r="D159" s="2">
        <f t="shared" si="19"/>
        <v>10985</v>
      </c>
      <c r="E159" s="2">
        <f t="shared" si="20"/>
        <v>5492.5</v>
      </c>
      <c r="F159" s="2">
        <v>2380</v>
      </c>
      <c r="G159" s="2">
        <f t="shared" si="21"/>
        <v>991.66666666666674</v>
      </c>
      <c r="H159" s="4">
        <f>VLOOKUP(B159,nodes!A:D,2,0)</f>
        <v>509.99999999999994</v>
      </c>
      <c r="I159" s="4">
        <f>VLOOKUP(B159,nodes!A:D,4,0)</f>
        <v>90</v>
      </c>
      <c r="J159" s="4">
        <f>VLOOKUP(C159,nodes!A:D,2,0)</f>
        <v>540</v>
      </c>
      <c r="K159" s="4">
        <f>VLOOKUP(C159,nodes!A:D,4,0)</f>
        <v>90</v>
      </c>
      <c r="L159" s="4">
        <f t="shared" si="22"/>
        <v>30.000000000000057</v>
      </c>
      <c r="N159" s="12">
        <f t="shared" si="23"/>
        <v>7437500</v>
      </c>
      <c r="O159" s="12">
        <f t="shared" si="24"/>
        <v>42840000</v>
      </c>
      <c r="P159" s="12">
        <f t="shared" si="25"/>
        <v>11900</v>
      </c>
      <c r="R159" s="23" t="s">
        <v>39</v>
      </c>
      <c r="S159" s="23" t="str">
        <f t="shared" si="26"/>
        <v>158,</v>
      </c>
      <c r="T159" s="23" t="str">
        <f t="shared" si="26"/>
        <v>165,</v>
      </c>
      <c r="U159" s="24">
        <f t="shared" si="27"/>
        <v>166</v>
      </c>
    </row>
    <row r="160" spans="1:21" x14ac:dyDescent="0.25">
      <c r="A160" s="3">
        <v>159</v>
      </c>
      <c r="B160" s="3">
        <v>166</v>
      </c>
      <c r="C160" s="3">
        <v>167</v>
      </c>
      <c r="D160" s="2">
        <f t="shared" si="19"/>
        <v>10985</v>
      </c>
      <c r="E160" s="2">
        <f t="shared" si="20"/>
        <v>5492.5</v>
      </c>
      <c r="F160" s="2">
        <v>2380</v>
      </c>
      <c r="G160" s="2">
        <f t="shared" si="21"/>
        <v>991.66666666666674</v>
      </c>
      <c r="H160" s="4">
        <f>VLOOKUP(B160,nodes!A:D,2,0)</f>
        <v>540</v>
      </c>
      <c r="I160" s="4">
        <f>VLOOKUP(B160,nodes!A:D,4,0)</f>
        <v>90</v>
      </c>
      <c r="J160" s="4">
        <f>VLOOKUP(C160,nodes!A:D,2,0)</f>
        <v>570</v>
      </c>
      <c r="K160" s="4">
        <f>VLOOKUP(C160,nodes!A:D,4,0)</f>
        <v>90</v>
      </c>
      <c r="L160" s="4">
        <f t="shared" si="22"/>
        <v>30</v>
      </c>
      <c r="N160" s="12">
        <f t="shared" si="23"/>
        <v>7437500</v>
      </c>
      <c r="O160" s="12">
        <f t="shared" si="24"/>
        <v>42840000</v>
      </c>
      <c r="P160" s="12">
        <f t="shared" si="25"/>
        <v>11900</v>
      </c>
      <c r="R160" s="23" t="s">
        <v>39</v>
      </c>
      <c r="S160" s="23" t="str">
        <f t="shared" si="26"/>
        <v>159,</v>
      </c>
      <c r="T160" s="23" t="str">
        <f t="shared" si="26"/>
        <v>166,</v>
      </c>
      <c r="U160" s="24">
        <f t="shared" si="27"/>
        <v>167</v>
      </c>
    </row>
    <row r="161" spans="1:21" x14ac:dyDescent="0.25">
      <c r="A161" s="3">
        <v>160</v>
      </c>
      <c r="B161" s="3">
        <v>167</v>
      </c>
      <c r="C161" s="3">
        <v>168</v>
      </c>
      <c r="D161" s="2">
        <f t="shared" si="19"/>
        <v>10985</v>
      </c>
      <c r="E161" s="2">
        <f t="shared" si="20"/>
        <v>5492.5</v>
      </c>
      <c r="F161" s="2">
        <v>2380</v>
      </c>
      <c r="G161" s="2">
        <f t="shared" si="21"/>
        <v>991.66666666666674</v>
      </c>
      <c r="H161" s="4">
        <f>VLOOKUP(B161,nodes!A:D,2,0)</f>
        <v>570</v>
      </c>
      <c r="I161" s="4">
        <f>VLOOKUP(B161,nodes!A:D,4,0)</f>
        <v>90</v>
      </c>
      <c r="J161" s="4">
        <f>VLOOKUP(C161,nodes!A:D,2,0)</f>
        <v>600</v>
      </c>
      <c r="K161" s="4">
        <f>VLOOKUP(C161,nodes!A:D,4,0)</f>
        <v>90</v>
      </c>
      <c r="L161" s="4">
        <f t="shared" si="22"/>
        <v>30</v>
      </c>
      <c r="N161" s="12">
        <f t="shared" si="23"/>
        <v>7437500</v>
      </c>
      <c r="O161" s="12">
        <f t="shared" si="24"/>
        <v>42840000</v>
      </c>
      <c r="P161" s="12">
        <f t="shared" si="25"/>
        <v>11900</v>
      </c>
      <c r="R161" s="23" t="s">
        <v>39</v>
      </c>
      <c r="S161" s="23" t="str">
        <f t="shared" si="26"/>
        <v>160,</v>
      </c>
      <c r="T161" s="23" t="str">
        <f t="shared" si="26"/>
        <v>167,</v>
      </c>
      <c r="U161" s="24">
        <f t="shared" si="27"/>
        <v>168</v>
      </c>
    </row>
    <row r="162" spans="1:21" x14ac:dyDescent="0.25">
      <c r="A162" s="3">
        <v>161</v>
      </c>
      <c r="B162" s="3">
        <v>169</v>
      </c>
      <c r="C162" s="3">
        <v>170</v>
      </c>
      <c r="D162" s="2">
        <f t="shared" si="19"/>
        <v>10985</v>
      </c>
      <c r="E162" s="2">
        <f t="shared" si="20"/>
        <v>5492.5</v>
      </c>
      <c r="F162" s="2">
        <v>2380</v>
      </c>
      <c r="G162" s="2">
        <f t="shared" si="21"/>
        <v>991.66666666666674</v>
      </c>
      <c r="H162" s="4">
        <f>VLOOKUP(B162,nodes!A:D,2,0)</f>
        <v>0</v>
      </c>
      <c r="I162" s="4">
        <f>VLOOKUP(B162,nodes!A:D,4,0)</f>
        <v>60</v>
      </c>
      <c r="J162" s="4">
        <f>VLOOKUP(C162,nodes!A:D,2,0)</f>
        <v>30</v>
      </c>
      <c r="K162" s="4">
        <f>VLOOKUP(C162,nodes!A:D,4,0)</f>
        <v>60</v>
      </c>
      <c r="L162" s="4">
        <f t="shared" si="22"/>
        <v>30</v>
      </c>
      <c r="N162" s="12">
        <f t="shared" si="23"/>
        <v>7437500</v>
      </c>
      <c r="O162" s="12">
        <f t="shared" si="24"/>
        <v>42840000</v>
      </c>
      <c r="P162" s="12">
        <f t="shared" si="25"/>
        <v>11900</v>
      </c>
      <c r="R162" s="23" t="s">
        <v>39</v>
      </c>
      <c r="S162" s="23" t="str">
        <f t="shared" si="26"/>
        <v>161,</v>
      </c>
      <c r="T162" s="23" t="str">
        <f t="shared" si="26"/>
        <v>169,</v>
      </c>
      <c r="U162" s="24">
        <f t="shared" si="27"/>
        <v>170</v>
      </c>
    </row>
    <row r="163" spans="1:21" x14ac:dyDescent="0.25">
      <c r="A163" s="3">
        <v>162</v>
      </c>
      <c r="B163" s="3">
        <v>170</v>
      </c>
      <c r="C163" s="3">
        <v>171</v>
      </c>
      <c r="D163" s="2">
        <f t="shared" si="19"/>
        <v>10985</v>
      </c>
      <c r="E163" s="2">
        <f t="shared" si="20"/>
        <v>5492.5</v>
      </c>
      <c r="F163" s="2">
        <v>2380</v>
      </c>
      <c r="G163" s="2">
        <f t="shared" si="21"/>
        <v>991.66666666666674</v>
      </c>
      <c r="H163" s="4">
        <f>VLOOKUP(B163,nodes!A:D,2,0)</f>
        <v>30</v>
      </c>
      <c r="I163" s="4">
        <f>VLOOKUP(B163,nodes!A:D,4,0)</f>
        <v>60</v>
      </c>
      <c r="J163" s="4">
        <f>VLOOKUP(C163,nodes!A:D,2,0)</f>
        <v>60</v>
      </c>
      <c r="K163" s="4">
        <f>VLOOKUP(C163,nodes!A:D,4,0)</f>
        <v>60</v>
      </c>
      <c r="L163" s="4">
        <f t="shared" si="22"/>
        <v>30</v>
      </c>
      <c r="N163" s="12">
        <f t="shared" si="23"/>
        <v>7437500</v>
      </c>
      <c r="O163" s="12">
        <f t="shared" si="24"/>
        <v>42840000</v>
      </c>
      <c r="P163" s="12">
        <f t="shared" si="25"/>
        <v>11900</v>
      </c>
      <c r="R163" s="23" t="s">
        <v>39</v>
      </c>
      <c r="S163" s="23" t="str">
        <f t="shared" si="26"/>
        <v>162,</v>
      </c>
      <c r="T163" s="23" t="str">
        <f t="shared" si="26"/>
        <v>170,</v>
      </c>
      <c r="U163" s="24">
        <f t="shared" si="27"/>
        <v>171</v>
      </c>
    </row>
    <row r="164" spans="1:21" x14ac:dyDescent="0.25">
      <c r="A164" s="3">
        <v>163</v>
      </c>
      <c r="B164" s="3">
        <v>171</v>
      </c>
      <c r="C164" s="3">
        <v>172</v>
      </c>
      <c r="D164" s="2">
        <f t="shared" si="19"/>
        <v>10985</v>
      </c>
      <c r="E164" s="2">
        <f t="shared" si="20"/>
        <v>5492.5</v>
      </c>
      <c r="F164" s="2">
        <v>2380</v>
      </c>
      <c r="G164" s="2">
        <f t="shared" si="21"/>
        <v>991.66666666666674</v>
      </c>
      <c r="H164" s="4">
        <f>VLOOKUP(B164,nodes!A:D,2,0)</f>
        <v>60</v>
      </c>
      <c r="I164" s="4">
        <f>VLOOKUP(B164,nodes!A:D,4,0)</f>
        <v>60</v>
      </c>
      <c r="J164" s="4">
        <f>VLOOKUP(C164,nodes!A:D,2,0)</f>
        <v>90</v>
      </c>
      <c r="K164" s="4">
        <f>VLOOKUP(C164,nodes!A:D,4,0)</f>
        <v>60</v>
      </c>
      <c r="L164" s="4">
        <f t="shared" si="22"/>
        <v>30</v>
      </c>
      <c r="N164" s="12">
        <f t="shared" si="23"/>
        <v>7437500</v>
      </c>
      <c r="O164" s="12">
        <f t="shared" si="24"/>
        <v>42840000</v>
      </c>
      <c r="P164" s="12">
        <f t="shared" si="25"/>
        <v>11900</v>
      </c>
      <c r="R164" s="23" t="s">
        <v>39</v>
      </c>
      <c r="S164" s="23" t="str">
        <f t="shared" si="26"/>
        <v>163,</v>
      </c>
      <c r="T164" s="23" t="str">
        <f t="shared" si="26"/>
        <v>171,</v>
      </c>
      <c r="U164" s="24">
        <f t="shared" si="27"/>
        <v>172</v>
      </c>
    </row>
    <row r="165" spans="1:21" x14ac:dyDescent="0.25">
      <c r="A165" s="3">
        <v>164</v>
      </c>
      <c r="B165" s="3">
        <v>172</v>
      </c>
      <c r="C165" s="3">
        <v>173</v>
      </c>
      <c r="D165" s="2">
        <f t="shared" si="19"/>
        <v>10985</v>
      </c>
      <c r="E165" s="2">
        <f t="shared" si="20"/>
        <v>5492.5</v>
      </c>
      <c r="F165" s="2">
        <v>2380</v>
      </c>
      <c r="G165" s="2">
        <f t="shared" si="21"/>
        <v>991.66666666666674</v>
      </c>
      <c r="H165" s="4">
        <f>VLOOKUP(B165,nodes!A:D,2,0)</f>
        <v>90</v>
      </c>
      <c r="I165" s="4">
        <f>VLOOKUP(B165,nodes!A:D,4,0)</f>
        <v>60</v>
      </c>
      <c r="J165" s="4">
        <f>VLOOKUP(C165,nodes!A:D,2,0)</f>
        <v>120</v>
      </c>
      <c r="K165" s="4">
        <f>VLOOKUP(C165,nodes!A:D,4,0)</f>
        <v>60</v>
      </c>
      <c r="L165" s="4">
        <f t="shared" si="22"/>
        <v>30</v>
      </c>
      <c r="N165" s="12">
        <f t="shared" si="23"/>
        <v>7437500</v>
      </c>
      <c r="O165" s="12">
        <f t="shared" si="24"/>
        <v>42840000</v>
      </c>
      <c r="P165" s="12">
        <f t="shared" si="25"/>
        <v>11900</v>
      </c>
      <c r="R165" s="23" t="s">
        <v>39</v>
      </c>
      <c r="S165" s="23" t="str">
        <f t="shared" si="26"/>
        <v>164,</v>
      </c>
      <c r="T165" s="23" t="str">
        <f t="shared" si="26"/>
        <v>172,</v>
      </c>
      <c r="U165" s="24">
        <f t="shared" si="27"/>
        <v>173</v>
      </c>
    </row>
    <row r="166" spans="1:21" x14ac:dyDescent="0.25">
      <c r="A166" s="3">
        <v>165</v>
      </c>
      <c r="B166" s="3">
        <v>173</v>
      </c>
      <c r="C166" s="3">
        <v>174</v>
      </c>
      <c r="D166" s="2">
        <f t="shared" si="19"/>
        <v>10985</v>
      </c>
      <c r="E166" s="2">
        <f t="shared" si="20"/>
        <v>5492.5</v>
      </c>
      <c r="F166" s="2">
        <v>2380</v>
      </c>
      <c r="G166" s="2">
        <f t="shared" si="21"/>
        <v>991.66666666666674</v>
      </c>
      <c r="H166" s="4">
        <f>VLOOKUP(B166,nodes!A:D,2,0)</f>
        <v>120</v>
      </c>
      <c r="I166" s="4">
        <f>VLOOKUP(B166,nodes!A:D,4,0)</f>
        <v>60</v>
      </c>
      <c r="J166" s="4">
        <f>VLOOKUP(C166,nodes!A:D,2,0)</f>
        <v>150</v>
      </c>
      <c r="K166" s="4">
        <f>VLOOKUP(C166,nodes!A:D,4,0)</f>
        <v>60</v>
      </c>
      <c r="L166" s="4">
        <f t="shared" si="22"/>
        <v>30</v>
      </c>
      <c r="N166" s="12">
        <f t="shared" si="23"/>
        <v>7437500</v>
      </c>
      <c r="O166" s="12">
        <f t="shared" si="24"/>
        <v>42840000</v>
      </c>
      <c r="P166" s="12">
        <f t="shared" si="25"/>
        <v>11900</v>
      </c>
      <c r="R166" s="23" t="s">
        <v>39</v>
      </c>
      <c r="S166" s="23" t="str">
        <f t="shared" si="26"/>
        <v>165,</v>
      </c>
      <c r="T166" s="23" t="str">
        <f t="shared" si="26"/>
        <v>173,</v>
      </c>
      <c r="U166" s="24">
        <f t="shared" si="27"/>
        <v>174</v>
      </c>
    </row>
    <row r="167" spans="1:21" x14ac:dyDescent="0.25">
      <c r="A167" s="3">
        <v>166</v>
      </c>
      <c r="B167" s="3">
        <v>174</v>
      </c>
      <c r="C167" s="3">
        <v>175</v>
      </c>
      <c r="D167" s="2">
        <f t="shared" si="19"/>
        <v>10985</v>
      </c>
      <c r="E167" s="2">
        <f t="shared" si="20"/>
        <v>5492.5</v>
      </c>
      <c r="F167" s="2">
        <v>2380</v>
      </c>
      <c r="G167" s="2">
        <f t="shared" si="21"/>
        <v>991.66666666666674</v>
      </c>
      <c r="H167" s="4">
        <f>VLOOKUP(B167,nodes!A:D,2,0)</f>
        <v>150</v>
      </c>
      <c r="I167" s="4">
        <f>VLOOKUP(B167,nodes!A:D,4,0)</f>
        <v>60</v>
      </c>
      <c r="J167" s="4">
        <f>VLOOKUP(C167,nodes!A:D,2,0)</f>
        <v>180</v>
      </c>
      <c r="K167" s="4">
        <f>VLOOKUP(C167,nodes!A:D,4,0)</f>
        <v>60</v>
      </c>
      <c r="L167" s="4">
        <f t="shared" si="22"/>
        <v>30</v>
      </c>
      <c r="N167" s="12">
        <f t="shared" si="23"/>
        <v>7437500</v>
      </c>
      <c r="O167" s="12">
        <f t="shared" si="24"/>
        <v>42840000</v>
      </c>
      <c r="P167" s="12">
        <f t="shared" si="25"/>
        <v>11900</v>
      </c>
      <c r="R167" s="23" t="s">
        <v>39</v>
      </c>
      <c r="S167" s="23" t="str">
        <f t="shared" si="26"/>
        <v>166,</v>
      </c>
      <c r="T167" s="23" t="str">
        <f t="shared" si="26"/>
        <v>174,</v>
      </c>
      <c r="U167" s="24">
        <f t="shared" si="27"/>
        <v>175</v>
      </c>
    </row>
    <row r="168" spans="1:21" x14ac:dyDescent="0.25">
      <c r="A168" s="3">
        <v>167</v>
      </c>
      <c r="B168" s="3">
        <v>175</v>
      </c>
      <c r="C168" s="3">
        <v>176</v>
      </c>
      <c r="D168" s="2">
        <f t="shared" si="19"/>
        <v>10985</v>
      </c>
      <c r="E168" s="2">
        <f t="shared" si="20"/>
        <v>5492.5</v>
      </c>
      <c r="F168" s="2">
        <v>2380</v>
      </c>
      <c r="G168" s="2">
        <f t="shared" si="21"/>
        <v>991.66666666666674</v>
      </c>
      <c r="H168" s="4">
        <f>VLOOKUP(B168,nodes!A:D,2,0)</f>
        <v>180</v>
      </c>
      <c r="I168" s="4">
        <f>VLOOKUP(B168,nodes!A:D,4,0)</f>
        <v>60</v>
      </c>
      <c r="J168" s="4">
        <f>VLOOKUP(C168,nodes!A:D,2,0)</f>
        <v>210</v>
      </c>
      <c r="K168" s="4">
        <f>VLOOKUP(C168,nodes!A:D,4,0)</f>
        <v>60</v>
      </c>
      <c r="L168" s="4">
        <f t="shared" si="22"/>
        <v>30</v>
      </c>
      <c r="N168" s="12">
        <f t="shared" si="23"/>
        <v>7437500</v>
      </c>
      <c r="O168" s="12">
        <f t="shared" si="24"/>
        <v>42840000</v>
      </c>
      <c r="P168" s="12">
        <f t="shared" si="25"/>
        <v>11900</v>
      </c>
      <c r="R168" s="23" t="s">
        <v>39</v>
      </c>
      <c r="S168" s="23" t="str">
        <f t="shared" si="26"/>
        <v>167,</v>
      </c>
      <c r="T168" s="23" t="str">
        <f t="shared" si="26"/>
        <v>175,</v>
      </c>
      <c r="U168" s="24">
        <f t="shared" si="27"/>
        <v>176</v>
      </c>
    </row>
    <row r="169" spans="1:21" x14ac:dyDescent="0.25">
      <c r="A169" s="3">
        <v>168</v>
      </c>
      <c r="B169" s="3">
        <v>176</v>
      </c>
      <c r="C169" s="3">
        <v>177</v>
      </c>
      <c r="D169" s="2">
        <f t="shared" si="19"/>
        <v>10985</v>
      </c>
      <c r="E169" s="2">
        <f t="shared" si="20"/>
        <v>5492.5</v>
      </c>
      <c r="F169" s="2">
        <v>2380</v>
      </c>
      <c r="G169" s="2">
        <f t="shared" si="21"/>
        <v>991.66666666666674</v>
      </c>
      <c r="H169" s="4">
        <f>VLOOKUP(B169,nodes!A:D,2,0)</f>
        <v>210</v>
      </c>
      <c r="I169" s="4">
        <f>VLOOKUP(B169,nodes!A:D,4,0)</f>
        <v>60</v>
      </c>
      <c r="J169" s="4">
        <f>VLOOKUP(C169,nodes!A:D,2,0)</f>
        <v>240</v>
      </c>
      <c r="K169" s="4">
        <f>VLOOKUP(C169,nodes!A:D,4,0)</f>
        <v>60</v>
      </c>
      <c r="L169" s="4">
        <f t="shared" si="22"/>
        <v>30</v>
      </c>
      <c r="N169" s="12">
        <f t="shared" si="23"/>
        <v>7437500</v>
      </c>
      <c r="O169" s="12">
        <f t="shared" si="24"/>
        <v>42840000</v>
      </c>
      <c r="P169" s="12">
        <f t="shared" si="25"/>
        <v>11900</v>
      </c>
      <c r="R169" s="23" t="s">
        <v>39</v>
      </c>
      <c r="S169" s="23" t="str">
        <f t="shared" si="26"/>
        <v>168,</v>
      </c>
      <c r="T169" s="23" t="str">
        <f t="shared" si="26"/>
        <v>176,</v>
      </c>
      <c r="U169" s="24">
        <f t="shared" si="27"/>
        <v>177</v>
      </c>
    </row>
    <row r="170" spans="1:21" x14ac:dyDescent="0.25">
      <c r="A170" s="3">
        <v>169</v>
      </c>
      <c r="B170" s="3">
        <v>177</v>
      </c>
      <c r="C170" s="3">
        <v>178</v>
      </c>
      <c r="D170" s="2">
        <f t="shared" si="19"/>
        <v>10985</v>
      </c>
      <c r="E170" s="2">
        <f t="shared" si="20"/>
        <v>5492.5</v>
      </c>
      <c r="F170" s="2">
        <v>2380</v>
      </c>
      <c r="G170" s="2">
        <f t="shared" si="21"/>
        <v>991.66666666666674</v>
      </c>
      <c r="H170" s="4">
        <f>VLOOKUP(B170,nodes!A:D,2,0)</f>
        <v>240</v>
      </c>
      <c r="I170" s="4">
        <f>VLOOKUP(B170,nodes!A:D,4,0)</f>
        <v>60</v>
      </c>
      <c r="J170" s="4">
        <f>VLOOKUP(C170,nodes!A:D,2,0)</f>
        <v>270</v>
      </c>
      <c r="K170" s="4">
        <f>VLOOKUP(C170,nodes!A:D,4,0)</f>
        <v>60</v>
      </c>
      <c r="L170" s="4">
        <f t="shared" si="22"/>
        <v>30</v>
      </c>
      <c r="N170" s="12">
        <f t="shared" si="23"/>
        <v>7437500</v>
      </c>
      <c r="O170" s="12">
        <f t="shared" si="24"/>
        <v>42840000</v>
      </c>
      <c r="P170" s="12">
        <f t="shared" si="25"/>
        <v>11900</v>
      </c>
      <c r="R170" s="23" t="s">
        <v>39</v>
      </c>
      <c r="S170" s="23" t="str">
        <f t="shared" si="26"/>
        <v>169,</v>
      </c>
      <c r="T170" s="23" t="str">
        <f t="shared" si="26"/>
        <v>177,</v>
      </c>
      <c r="U170" s="24">
        <f t="shared" si="27"/>
        <v>178</v>
      </c>
    </row>
    <row r="171" spans="1:21" x14ac:dyDescent="0.25">
      <c r="A171" s="3">
        <v>170</v>
      </c>
      <c r="B171" s="3">
        <v>178</v>
      </c>
      <c r="C171" s="3">
        <v>179</v>
      </c>
      <c r="D171" s="2">
        <f t="shared" si="19"/>
        <v>10985</v>
      </c>
      <c r="E171" s="2">
        <f t="shared" si="20"/>
        <v>5492.5</v>
      </c>
      <c r="F171" s="2">
        <v>2380</v>
      </c>
      <c r="G171" s="2">
        <f t="shared" si="21"/>
        <v>991.66666666666674</v>
      </c>
      <c r="H171" s="4">
        <f>VLOOKUP(B171,nodes!A:D,2,0)</f>
        <v>270</v>
      </c>
      <c r="I171" s="4">
        <f>VLOOKUP(B171,nodes!A:D,4,0)</f>
        <v>60</v>
      </c>
      <c r="J171" s="4">
        <f>VLOOKUP(C171,nodes!A:D,2,0)</f>
        <v>300</v>
      </c>
      <c r="K171" s="4">
        <f>VLOOKUP(C171,nodes!A:D,4,0)</f>
        <v>60</v>
      </c>
      <c r="L171" s="4">
        <f t="shared" si="22"/>
        <v>30</v>
      </c>
      <c r="N171" s="12">
        <f t="shared" si="23"/>
        <v>7437500</v>
      </c>
      <c r="O171" s="12">
        <f t="shared" si="24"/>
        <v>42840000</v>
      </c>
      <c r="P171" s="12">
        <f t="shared" si="25"/>
        <v>11900</v>
      </c>
      <c r="R171" s="23" t="s">
        <v>39</v>
      </c>
      <c r="S171" s="23" t="str">
        <f t="shared" si="26"/>
        <v>170,</v>
      </c>
      <c r="T171" s="23" t="str">
        <f t="shared" si="26"/>
        <v>178,</v>
      </c>
      <c r="U171" s="24">
        <f t="shared" si="27"/>
        <v>179</v>
      </c>
    </row>
    <row r="172" spans="1:21" x14ac:dyDescent="0.25">
      <c r="A172" s="3">
        <v>171</v>
      </c>
      <c r="B172" s="3">
        <v>179</v>
      </c>
      <c r="C172" s="3">
        <v>180</v>
      </c>
      <c r="D172" s="2">
        <f t="shared" si="19"/>
        <v>10985</v>
      </c>
      <c r="E172" s="2">
        <f t="shared" si="20"/>
        <v>5492.5</v>
      </c>
      <c r="F172" s="2">
        <v>2380</v>
      </c>
      <c r="G172" s="2">
        <f t="shared" si="21"/>
        <v>991.66666666666674</v>
      </c>
      <c r="H172" s="4">
        <f>VLOOKUP(B172,nodes!A:D,2,0)</f>
        <v>300</v>
      </c>
      <c r="I172" s="4">
        <f>VLOOKUP(B172,nodes!A:D,4,0)</f>
        <v>60</v>
      </c>
      <c r="J172" s="4">
        <f>VLOOKUP(C172,nodes!A:D,2,0)</f>
        <v>330</v>
      </c>
      <c r="K172" s="4">
        <f>VLOOKUP(C172,nodes!A:D,4,0)</f>
        <v>60</v>
      </c>
      <c r="L172" s="4">
        <f t="shared" si="22"/>
        <v>30</v>
      </c>
      <c r="N172" s="12">
        <f t="shared" si="23"/>
        <v>7437500</v>
      </c>
      <c r="O172" s="12">
        <f t="shared" si="24"/>
        <v>42840000</v>
      </c>
      <c r="P172" s="12">
        <f t="shared" si="25"/>
        <v>11900</v>
      </c>
      <c r="R172" s="23" t="s">
        <v>39</v>
      </c>
      <c r="S172" s="23" t="str">
        <f t="shared" si="26"/>
        <v>171,</v>
      </c>
      <c r="T172" s="23" t="str">
        <f t="shared" si="26"/>
        <v>179,</v>
      </c>
      <c r="U172" s="24">
        <f t="shared" si="27"/>
        <v>180</v>
      </c>
    </row>
    <row r="173" spans="1:21" x14ac:dyDescent="0.25">
      <c r="A173" s="3">
        <v>172</v>
      </c>
      <c r="B173" s="3">
        <v>180</v>
      </c>
      <c r="C173" s="3">
        <v>181</v>
      </c>
      <c r="D173" s="2">
        <f t="shared" si="19"/>
        <v>10985</v>
      </c>
      <c r="E173" s="2">
        <f t="shared" si="20"/>
        <v>5492.5</v>
      </c>
      <c r="F173" s="2">
        <v>2380</v>
      </c>
      <c r="G173" s="2">
        <f t="shared" si="21"/>
        <v>991.66666666666674</v>
      </c>
      <c r="H173" s="4">
        <f>VLOOKUP(B173,nodes!A:D,2,0)</f>
        <v>330</v>
      </c>
      <c r="I173" s="4">
        <f>VLOOKUP(B173,nodes!A:D,4,0)</f>
        <v>60</v>
      </c>
      <c r="J173" s="4">
        <f>VLOOKUP(C173,nodes!A:D,2,0)</f>
        <v>360</v>
      </c>
      <c r="K173" s="4">
        <f>VLOOKUP(C173,nodes!A:D,4,0)</f>
        <v>60</v>
      </c>
      <c r="L173" s="4">
        <f t="shared" si="22"/>
        <v>30</v>
      </c>
      <c r="N173" s="12">
        <f t="shared" si="23"/>
        <v>7437500</v>
      </c>
      <c r="O173" s="12">
        <f t="shared" si="24"/>
        <v>42840000</v>
      </c>
      <c r="P173" s="12">
        <f t="shared" si="25"/>
        <v>11900</v>
      </c>
      <c r="R173" s="23" t="s">
        <v>39</v>
      </c>
      <c r="S173" s="23" t="str">
        <f t="shared" si="26"/>
        <v>172,</v>
      </c>
      <c r="T173" s="23" t="str">
        <f t="shared" si="26"/>
        <v>180,</v>
      </c>
      <c r="U173" s="24">
        <f t="shared" si="27"/>
        <v>181</v>
      </c>
    </row>
    <row r="174" spans="1:21" x14ac:dyDescent="0.25">
      <c r="A174" s="3">
        <v>173</v>
      </c>
      <c r="B174" s="3">
        <v>181</v>
      </c>
      <c r="C174" s="3">
        <v>182</v>
      </c>
      <c r="D174" s="2">
        <f t="shared" si="19"/>
        <v>10985</v>
      </c>
      <c r="E174" s="2">
        <f t="shared" si="20"/>
        <v>5492.5</v>
      </c>
      <c r="F174" s="2">
        <v>2380</v>
      </c>
      <c r="G174" s="2">
        <f t="shared" si="21"/>
        <v>991.66666666666674</v>
      </c>
      <c r="H174" s="4">
        <f>VLOOKUP(B174,nodes!A:D,2,0)</f>
        <v>360</v>
      </c>
      <c r="I174" s="4">
        <f>VLOOKUP(B174,nodes!A:D,4,0)</f>
        <v>60</v>
      </c>
      <c r="J174" s="4">
        <f>VLOOKUP(C174,nodes!A:D,2,0)</f>
        <v>390</v>
      </c>
      <c r="K174" s="4">
        <f>VLOOKUP(C174,nodes!A:D,4,0)</f>
        <v>60</v>
      </c>
      <c r="L174" s="4">
        <f t="shared" si="22"/>
        <v>30</v>
      </c>
      <c r="N174" s="12">
        <f t="shared" si="23"/>
        <v>7437500</v>
      </c>
      <c r="O174" s="12">
        <f t="shared" si="24"/>
        <v>42840000</v>
      </c>
      <c r="P174" s="12">
        <f t="shared" si="25"/>
        <v>11900</v>
      </c>
      <c r="R174" s="23" t="s">
        <v>39</v>
      </c>
      <c r="S174" s="23" t="str">
        <f t="shared" si="26"/>
        <v>173,</v>
      </c>
      <c r="T174" s="23" t="str">
        <f t="shared" si="26"/>
        <v>181,</v>
      </c>
      <c r="U174" s="24">
        <f t="shared" si="27"/>
        <v>182</v>
      </c>
    </row>
    <row r="175" spans="1:21" x14ac:dyDescent="0.25">
      <c r="A175" s="3">
        <v>174</v>
      </c>
      <c r="B175" s="3">
        <v>182</v>
      </c>
      <c r="C175" s="3">
        <v>183</v>
      </c>
      <c r="D175" s="2">
        <f t="shared" si="19"/>
        <v>10985</v>
      </c>
      <c r="E175" s="2">
        <f t="shared" si="20"/>
        <v>5492.5</v>
      </c>
      <c r="F175" s="2">
        <v>2380</v>
      </c>
      <c r="G175" s="2">
        <f t="shared" si="21"/>
        <v>991.66666666666674</v>
      </c>
      <c r="H175" s="4">
        <f>VLOOKUP(B175,nodes!A:D,2,0)</f>
        <v>390</v>
      </c>
      <c r="I175" s="4">
        <f>VLOOKUP(B175,nodes!A:D,4,0)</f>
        <v>60</v>
      </c>
      <c r="J175" s="4">
        <f>VLOOKUP(C175,nodes!A:D,2,0)</f>
        <v>420</v>
      </c>
      <c r="K175" s="4">
        <f>VLOOKUP(C175,nodes!A:D,4,0)</f>
        <v>60</v>
      </c>
      <c r="L175" s="4">
        <f t="shared" si="22"/>
        <v>30</v>
      </c>
      <c r="N175" s="12">
        <f t="shared" si="23"/>
        <v>7437500</v>
      </c>
      <c r="O175" s="12">
        <f t="shared" si="24"/>
        <v>42840000</v>
      </c>
      <c r="P175" s="12">
        <f t="shared" si="25"/>
        <v>11900</v>
      </c>
      <c r="R175" s="23" t="s">
        <v>39</v>
      </c>
      <c r="S175" s="23" t="str">
        <f t="shared" si="26"/>
        <v>174,</v>
      </c>
      <c r="T175" s="23" t="str">
        <f t="shared" si="26"/>
        <v>182,</v>
      </c>
      <c r="U175" s="24">
        <f t="shared" si="27"/>
        <v>183</v>
      </c>
    </row>
    <row r="176" spans="1:21" x14ac:dyDescent="0.25">
      <c r="A176" s="3">
        <v>175</v>
      </c>
      <c r="B176" s="3">
        <v>183</v>
      </c>
      <c r="C176" s="3">
        <v>184</v>
      </c>
      <c r="D176" s="2">
        <f t="shared" si="19"/>
        <v>10985</v>
      </c>
      <c r="E176" s="2">
        <f t="shared" si="20"/>
        <v>5492.5</v>
      </c>
      <c r="F176" s="2">
        <v>2380</v>
      </c>
      <c r="G176" s="2">
        <f t="shared" si="21"/>
        <v>991.66666666666674</v>
      </c>
      <c r="H176" s="4">
        <f>VLOOKUP(B176,nodes!A:D,2,0)</f>
        <v>420</v>
      </c>
      <c r="I176" s="4">
        <f>VLOOKUP(B176,nodes!A:D,4,0)</f>
        <v>60</v>
      </c>
      <c r="J176" s="4">
        <f>VLOOKUP(C176,nodes!A:D,2,0)</f>
        <v>450</v>
      </c>
      <c r="K176" s="4">
        <f>VLOOKUP(C176,nodes!A:D,4,0)</f>
        <v>60</v>
      </c>
      <c r="L176" s="4">
        <f t="shared" si="22"/>
        <v>30</v>
      </c>
      <c r="N176" s="12">
        <f t="shared" si="23"/>
        <v>7437500</v>
      </c>
      <c r="O176" s="12">
        <f t="shared" si="24"/>
        <v>42840000</v>
      </c>
      <c r="P176" s="12">
        <f t="shared" si="25"/>
        <v>11900</v>
      </c>
      <c r="R176" s="23" t="s">
        <v>39</v>
      </c>
      <c r="S176" s="23" t="str">
        <f t="shared" si="26"/>
        <v>175,</v>
      </c>
      <c r="T176" s="23" t="str">
        <f t="shared" si="26"/>
        <v>183,</v>
      </c>
      <c r="U176" s="24">
        <f t="shared" si="27"/>
        <v>184</v>
      </c>
    </row>
    <row r="177" spans="1:21" x14ac:dyDescent="0.25">
      <c r="A177" s="3">
        <v>176</v>
      </c>
      <c r="B177" s="3">
        <v>184</v>
      </c>
      <c r="C177" s="3">
        <v>185</v>
      </c>
      <c r="D177" s="2">
        <f t="shared" si="19"/>
        <v>10985</v>
      </c>
      <c r="E177" s="2">
        <f t="shared" si="20"/>
        <v>5492.5</v>
      </c>
      <c r="F177" s="2">
        <v>2380</v>
      </c>
      <c r="G177" s="2">
        <f t="shared" si="21"/>
        <v>991.66666666666674</v>
      </c>
      <c r="H177" s="4">
        <f>VLOOKUP(B177,nodes!A:D,2,0)</f>
        <v>450</v>
      </c>
      <c r="I177" s="4">
        <f>VLOOKUP(B177,nodes!A:D,4,0)</f>
        <v>60</v>
      </c>
      <c r="J177" s="4">
        <f>VLOOKUP(C177,nodes!A:D,2,0)</f>
        <v>480</v>
      </c>
      <c r="K177" s="4">
        <f>VLOOKUP(C177,nodes!A:D,4,0)</f>
        <v>60</v>
      </c>
      <c r="L177" s="4">
        <f t="shared" si="22"/>
        <v>30</v>
      </c>
      <c r="N177" s="12">
        <f t="shared" si="23"/>
        <v>7437500</v>
      </c>
      <c r="O177" s="12">
        <f t="shared" si="24"/>
        <v>42840000</v>
      </c>
      <c r="P177" s="12">
        <f t="shared" si="25"/>
        <v>11900</v>
      </c>
      <c r="R177" s="23" t="s">
        <v>39</v>
      </c>
      <c r="S177" s="23" t="str">
        <f t="shared" si="26"/>
        <v>176,</v>
      </c>
      <c r="T177" s="23" t="str">
        <f t="shared" si="26"/>
        <v>184,</v>
      </c>
      <c r="U177" s="24">
        <f t="shared" si="27"/>
        <v>185</v>
      </c>
    </row>
    <row r="178" spans="1:21" x14ac:dyDescent="0.25">
      <c r="A178" s="3">
        <v>177</v>
      </c>
      <c r="B178" s="3">
        <v>185</v>
      </c>
      <c r="C178" s="3">
        <v>186</v>
      </c>
      <c r="D178" s="2">
        <f t="shared" si="19"/>
        <v>10985</v>
      </c>
      <c r="E178" s="2">
        <f t="shared" si="20"/>
        <v>5492.5</v>
      </c>
      <c r="F178" s="2">
        <v>2380</v>
      </c>
      <c r="G178" s="2">
        <f t="shared" si="21"/>
        <v>991.66666666666674</v>
      </c>
      <c r="H178" s="4">
        <f>VLOOKUP(B178,nodes!A:D,2,0)</f>
        <v>480</v>
      </c>
      <c r="I178" s="4">
        <f>VLOOKUP(B178,nodes!A:D,4,0)</f>
        <v>60</v>
      </c>
      <c r="J178" s="4">
        <f>VLOOKUP(C178,nodes!A:D,2,0)</f>
        <v>509.99999999999994</v>
      </c>
      <c r="K178" s="4">
        <f>VLOOKUP(C178,nodes!A:D,4,0)</f>
        <v>60</v>
      </c>
      <c r="L178" s="4">
        <f t="shared" si="22"/>
        <v>29.999999999999943</v>
      </c>
      <c r="N178" s="12">
        <f t="shared" si="23"/>
        <v>7437500</v>
      </c>
      <c r="O178" s="12">
        <f t="shared" si="24"/>
        <v>42840000</v>
      </c>
      <c r="P178" s="12">
        <f t="shared" si="25"/>
        <v>11900</v>
      </c>
      <c r="R178" s="23" t="s">
        <v>39</v>
      </c>
      <c r="S178" s="23" t="str">
        <f t="shared" si="26"/>
        <v>177,</v>
      </c>
      <c r="T178" s="23" t="str">
        <f t="shared" si="26"/>
        <v>185,</v>
      </c>
      <c r="U178" s="24">
        <f t="shared" si="27"/>
        <v>186</v>
      </c>
    </row>
    <row r="179" spans="1:21" x14ac:dyDescent="0.25">
      <c r="A179" s="3">
        <v>178</v>
      </c>
      <c r="B179" s="3">
        <v>186</v>
      </c>
      <c r="C179" s="3">
        <v>187</v>
      </c>
      <c r="D179" s="2">
        <f t="shared" si="19"/>
        <v>10985</v>
      </c>
      <c r="E179" s="2">
        <f t="shared" si="20"/>
        <v>5492.5</v>
      </c>
      <c r="F179" s="2">
        <v>2380</v>
      </c>
      <c r="G179" s="2">
        <f t="shared" si="21"/>
        <v>991.66666666666674</v>
      </c>
      <c r="H179" s="4">
        <f>VLOOKUP(B179,nodes!A:D,2,0)</f>
        <v>509.99999999999994</v>
      </c>
      <c r="I179" s="4">
        <f>VLOOKUP(B179,nodes!A:D,4,0)</f>
        <v>60</v>
      </c>
      <c r="J179" s="4">
        <f>VLOOKUP(C179,nodes!A:D,2,0)</f>
        <v>540</v>
      </c>
      <c r="K179" s="4">
        <f>VLOOKUP(C179,nodes!A:D,4,0)</f>
        <v>60</v>
      </c>
      <c r="L179" s="4">
        <f t="shared" si="22"/>
        <v>30.000000000000057</v>
      </c>
      <c r="N179" s="12">
        <f t="shared" si="23"/>
        <v>7437500</v>
      </c>
      <c r="O179" s="12">
        <f t="shared" si="24"/>
        <v>42840000</v>
      </c>
      <c r="P179" s="12">
        <f t="shared" si="25"/>
        <v>11900</v>
      </c>
      <c r="R179" s="23" t="s">
        <v>39</v>
      </c>
      <c r="S179" s="23" t="str">
        <f t="shared" si="26"/>
        <v>178,</v>
      </c>
      <c r="T179" s="23" t="str">
        <f t="shared" si="26"/>
        <v>186,</v>
      </c>
      <c r="U179" s="24">
        <f t="shared" si="27"/>
        <v>187</v>
      </c>
    </row>
    <row r="180" spans="1:21" x14ac:dyDescent="0.25">
      <c r="A180" s="3">
        <v>179</v>
      </c>
      <c r="B180" s="3">
        <v>187</v>
      </c>
      <c r="C180" s="3">
        <v>188</v>
      </c>
      <c r="D180" s="2">
        <f t="shared" si="19"/>
        <v>10985</v>
      </c>
      <c r="E180" s="2">
        <f t="shared" si="20"/>
        <v>5492.5</v>
      </c>
      <c r="F180" s="2">
        <v>2380</v>
      </c>
      <c r="G180" s="2">
        <f t="shared" si="21"/>
        <v>991.66666666666674</v>
      </c>
      <c r="H180" s="4">
        <f>VLOOKUP(B180,nodes!A:D,2,0)</f>
        <v>540</v>
      </c>
      <c r="I180" s="4">
        <f>VLOOKUP(B180,nodes!A:D,4,0)</f>
        <v>60</v>
      </c>
      <c r="J180" s="4">
        <f>VLOOKUP(C180,nodes!A:D,2,0)</f>
        <v>570</v>
      </c>
      <c r="K180" s="4">
        <f>VLOOKUP(C180,nodes!A:D,4,0)</f>
        <v>60</v>
      </c>
      <c r="L180" s="4">
        <f t="shared" si="22"/>
        <v>30</v>
      </c>
      <c r="N180" s="12">
        <f t="shared" si="23"/>
        <v>7437500</v>
      </c>
      <c r="O180" s="12">
        <f t="shared" si="24"/>
        <v>42840000</v>
      </c>
      <c r="P180" s="12">
        <f t="shared" si="25"/>
        <v>11900</v>
      </c>
      <c r="R180" s="23" t="s">
        <v>39</v>
      </c>
      <c r="S180" s="23" t="str">
        <f t="shared" si="26"/>
        <v>179,</v>
      </c>
      <c r="T180" s="23" t="str">
        <f t="shared" si="26"/>
        <v>187,</v>
      </c>
      <c r="U180" s="24">
        <f t="shared" si="27"/>
        <v>188</v>
      </c>
    </row>
    <row r="181" spans="1:21" x14ac:dyDescent="0.25">
      <c r="A181" s="3">
        <v>180</v>
      </c>
      <c r="B181" s="3">
        <v>188</v>
      </c>
      <c r="C181" s="3">
        <v>189</v>
      </c>
      <c r="D181" s="2">
        <f t="shared" si="19"/>
        <v>10985</v>
      </c>
      <c r="E181" s="2">
        <f t="shared" si="20"/>
        <v>5492.5</v>
      </c>
      <c r="F181" s="2">
        <v>2380</v>
      </c>
      <c r="G181" s="2">
        <f t="shared" si="21"/>
        <v>991.66666666666674</v>
      </c>
      <c r="H181" s="4">
        <f>VLOOKUP(B181,nodes!A:D,2,0)</f>
        <v>570</v>
      </c>
      <c r="I181" s="4">
        <f>VLOOKUP(B181,nodes!A:D,4,0)</f>
        <v>60</v>
      </c>
      <c r="J181" s="4">
        <f>VLOOKUP(C181,nodes!A:D,2,0)</f>
        <v>600</v>
      </c>
      <c r="K181" s="4">
        <f>VLOOKUP(C181,nodes!A:D,4,0)</f>
        <v>60</v>
      </c>
      <c r="L181" s="4">
        <f t="shared" si="22"/>
        <v>30</v>
      </c>
      <c r="N181" s="12">
        <f t="shared" si="23"/>
        <v>7437500</v>
      </c>
      <c r="O181" s="12">
        <f t="shared" si="24"/>
        <v>42840000</v>
      </c>
      <c r="P181" s="12">
        <f t="shared" si="25"/>
        <v>11900</v>
      </c>
      <c r="R181" s="23" t="s">
        <v>39</v>
      </c>
      <c r="S181" s="23" t="str">
        <f t="shared" si="26"/>
        <v>180,</v>
      </c>
      <c r="T181" s="23" t="str">
        <f t="shared" si="26"/>
        <v>188,</v>
      </c>
      <c r="U181" s="24">
        <f t="shared" si="27"/>
        <v>189</v>
      </c>
    </row>
    <row r="182" spans="1:21" x14ac:dyDescent="0.25">
      <c r="A182" s="3">
        <v>181</v>
      </c>
      <c r="B182" s="3">
        <v>190</v>
      </c>
      <c r="C182" s="3">
        <v>191</v>
      </c>
      <c r="D182" s="2">
        <f t="shared" si="19"/>
        <v>10985</v>
      </c>
      <c r="E182" s="2">
        <f t="shared" si="20"/>
        <v>5492.5</v>
      </c>
      <c r="F182" s="2">
        <v>2380</v>
      </c>
      <c r="G182" s="2">
        <f t="shared" si="21"/>
        <v>991.66666666666674</v>
      </c>
      <c r="H182" s="4">
        <f>VLOOKUP(B182,nodes!A:D,2,0)</f>
        <v>0</v>
      </c>
      <c r="I182" s="4">
        <f>VLOOKUP(B182,nodes!A:D,4,0)</f>
        <v>30</v>
      </c>
      <c r="J182" s="4">
        <f>VLOOKUP(C182,nodes!A:D,2,0)</f>
        <v>30</v>
      </c>
      <c r="K182" s="4">
        <f>VLOOKUP(C182,nodes!A:D,4,0)</f>
        <v>30</v>
      </c>
      <c r="L182" s="4">
        <f t="shared" si="22"/>
        <v>30</v>
      </c>
      <c r="N182" s="12">
        <f t="shared" si="23"/>
        <v>7437500</v>
      </c>
      <c r="O182" s="12">
        <f t="shared" si="24"/>
        <v>42840000</v>
      </c>
      <c r="P182" s="12">
        <f t="shared" si="25"/>
        <v>11900</v>
      </c>
      <c r="R182" s="23" t="s">
        <v>39</v>
      </c>
      <c r="S182" s="23" t="str">
        <f t="shared" si="26"/>
        <v>181,</v>
      </c>
      <c r="T182" s="23" t="str">
        <f t="shared" si="26"/>
        <v>190,</v>
      </c>
      <c r="U182" s="24">
        <f t="shared" si="27"/>
        <v>191</v>
      </c>
    </row>
    <row r="183" spans="1:21" x14ac:dyDescent="0.25">
      <c r="A183" s="3">
        <v>182</v>
      </c>
      <c r="B183" s="3">
        <v>191</v>
      </c>
      <c r="C183" s="3">
        <v>192</v>
      </c>
      <c r="D183" s="2">
        <f t="shared" si="19"/>
        <v>10985</v>
      </c>
      <c r="E183" s="2">
        <f t="shared" si="20"/>
        <v>5492.5</v>
      </c>
      <c r="F183" s="2">
        <v>2380</v>
      </c>
      <c r="G183" s="2">
        <f t="shared" si="21"/>
        <v>991.66666666666674</v>
      </c>
      <c r="H183" s="4">
        <f>VLOOKUP(B183,nodes!A:D,2,0)</f>
        <v>30</v>
      </c>
      <c r="I183" s="4">
        <f>VLOOKUP(B183,nodes!A:D,4,0)</f>
        <v>30</v>
      </c>
      <c r="J183" s="4">
        <f>VLOOKUP(C183,nodes!A:D,2,0)</f>
        <v>60</v>
      </c>
      <c r="K183" s="4">
        <f>VLOOKUP(C183,nodes!A:D,4,0)</f>
        <v>30</v>
      </c>
      <c r="L183" s="4">
        <f t="shared" si="22"/>
        <v>30</v>
      </c>
      <c r="N183" s="12">
        <f t="shared" si="23"/>
        <v>7437500</v>
      </c>
      <c r="O183" s="12">
        <f t="shared" si="24"/>
        <v>42840000</v>
      </c>
      <c r="P183" s="12">
        <f t="shared" si="25"/>
        <v>11900</v>
      </c>
      <c r="R183" s="23" t="s">
        <v>39</v>
      </c>
      <c r="S183" s="23" t="str">
        <f t="shared" si="26"/>
        <v>182,</v>
      </c>
      <c r="T183" s="23" t="str">
        <f t="shared" si="26"/>
        <v>191,</v>
      </c>
      <c r="U183" s="24">
        <f t="shared" si="27"/>
        <v>192</v>
      </c>
    </row>
    <row r="184" spans="1:21" x14ac:dyDescent="0.25">
      <c r="A184" s="3">
        <v>183</v>
      </c>
      <c r="B184" s="3">
        <v>192</v>
      </c>
      <c r="C184" s="3">
        <v>193</v>
      </c>
      <c r="D184" s="2">
        <f t="shared" si="19"/>
        <v>10985</v>
      </c>
      <c r="E184" s="2">
        <f t="shared" si="20"/>
        <v>5492.5</v>
      </c>
      <c r="F184" s="2">
        <v>2380</v>
      </c>
      <c r="G184" s="2">
        <f t="shared" si="21"/>
        <v>991.66666666666674</v>
      </c>
      <c r="H184" s="4">
        <f>VLOOKUP(B184,nodes!A:D,2,0)</f>
        <v>60</v>
      </c>
      <c r="I184" s="4">
        <f>VLOOKUP(B184,nodes!A:D,4,0)</f>
        <v>30</v>
      </c>
      <c r="J184" s="4">
        <f>VLOOKUP(C184,nodes!A:D,2,0)</f>
        <v>90</v>
      </c>
      <c r="K184" s="4">
        <f>VLOOKUP(C184,nodes!A:D,4,0)</f>
        <v>30</v>
      </c>
      <c r="L184" s="4">
        <f t="shared" si="22"/>
        <v>30</v>
      </c>
      <c r="N184" s="12">
        <f t="shared" si="23"/>
        <v>7437500</v>
      </c>
      <c r="O184" s="12">
        <f t="shared" si="24"/>
        <v>42840000</v>
      </c>
      <c r="P184" s="12">
        <f t="shared" si="25"/>
        <v>11900</v>
      </c>
      <c r="R184" s="23" t="s">
        <v>39</v>
      </c>
      <c r="S184" s="23" t="str">
        <f t="shared" si="26"/>
        <v>183,</v>
      </c>
      <c r="T184" s="23" t="str">
        <f t="shared" si="26"/>
        <v>192,</v>
      </c>
      <c r="U184" s="24">
        <f t="shared" si="27"/>
        <v>193</v>
      </c>
    </row>
    <row r="185" spans="1:21" x14ac:dyDescent="0.25">
      <c r="A185" s="3">
        <v>184</v>
      </c>
      <c r="B185" s="3">
        <v>193</v>
      </c>
      <c r="C185" s="3">
        <v>194</v>
      </c>
      <c r="D185" s="2">
        <f t="shared" si="19"/>
        <v>10985</v>
      </c>
      <c r="E185" s="2">
        <f t="shared" si="20"/>
        <v>5492.5</v>
      </c>
      <c r="F185" s="2">
        <v>2380</v>
      </c>
      <c r="G185" s="2">
        <f t="shared" si="21"/>
        <v>991.66666666666674</v>
      </c>
      <c r="H185" s="4">
        <f>VLOOKUP(B185,nodes!A:D,2,0)</f>
        <v>90</v>
      </c>
      <c r="I185" s="4">
        <f>VLOOKUP(B185,nodes!A:D,4,0)</f>
        <v>30</v>
      </c>
      <c r="J185" s="4">
        <f>VLOOKUP(C185,nodes!A:D,2,0)</f>
        <v>120</v>
      </c>
      <c r="K185" s="4">
        <f>VLOOKUP(C185,nodes!A:D,4,0)</f>
        <v>30</v>
      </c>
      <c r="L185" s="4">
        <f t="shared" si="22"/>
        <v>30</v>
      </c>
      <c r="N185" s="12">
        <f t="shared" si="23"/>
        <v>7437500</v>
      </c>
      <c r="O185" s="12">
        <f t="shared" si="24"/>
        <v>42840000</v>
      </c>
      <c r="P185" s="12">
        <f t="shared" si="25"/>
        <v>11900</v>
      </c>
      <c r="R185" s="23" t="s">
        <v>39</v>
      </c>
      <c r="S185" s="23" t="str">
        <f t="shared" si="26"/>
        <v>184,</v>
      </c>
      <c r="T185" s="23" t="str">
        <f t="shared" si="26"/>
        <v>193,</v>
      </c>
      <c r="U185" s="24">
        <f t="shared" si="27"/>
        <v>194</v>
      </c>
    </row>
    <row r="186" spans="1:21" x14ac:dyDescent="0.25">
      <c r="A186" s="3">
        <v>185</v>
      </c>
      <c r="B186" s="3">
        <v>194</v>
      </c>
      <c r="C186" s="3">
        <v>195</v>
      </c>
      <c r="D186" s="2">
        <f t="shared" si="19"/>
        <v>10985</v>
      </c>
      <c r="E186" s="2">
        <f t="shared" si="20"/>
        <v>5492.5</v>
      </c>
      <c r="F186" s="2">
        <v>2380</v>
      </c>
      <c r="G186" s="2">
        <f t="shared" si="21"/>
        <v>991.66666666666674</v>
      </c>
      <c r="H186" s="4">
        <f>VLOOKUP(B186,nodes!A:D,2,0)</f>
        <v>120</v>
      </c>
      <c r="I186" s="4">
        <f>VLOOKUP(B186,nodes!A:D,4,0)</f>
        <v>30</v>
      </c>
      <c r="J186" s="4">
        <f>VLOOKUP(C186,nodes!A:D,2,0)</f>
        <v>150</v>
      </c>
      <c r="K186" s="4">
        <f>VLOOKUP(C186,nodes!A:D,4,0)</f>
        <v>30</v>
      </c>
      <c r="L186" s="4">
        <f t="shared" si="22"/>
        <v>30</v>
      </c>
      <c r="N186" s="12">
        <f t="shared" si="23"/>
        <v>7437500</v>
      </c>
      <c r="O186" s="12">
        <f t="shared" si="24"/>
        <v>42840000</v>
      </c>
      <c r="P186" s="12">
        <f t="shared" si="25"/>
        <v>11900</v>
      </c>
      <c r="R186" s="23" t="s">
        <v>39</v>
      </c>
      <c r="S186" s="23" t="str">
        <f t="shared" si="26"/>
        <v>185,</v>
      </c>
      <c r="T186" s="23" t="str">
        <f t="shared" si="26"/>
        <v>194,</v>
      </c>
      <c r="U186" s="24">
        <f t="shared" si="27"/>
        <v>195</v>
      </c>
    </row>
    <row r="187" spans="1:21" x14ac:dyDescent="0.25">
      <c r="A187" s="3">
        <v>186</v>
      </c>
      <c r="B187" s="3">
        <v>195</v>
      </c>
      <c r="C187" s="3">
        <v>196</v>
      </c>
      <c r="D187" s="2">
        <f t="shared" si="19"/>
        <v>10985</v>
      </c>
      <c r="E187" s="2">
        <f t="shared" si="20"/>
        <v>5492.5</v>
      </c>
      <c r="F187" s="2">
        <v>2380</v>
      </c>
      <c r="G187" s="2">
        <f t="shared" si="21"/>
        <v>991.66666666666674</v>
      </c>
      <c r="H187" s="4">
        <f>VLOOKUP(B187,nodes!A:D,2,0)</f>
        <v>150</v>
      </c>
      <c r="I187" s="4">
        <f>VLOOKUP(B187,nodes!A:D,4,0)</f>
        <v>30</v>
      </c>
      <c r="J187" s="4">
        <f>VLOOKUP(C187,nodes!A:D,2,0)</f>
        <v>180</v>
      </c>
      <c r="K187" s="4">
        <f>VLOOKUP(C187,nodes!A:D,4,0)</f>
        <v>30</v>
      </c>
      <c r="L187" s="4">
        <f t="shared" si="22"/>
        <v>30</v>
      </c>
      <c r="N187" s="12">
        <f t="shared" si="23"/>
        <v>7437500</v>
      </c>
      <c r="O187" s="12">
        <f t="shared" si="24"/>
        <v>42840000</v>
      </c>
      <c r="P187" s="12">
        <f t="shared" si="25"/>
        <v>11900</v>
      </c>
      <c r="R187" s="23" t="s">
        <v>39</v>
      </c>
      <c r="S187" s="23" t="str">
        <f t="shared" si="26"/>
        <v>186,</v>
      </c>
      <c r="T187" s="23" t="str">
        <f t="shared" si="26"/>
        <v>195,</v>
      </c>
      <c r="U187" s="24">
        <f t="shared" si="27"/>
        <v>196</v>
      </c>
    </row>
    <row r="188" spans="1:21" x14ac:dyDescent="0.25">
      <c r="A188" s="3">
        <v>187</v>
      </c>
      <c r="B188" s="3">
        <v>196</v>
      </c>
      <c r="C188" s="3">
        <v>197</v>
      </c>
      <c r="D188" s="2">
        <f t="shared" si="19"/>
        <v>10985</v>
      </c>
      <c r="E188" s="2">
        <f t="shared" si="20"/>
        <v>5492.5</v>
      </c>
      <c r="F188" s="2">
        <v>2380</v>
      </c>
      <c r="G188" s="2">
        <f t="shared" si="21"/>
        <v>991.66666666666674</v>
      </c>
      <c r="H188" s="4">
        <f>VLOOKUP(B188,nodes!A:D,2,0)</f>
        <v>180</v>
      </c>
      <c r="I188" s="4">
        <f>VLOOKUP(B188,nodes!A:D,4,0)</f>
        <v>30</v>
      </c>
      <c r="J188" s="4">
        <f>VLOOKUP(C188,nodes!A:D,2,0)</f>
        <v>210</v>
      </c>
      <c r="K188" s="4">
        <f>VLOOKUP(C188,nodes!A:D,4,0)</f>
        <v>30</v>
      </c>
      <c r="L188" s="4">
        <f t="shared" si="22"/>
        <v>30</v>
      </c>
      <c r="N188" s="12">
        <f t="shared" si="23"/>
        <v>7437500</v>
      </c>
      <c r="O188" s="12">
        <f t="shared" si="24"/>
        <v>42840000</v>
      </c>
      <c r="P188" s="12">
        <f t="shared" si="25"/>
        <v>11900</v>
      </c>
      <c r="R188" s="23" t="s">
        <v>39</v>
      </c>
      <c r="S188" s="23" t="str">
        <f t="shared" si="26"/>
        <v>187,</v>
      </c>
      <c r="T188" s="23" t="str">
        <f t="shared" si="26"/>
        <v>196,</v>
      </c>
      <c r="U188" s="24">
        <f t="shared" si="27"/>
        <v>197</v>
      </c>
    </row>
    <row r="189" spans="1:21" x14ac:dyDescent="0.25">
      <c r="A189" s="3">
        <v>188</v>
      </c>
      <c r="B189" s="3">
        <v>197</v>
      </c>
      <c r="C189" s="3">
        <v>198</v>
      </c>
      <c r="D189" s="2">
        <f t="shared" si="19"/>
        <v>10985</v>
      </c>
      <c r="E189" s="2">
        <f t="shared" si="20"/>
        <v>5492.5</v>
      </c>
      <c r="F189" s="2">
        <v>2380</v>
      </c>
      <c r="G189" s="2">
        <f t="shared" si="21"/>
        <v>991.66666666666674</v>
      </c>
      <c r="H189" s="4">
        <f>VLOOKUP(B189,nodes!A:D,2,0)</f>
        <v>210</v>
      </c>
      <c r="I189" s="4">
        <f>VLOOKUP(B189,nodes!A:D,4,0)</f>
        <v>30</v>
      </c>
      <c r="J189" s="4">
        <f>VLOOKUP(C189,nodes!A:D,2,0)</f>
        <v>240</v>
      </c>
      <c r="K189" s="4">
        <f>VLOOKUP(C189,nodes!A:D,4,0)</f>
        <v>30</v>
      </c>
      <c r="L189" s="4">
        <f t="shared" si="22"/>
        <v>30</v>
      </c>
      <c r="N189" s="12">
        <f t="shared" si="23"/>
        <v>7437500</v>
      </c>
      <c r="O189" s="12">
        <f t="shared" si="24"/>
        <v>42840000</v>
      </c>
      <c r="P189" s="12">
        <f t="shared" si="25"/>
        <v>11900</v>
      </c>
      <c r="R189" s="23" t="s">
        <v>39</v>
      </c>
      <c r="S189" s="23" t="str">
        <f t="shared" si="26"/>
        <v>188,</v>
      </c>
      <c r="T189" s="23" t="str">
        <f t="shared" si="26"/>
        <v>197,</v>
      </c>
      <c r="U189" s="24">
        <f t="shared" si="27"/>
        <v>198</v>
      </c>
    </row>
    <row r="190" spans="1:21" x14ac:dyDescent="0.25">
      <c r="A190" s="3">
        <v>189</v>
      </c>
      <c r="B190" s="3">
        <v>198</v>
      </c>
      <c r="C190" s="3">
        <v>199</v>
      </c>
      <c r="D190" s="2">
        <f t="shared" si="19"/>
        <v>10985</v>
      </c>
      <c r="E190" s="2">
        <f t="shared" si="20"/>
        <v>5492.5</v>
      </c>
      <c r="F190" s="2">
        <v>2380</v>
      </c>
      <c r="G190" s="2">
        <f t="shared" si="21"/>
        <v>991.66666666666674</v>
      </c>
      <c r="H190" s="4">
        <f>VLOOKUP(B190,nodes!A:D,2,0)</f>
        <v>240</v>
      </c>
      <c r="I190" s="4">
        <f>VLOOKUP(B190,nodes!A:D,4,0)</f>
        <v>30</v>
      </c>
      <c r="J190" s="4">
        <f>VLOOKUP(C190,nodes!A:D,2,0)</f>
        <v>270</v>
      </c>
      <c r="K190" s="4">
        <f>VLOOKUP(C190,nodes!A:D,4,0)</f>
        <v>30</v>
      </c>
      <c r="L190" s="4">
        <f t="shared" si="22"/>
        <v>30</v>
      </c>
      <c r="N190" s="12">
        <f t="shared" si="23"/>
        <v>7437500</v>
      </c>
      <c r="O190" s="12">
        <f t="shared" si="24"/>
        <v>42840000</v>
      </c>
      <c r="P190" s="12">
        <f t="shared" si="25"/>
        <v>11900</v>
      </c>
      <c r="R190" s="23" t="s">
        <v>39</v>
      </c>
      <c r="S190" s="23" t="str">
        <f t="shared" si="26"/>
        <v>189,</v>
      </c>
      <c r="T190" s="23" t="str">
        <f t="shared" si="26"/>
        <v>198,</v>
      </c>
      <c r="U190" s="24">
        <f t="shared" si="27"/>
        <v>199</v>
      </c>
    </row>
    <row r="191" spans="1:21" x14ac:dyDescent="0.25">
      <c r="A191" s="3">
        <v>190</v>
      </c>
      <c r="B191" s="3">
        <v>199</v>
      </c>
      <c r="C191" s="3">
        <v>200</v>
      </c>
      <c r="D191" s="2">
        <f t="shared" si="19"/>
        <v>10985</v>
      </c>
      <c r="E191" s="2">
        <f t="shared" si="20"/>
        <v>5492.5</v>
      </c>
      <c r="F191" s="2">
        <v>2380</v>
      </c>
      <c r="G191" s="2">
        <f t="shared" si="21"/>
        <v>991.66666666666674</v>
      </c>
      <c r="H191" s="4">
        <f>VLOOKUP(B191,nodes!A:D,2,0)</f>
        <v>270</v>
      </c>
      <c r="I191" s="4">
        <f>VLOOKUP(B191,nodes!A:D,4,0)</f>
        <v>30</v>
      </c>
      <c r="J191" s="4">
        <f>VLOOKUP(C191,nodes!A:D,2,0)</f>
        <v>300</v>
      </c>
      <c r="K191" s="4">
        <f>VLOOKUP(C191,nodes!A:D,4,0)</f>
        <v>30</v>
      </c>
      <c r="L191" s="4">
        <f t="shared" si="22"/>
        <v>30</v>
      </c>
      <c r="N191" s="12">
        <f t="shared" si="23"/>
        <v>7437500</v>
      </c>
      <c r="O191" s="12">
        <f t="shared" si="24"/>
        <v>42840000</v>
      </c>
      <c r="P191" s="12">
        <f t="shared" si="25"/>
        <v>11900</v>
      </c>
      <c r="R191" s="23" t="s">
        <v>39</v>
      </c>
      <c r="S191" s="23" t="str">
        <f t="shared" si="26"/>
        <v>190,</v>
      </c>
      <c r="T191" s="23" t="str">
        <f t="shared" si="26"/>
        <v>199,</v>
      </c>
      <c r="U191" s="24">
        <f t="shared" si="27"/>
        <v>200</v>
      </c>
    </row>
    <row r="192" spans="1:21" x14ac:dyDescent="0.25">
      <c r="A192" s="3">
        <v>191</v>
      </c>
      <c r="B192" s="3">
        <v>200</v>
      </c>
      <c r="C192" s="3">
        <v>201</v>
      </c>
      <c r="D192" s="2">
        <f t="shared" si="19"/>
        <v>10985</v>
      </c>
      <c r="E192" s="2">
        <f t="shared" si="20"/>
        <v>5492.5</v>
      </c>
      <c r="F192" s="2">
        <v>2380</v>
      </c>
      <c r="G192" s="2">
        <f t="shared" si="21"/>
        <v>991.66666666666674</v>
      </c>
      <c r="H192" s="4">
        <f>VLOOKUP(B192,nodes!A:D,2,0)</f>
        <v>300</v>
      </c>
      <c r="I192" s="4">
        <f>VLOOKUP(B192,nodes!A:D,4,0)</f>
        <v>30</v>
      </c>
      <c r="J192" s="4">
        <f>VLOOKUP(C192,nodes!A:D,2,0)</f>
        <v>330</v>
      </c>
      <c r="K192" s="4">
        <f>VLOOKUP(C192,nodes!A:D,4,0)</f>
        <v>30</v>
      </c>
      <c r="L192" s="4">
        <f t="shared" si="22"/>
        <v>30</v>
      </c>
      <c r="N192" s="12">
        <f t="shared" si="23"/>
        <v>7437500</v>
      </c>
      <c r="O192" s="12">
        <f t="shared" si="24"/>
        <v>42840000</v>
      </c>
      <c r="P192" s="12">
        <f t="shared" si="25"/>
        <v>11900</v>
      </c>
      <c r="R192" s="23" t="s">
        <v>39</v>
      </c>
      <c r="S192" s="23" t="str">
        <f t="shared" si="26"/>
        <v>191,</v>
      </c>
      <c r="T192" s="23" t="str">
        <f t="shared" si="26"/>
        <v>200,</v>
      </c>
      <c r="U192" s="24">
        <f t="shared" si="27"/>
        <v>201</v>
      </c>
    </row>
    <row r="193" spans="1:21" x14ac:dyDescent="0.25">
      <c r="A193" s="3">
        <v>192</v>
      </c>
      <c r="B193" s="3">
        <v>201</v>
      </c>
      <c r="C193" s="3">
        <v>202</v>
      </c>
      <c r="D193" s="2">
        <f t="shared" si="19"/>
        <v>10985</v>
      </c>
      <c r="E193" s="2">
        <f t="shared" si="20"/>
        <v>5492.5</v>
      </c>
      <c r="F193" s="2">
        <v>2380</v>
      </c>
      <c r="G193" s="2">
        <f t="shared" si="21"/>
        <v>991.66666666666674</v>
      </c>
      <c r="H193" s="4">
        <f>VLOOKUP(B193,nodes!A:D,2,0)</f>
        <v>330</v>
      </c>
      <c r="I193" s="4">
        <f>VLOOKUP(B193,nodes!A:D,4,0)</f>
        <v>30</v>
      </c>
      <c r="J193" s="4">
        <f>VLOOKUP(C193,nodes!A:D,2,0)</f>
        <v>360</v>
      </c>
      <c r="K193" s="4">
        <f>VLOOKUP(C193,nodes!A:D,4,0)</f>
        <v>30</v>
      </c>
      <c r="L193" s="4">
        <f t="shared" si="22"/>
        <v>30</v>
      </c>
      <c r="N193" s="12">
        <f t="shared" si="23"/>
        <v>7437500</v>
      </c>
      <c r="O193" s="12">
        <f t="shared" si="24"/>
        <v>42840000</v>
      </c>
      <c r="P193" s="12">
        <f t="shared" si="25"/>
        <v>11900</v>
      </c>
      <c r="R193" s="23" t="s">
        <v>39</v>
      </c>
      <c r="S193" s="23" t="str">
        <f t="shared" si="26"/>
        <v>192,</v>
      </c>
      <c r="T193" s="23" t="str">
        <f t="shared" si="26"/>
        <v>201,</v>
      </c>
      <c r="U193" s="24">
        <f t="shared" si="27"/>
        <v>202</v>
      </c>
    </row>
    <row r="194" spans="1:21" x14ac:dyDescent="0.25">
      <c r="A194" s="3">
        <v>193</v>
      </c>
      <c r="B194" s="3">
        <v>202</v>
      </c>
      <c r="C194" s="3">
        <v>203</v>
      </c>
      <c r="D194" s="2">
        <f t="shared" ref="D194:D257" si="28">E194*2</f>
        <v>10985</v>
      </c>
      <c r="E194" s="2">
        <f t="shared" si="20"/>
        <v>5492.5</v>
      </c>
      <c r="F194" s="2">
        <v>2380</v>
      </c>
      <c r="G194" s="2">
        <f t="shared" si="21"/>
        <v>991.66666666666674</v>
      </c>
      <c r="H194" s="4">
        <f>VLOOKUP(B194,nodes!A:D,2,0)</f>
        <v>360</v>
      </c>
      <c r="I194" s="4">
        <f>VLOOKUP(B194,nodes!A:D,4,0)</f>
        <v>30</v>
      </c>
      <c r="J194" s="4">
        <f>VLOOKUP(C194,nodes!A:D,2,0)</f>
        <v>390</v>
      </c>
      <c r="K194" s="4">
        <f>VLOOKUP(C194,nodes!A:D,4,0)</f>
        <v>30</v>
      </c>
      <c r="L194" s="4">
        <f t="shared" si="22"/>
        <v>30</v>
      </c>
      <c r="N194" s="12">
        <f t="shared" si="23"/>
        <v>7437500</v>
      </c>
      <c r="O194" s="12">
        <f t="shared" si="24"/>
        <v>42840000</v>
      </c>
      <c r="P194" s="12">
        <f t="shared" si="25"/>
        <v>11900</v>
      </c>
      <c r="R194" s="23" t="s">
        <v>39</v>
      </c>
      <c r="S194" s="23" t="str">
        <f t="shared" si="26"/>
        <v>193,</v>
      </c>
      <c r="T194" s="23" t="str">
        <f t="shared" si="26"/>
        <v>202,</v>
      </c>
      <c r="U194" s="24">
        <f t="shared" si="27"/>
        <v>203</v>
      </c>
    </row>
    <row r="195" spans="1:21" x14ac:dyDescent="0.25">
      <c r="A195" s="3">
        <v>194</v>
      </c>
      <c r="B195" s="3">
        <v>203</v>
      </c>
      <c r="C195" s="3">
        <v>204</v>
      </c>
      <c r="D195" s="2">
        <f t="shared" si="28"/>
        <v>10985</v>
      </c>
      <c r="E195" s="2">
        <f t="shared" ref="E195:E258" si="29">(30*13^3)/12</f>
        <v>5492.5</v>
      </c>
      <c r="F195" s="2">
        <v>2380</v>
      </c>
      <c r="G195" s="2">
        <f t="shared" ref="G195:G258" si="30">F195/(2*(1+0.2))</f>
        <v>991.66666666666674</v>
      </c>
      <c r="H195" s="4">
        <f>VLOOKUP(B195,nodes!A:D,2,0)</f>
        <v>390</v>
      </c>
      <c r="I195" s="4">
        <f>VLOOKUP(B195,nodes!A:D,4,0)</f>
        <v>30</v>
      </c>
      <c r="J195" s="4">
        <f>VLOOKUP(C195,nodes!A:D,2,0)</f>
        <v>420</v>
      </c>
      <c r="K195" s="4">
        <f>VLOOKUP(C195,nodes!A:D,4,0)</f>
        <v>30</v>
      </c>
      <c r="L195" s="4">
        <f t="shared" ref="L195:L258" si="31">((J195-H195)^2+(K195-I195)^2)^0.5</f>
        <v>30</v>
      </c>
      <c r="N195" s="12">
        <f t="shared" ref="N195:N258" si="32">12*2380*60*(25^3)/(300*12)</f>
        <v>7437500</v>
      </c>
      <c r="O195" s="12">
        <f t="shared" ref="O195:O258" si="33">12*2380*25*(60^3)/(300*12)</f>
        <v>42840000</v>
      </c>
      <c r="P195" s="12">
        <f t="shared" ref="P195:P258" si="34">2380*25*60/300</f>
        <v>11900</v>
      </c>
      <c r="R195" s="23" t="s">
        <v>39</v>
      </c>
      <c r="S195" s="23" t="str">
        <f t="shared" ref="S195:T258" si="35">A195&amp;","</f>
        <v>194,</v>
      </c>
      <c r="T195" s="23" t="str">
        <f t="shared" si="35"/>
        <v>203,</v>
      </c>
      <c r="U195" s="24">
        <f t="shared" ref="U195:U258" si="36">C195</f>
        <v>204</v>
      </c>
    </row>
    <row r="196" spans="1:21" x14ac:dyDescent="0.25">
      <c r="A196" s="3">
        <v>195</v>
      </c>
      <c r="B196" s="3">
        <v>204</v>
      </c>
      <c r="C196" s="3">
        <v>205</v>
      </c>
      <c r="D196" s="2">
        <f t="shared" si="28"/>
        <v>10985</v>
      </c>
      <c r="E196" s="2">
        <f t="shared" si="29"/>
        <v>5492.5</v>
      </c>
      <c r="F196" s="2">
        <v>2380</v>
      </c>
      <c r="G196" s="2">
        <f t="shared" si="30"/>
        <v>991.66666666666674</v>
      </c>
      <c r="H196" s="4">
        <f>VLOOKUP(B196,nodes!A:D,2,0)</f>
        <v>420</v>
      </c>
      <c r="I196" s="4">
        <f>VLOOKUP(B196,nodes!A:D,4,0)</f>
        <v>30</v>
      </c>
      <c r="J196" s="4">
        <f>VLOOKUP(C196,nodes!A:D,2,0)</f>
        <v>450</v>
      </c>
      <c r="K196" s="4">
        <f>VLOOKUP(C196,nodes!A:D,4,0)</f>
        <v>30</v>
      </c>
      <c r="L196" s="4">
        <f t="shared" si="31"/>
        <v>30</v>
      </c>
      <c r="N196" s="12">
        <f t="shared" si="32"/>
        <v>7437500</v>
      </c>
      <c r="O196" s="12">
        <f t="shared" si="33"/>
        <v>42840000</v>
      </c>
      <c r="P196" s="12">
        <f t="shared" si="34"/>
        <v>11900</v>
      </c>
      <c r="R196" s="23" t="s">
        <v>39</v>
      </c>
      <c r="S196" s="23" t="str">
        <f t="shared" si="35"/>
        <v>195,</v>
      </c>
      <c r="T196" s="23" t="str">
        <f t="shared" si="35"/>
        <v>204,</v>
      </c>
      <c r="U196" s="24">
        <f t="shared" si="36"/>
        <v>205</v>
      </c>
    </row>
    <row r="197" spans="1:21" x14ac:dyDescent="0.25">
      <c r="A197" s="3">
        <v>196</v>
      </c>
      <c r="B197" s="3">
        <v>205</v>
      </c>
      <c r="C197" s="3">
        <v>206</v>
      </c>
      <c r="D197" s="2">
        <f t="shared" si="28"/>
        <v>10985</v>
      </c>
      <c r="E197" s="2">
        <f t="shared" si="29"/>
        <v>5492.5</v>
      </c>
      <c r="F197" s="2">
        <v>2380</v>
      </c>
      <c r="G197" s="2">
        <f t="shared" si="30"/>
        <v>991.66666666666674</v>
      </c>
      <c r="H197" s="4">
        <f>VLOOKUP(B197,nodes!A:D,2,0)</f>
        <v>450</v>
      </c>
      <c r="I197" s="4">
        <f>VLOOKUP(B197,nodes!A:D,4,0)</f>
        <v>30</v>
      </c>
      <c r="J197" s="4">
        <f>VLOOKUP(C197,nodes!A:D,2,0)</f>
        <v>480</v>
      </c>
      <c r="K197" s="4">
        <f>VLOOKUP(C197,nodes!A:D,4,0)</f>
        <v>30</v>
      </c>
      <c r="L197" s="4">
        <f t="shared" si="31"/>
        <v>30</v>
      </c>
      <c r="N197" s="12">
        <f t="shared" si="32"/>
        <v>7437500</v>
      </c>
      <c r="O197" s="12">
        <f t="shared" si="33"/>
        <v>42840000</v>
      </c>
      <c r="P197" s="12">
        <f t="shared" si="34"/>
        <v>11900</v>
      </c>
      <c r="R197" s="23" t="s">
        <v>39</v>
      </c>
      <c r="S197" s="23" t="str">
        <f t="shared" si="35"/>
        <v>196,</v>
      </c>
      <c r="T197" s="23" t="str">
        <f t="shared" si="35"/>
        <v>205,</v>
      </c>
      <c r="U197" s="24">
        <f t="shared" si="36"/>
        <v>206</v>
      </c>
    </row>
    <row r="198" spans="1:21" x14ac:dyDescent="0.25">
      <c r="A198" s="3">
        <v>197</v>
      </c>
      <c r="B198" s="3">
        <v>206</v>
      </c>
      <c r="C198" s="3">
        <v>207</v>
      </c>
      <c r="D198" s="2">
        <f t="shared" si="28"/>
        <v>10985</v>
      </c>
      <c r="E198" s="2">
        <f t="shared" si="29"/>
        <v>5492.5</v>
      </c>
      <c r="F198" s="2">
        <v>2380</v>
      </c>
      <c r="G198" s="2">
        <f t="shared" si="30"/>
        <v>991.66666666666674</v>
      </c>
      <c r="H198" s="4">
        <f>VLOOKUP(B198,nodes!A:D,2,0)</f>
        <v>480</v>
      </c>
      <c r="I198" s="4">
        <f>VLOOKUP(B198,nodes!A:D,4,0)</f>
        <v>30</v>
      </c>
      <c r="J198" s="4">
        <f>VLOOKUP(C198,nodes!A:D,2,0)</f>
        <v>509.99999999999994</v>
      </c>
      <c r="K198" s="4">
        <f>VLOOKUP(C198,nodes!A:D,4,0)</f>
        <v>30</v>
      </c>
      <c r="L198" s="4">
        <f t="shared" si="31"/>
        <v>29.999999999999943</v>
      </c>
      <c r="N198" s="12">
        <f t="shared" si="32"/>
        <v>7437500</v>
      </c>
      <c r="O198" s="12">
        <f t="shared" si="33"/>
        <v>42840000</v>
      </c>
      <c r="P198" s="12">
        <f t="shared" si="34"/>
        <v>11900</v>
      </c>
      <c r="R198" s="23" t="s">
        <v>39</v>
      </c>
      <c r="S198" s="23" t="str">
        <f t="shared" si="35"/>
        <v>197,</v>
      </c>
      <c r="T198" s="23" t="str">
        <f t="shared" si="35"/>
        <v>206,</v>
      </c>
      <c r="U198" s="24">
        <f t="shared" si="36"/>
        <v>207</v>
      </c>
    </row>
    <row r="199" spans="1:21" x14ac:dyDescent="0.25">
      <c r="A199" s="3">
        <v>198</v>
      </c>
      <c r="B199" s="3">
        <v>207</v>
      </c>
      <c r="C199" s="3">
        <v>208</v>
      </c>
      <c r="D199" s="2">
        <f t="shared" si="28"/>
        <v>10985</v>
      </c>
      <c r="E199" s="2">
        <f t="shared" si="29"/>
        <v>5492.5</v>
      </c>
      <c r="F199" s="2">
        <v>2380</v>
      </c>
      <c r="G199" s="2">
        <f t="shared" si="30"/>
        <v>991.66666666666674</v>
      </c>
      <c r="H199" s="4">
        <f>VLOOKUP(B199,nodes!A:D,2,0)</f>
        <v>509.99999999999994</v>
      </c>
      <c r="I199" s="4">
        <f>VLOOKUP(B199,nodes!A:D,4,0)</f>
        <v>30</v>
      </c>
      <c r="J199" s="4">
        <f>VLOOKUP(C199,nodes!A:D,2,0)</f>
        <v>540</v>
      </c>
      <c r="K199" s="4">
        <f>VLOOKUP(C199,nodes!A:D,4,0)</f>
        <v>30</v>
      </c>
      <c r="L199" s="4">
        <f t="shared" si="31"/>
        <v>30.000000000000057</v>
      </c>
      <c r="N199" s="12">
        <f t="shared" si="32"/>
        <v>7437500</v>
      </c>
      <c r="O199" s="12">
        <f t="shared" si="33"/>
        <v>42840000</v>
      </c>
      <c r="P199" s="12">
        <f t="shared" si="34"/>
        <v>11900</v>
      </c>
      <c r="R199" s="23" t="s">
        <v>39</v>
      </c>
      <c r="S199" s="23" t="str">
        <f t="shared" si="35"/>
        <v>198,</v>
      </c>
      <c r="T199" s="23" t="str">
        <f t="shared" si="35"/>
        <v>207,</v>
      </c>
      <c r="U199" s="24">
        <f t="shared" si="36"/>
        <v>208</v>
      </c>
    </row>
    <row r="200" spans="1:21" x14ac:dyDescent="0.25">
      <c r="A200" s="3">
        <v>199</v>
      </c>
      <c r="B200" s="3">
        <v>208</v>
      </c>
      <c r="C200" s="3">
        <v>209</v>
      </c>
      <c r="D200" s="2">
        <f t="shared" si="28"/>
        <v>10985</v>
      </c>
      <c r="E200" s="2">
        <f t="shared" si="29"/>
        <v>5492.5</v>
      </c>
      <c r="F200" s="2">
        <v>2380</v>
      </c>
      <c r="G200" s="2">
        <f t="shared" si="30"/>
        <v>991.66666666666674</v>
      </c>
      <c r="H200" s="4">
        <f>VLOOKUP(B200,nodes!A:D,2,0)</f>
        <v>540</v>
      </c>
      <c r="I200" s="4">
        <f>VLOOKUP(B200,nodes!A:D,4,0)</f>
        <v>30</v>
      </c>
      <c r="J200" s="4">
        <f>VLOOKUP(C200,nodes!A:D,2,0)</f>
        <v>570</v>
      </c>
      <c r="K200" s="4">
        <f>VLOOKUP(C200,nodes!A:D,4,0)</f>
        <v>30</v>
      </c>
      <c r="L200" s="4">
        <f t="shared" si="31"/>
        <v>30</v>
      </c>
      <c r="N200" s="12">
        <f t="shared" si="32"/>
        <v>7437500</v>
      </c>
      <c r="O200" s="12">
        <f t="shared" si="33"/>
        <v>42840000</v>
      </c>
      <c r="P200" s="12">
        <f t="shared" si="34"/>
        <v>11900</v>
      </c>
      <c r="R200" s="23" t="s">
        <v>39</v>
      </c>
      <c r="S200" s="23" t="str">
        <f t="shared" si="35"/>
        <v>199,</v>
      </c>
      <c r="T200" s="23" t="str">
        <f t="shared" si="35"/>
        <v>208,</v>
      </c>
      <c r="U200" s="24">
        <f t="shared" si="36"/>
        <v>209</v>
      </c>
    </row>
    <row r="201" spans="1:21" x14ac:dyDescent="0.25">
      <c r="A201" s="3">
        <v>200</v>
      </c>
      <c r="B201" s="3">
        <v>209</v>
      </c>
      <c r="C201" s="3">
        <v>210</v>
      </c>
      <c r="D201" s="2">
        <f t="shared" si="28"/>
        <v>10985</v>
      </c>
      <c r="E201" s="2">
        <f t="shared" si="29"/>
        <v>5492.5</v>
      </c>
      <c r="F201" s="2">
        <v>2380</v>
      </c>
      <c r="G201" s="2">
        <f t="shared" si="30"/>
        <v>991.66666666666674</v>
      </c>
      <c r="H201" s="4">
        <f>VLOOKUP(B201,nodes!A:D,2,0)</f>
        <v>570</v>
      </c>
      <c r="I201" s="4">
        <f>VLOOKUP(B201,nodes!A:D,4,0)</f>
        <v>30</v>
      </c>
      <c r="J201" s="4">
        <f>VLOOKUP(C201,nodes!A:D,2,0)</f>
        <v>600</v>
      </c>
      <c r="K201" s="4">
        <f>VLOOKUP(C201,nodes!A:D,4,0)</f>
        <v>30</v>
      </c>
      <c r="L201" s="4">
        <f t="shared" si="31"/>
        <v>30</v>
      </c>
      <c r="N201" s="12">
        <f t="shared" si="32"/>
        <v>7437500</v>
      </c>
      <c r="O201" s="12">
        <f t="shared" si="33"/>
        <v>42840000</v>
      </c>
      <c r="P201" s="12">
        <f t="shared" si="34"/>
        <v>11900</v>
      </c>
      <c r="R201" s="23" t="s">
        <v>39</v>
      </c>
      <c r="S201" s="23" t="str">
        <f t="shared" si="35"/>
        <v>200,</v>
      </c>
      <c r="T201" s="23" t="str">
        <f t="shared" si="35"/>
        <v>209,</v>
      </c>
      <c r="U201" s="24">
        <f t="shared" si="36"/>
        <v>210</v>
      </c>
    </row>
    <row r="202" spans="1:21" x14ac:dyDescent="0.25">
      <c r="A202" s="3">
        <v>201</v>
      </c>
      <c r="B202" s="3">
        <v>211</v>
      </c>
      <c r="C202" s="3">
        <v>212</v>
      </c>
      <c r="D202" s="2">
        <f t="shared" si="28"/>
        <v>10985</v>
      </c>
      <c r="E202" s="2">
        <f t="shared" si="29"/>
        <v>5492.5</v>
      </c>
      <c r="F202" s="2">
        <v>2380</v>
      </c>
      <c r="G202" s="2">
        <f t="shared" si="30"/>
        <v>991.66666666666674</v>
      </c>
      <c r="H202" s="4">
        <f>VLOOKUP(B202,nodes!A:D,2,0)</f>
        <v>0</v>
      </c>
      <c r="I202" s="4">
        <f>VLOOKUP(B202,nodes!A:D,4,0)</f>
        <v>0</v>
      </c>
      <c r="J202" s="4">
        <f>VLOOKUP(C202,nodes!A:D,2,0)</f>
        <v>30</v>
      </c>
      <c r="K202" s="4">
        <f>VLOOKUP(C202,nodes!A:D,4,0)</f>
        <v>0</v>
      </c>
      <c r="L202" s="4">
        <f t="shared" si="31"/>
        <v>30</v>
      </c>
      <c r="N202" s="12">
        <f t="shared" si="32"/>
        <v>7437500</v>
      </c>
      <c r="O202" s="12">
        <f t="shared" si="33"/>
        <v>42840000</v>
      </c>
      <c r="P202" s="12">
        <f t="shared" si="34"/>
        <v>11900</v>
      </c>
      <c r="R202" s="23" t="s">
        <v>39</v>
      </c>
      <c r="S202" s="23" t="str">
        <f t="shared" si="35"/>
        <v>201,</v>
      </c>
      <c r="T202" s="23" t="str">
        <f t="shared" si="35"/>
        <v>211,</v>
      </c>
      <c r="U202" s="24">
        <f t="shared" si="36"/>
        <v>212</v>
      </c>
    </row>
    <row r="203" spans="1:21" x14ac:dyDescent="0.25">
      <c r="A203" s="3">
        <v>202</v>
      </c>
      <c r="B203" s="3">
        <v>212</v>
      </c>
      <c r="C203" s="3">
        <v>213</v>
      </c>
      <c r="D203" s="2">
        <f t="shared" si="28"/>
        <v>10985</v>
      </c>
      <c r="E203" s="2">
        <f t="shared" si="29"/>
        <v>5492.5</v>
      </c>
      <c r="F203" s="2">
        <v>2380</v>
      </c>
      <c r="G203" s="2">
        <f t="shared" si="30"/>
        <v>991.66666666666674</v>
      </c>
      <c r="H203" s="4">
        <f>VLOOKUP(B203,nodes!A:D,2,0)</f>
        <v>30</v>
      </c>
      <c r="I203" s="4">
        <f>VLOOKUP(B203,nodes!A:D,4,0)</f>
        <v>0</v>
      </c>
      <c r="J203" s="4">
        <f>VLOOKUP(C203,nodes!A:D,2,0)</f>
        <v>60</v>
      </c>
      <c r="K203" s="4">
        <f>VLOOKUP(C203,nodes!A:D,4,0)</f>
        <v>0</v>
      </c>
      <c r="L203" s="4">
        <f t="shared" si="31"/>
        <v>30</v>
      </c>
      <c r="N203" s="12">
        <f t="shared" si="32"/>
        <v>7437500</v>
      </c>
      <c r="O203" s="12">
        <f t="shared" si="33"/>
        <v>42840000</v>
      </c>
      <c r="P203" s="12">
        <f t="shared" si="34"/>
        <v>11900</v>
      </c>
      <c r="R203" s="23" t="s">
        <v>39</v>
      </c>
      <c r="S203" s="23" t="str">
        <f t="shared" si="35"/>
        <v>202,</v>
      </c>
      <c r="T203" s="23" t="str">
        <f t="shared" si="35"/>
        <v>212,</v>
      </c>
      <c r="U203" s="24">
        <f t="shared" si="36"/>
        <v>213</v>
      </c>
    </row>
    <row r="204" spans="1:21" x14ac:dyDescent="0.25">
      <c r="A204" s="3">
        <v>203</v>
      </c>
      <c r="B204" s="3">
        <v>213</v>
      </c>
      <c r="C204" s="3">
        <v>214</v>
      </c>
      <c r="D204" s="2">
        <f t="shared" si="28"/>
        <v>10985</v>
      </c>
      <c r="E204" s="2">
        <f t="shared" si="29"/>
        <v>5492.5</v>
      </c>
      <c r="F204" s="2">
        <v>2380</v>
      </c>
      <c r="G204" s="2">
        <f t="shared" si="30"/>
        <v>991.66666666666674</v>
      </c>
      <c r="H204" s="4">
        <f>VLOOKUP(B204,nodes!A:D,2,0)</f>
        <v>60</v>
      </c>
      <c r="I204" s="4">
        <f>VLOOKUP(B204,nodes!A:D,4,0)</f>
        <v>0</v>
      </c>
      <c r="J204" s="4">
        <f>VLOOKUP(C204,nodes!A:D,2,0)</f>
        <v>90</v>
      </c>
      <c r="K204" s="4">
        <f>VLOOKUP(C204,nodes!A:D,4,0)</f>
        <v>0</v>
      </c>
      <c r="L204" s="4">
        <f t="shared" si="31"/>
        <v>30</v>
      </c>
      <c r="N204" s="12">
        <f t="shared" si="32"/>
        <v>7437500</v>
      </c>
      <c r="O204" s="12">
        <f t="shared" si="33"/>
        <v>42840000</v>
      </c>
      <c r="P204" s="12">
        <f t="shared" si="34"/>
        <v>11900</v>
      </c>
      <c r="R204" s="23" t="s">
        <v>39</v>
      </c>
      <c r="S204" s="23" t="str">
        <f t="shared" si="35"/>
        <v>203,</v>
      </c>
      <c r="T204" s="23" t="str">
        <f t="shared" si="35"/>
        <v>213,</v>
      </c>
      <c r="U204" s="24">
        <f t="shared" si="36"/>
        <v>214</v>
      </c>
    </row>
    <row r="205" spans="1:21" x14ac:dyDescent="0.25">
      <c r="A205" s="3">
        <v>204</v>
      </c>
      <c r="B205" s="3">
        <v>214</v>
      </c>
      <c r="C205" s="3">
        <v>215</v>
      </c>
      <c r="D205" s="2">
        <f t="shared" si="28"/>
        <v>10985</v>
      </c>
      <c r="E205" s="2">
        <f t="shared" si="29"/>
        <v>5492.5</v>
      </c>
      <c r="F205" s="2">
        <v>2380</v>
      </c>
      <c r="G205" s="2">
        <f t="shared" si="30"/>
        <v>991.66666666666674</v>
      </c>
      <c r="H205" s="4">
        <f>VLOOKUP(B205,nodes!A:D,2,0)</f>
        <v>90</v>
      </c>
      <c r="I205" s="4">
        <f>VLOOKUP(B205,nodes!A:D,4,0)</f>
        <v>0</v>
      </c>
      <c r="J205" s="4">
        <f>VLOOKUP(C205,nodes!A:D,2,0)</f>
        <v>120</v>
      </c>
      <c r="K205" s="4">
        <f>VLOOKUP(C205,nodes!A:D,4,0)</f>
        <v>0</v>
      </c>
      <c r="L205" s="4">
        <f t="shared" si="31"/>
        <v>30</v>
      </c>
      <c r="N205" s="12">
        <f t="shared" si="32"/>
        <v>7437500</v>
      </c>
      <c r="O205" s="12">
        <f t="shared" si="33"/>
        <v>42840000</v>
      </c>
      <c r="P205" s="12">
        <f t="shared" si="34"/>
        <v>11900</v>
      </c>
      <c r="R205" s="23" t="s">
        <v>39</v>
      </c>
      <c r="S205" s="23" t="str">
        <f t="shared" si="35"/>
        <v>204,</v>
      </c>
      <c r="T205" s="23" t="str">
        <f t="shared" si="35"/>
        <v>214,</v>
      </c>
      <c r="U205" s="24">
        <f t="shared" si="36"/>
        <v>215</v>
      </c>
    </row>
    <row r="206" spans="1:21" x14ac:dyDescent="0.25">
      <c r="A206" s="3">
        <v>205</v>
      </c>
      <c r="B206" s="3">
        <v>215</v>
      </c>
      <c r="C206" s="3">
        <v>216</v>
      </c>
      <c r="D206" s="2">
        <f t="shared" si="28"/>
        <v>10985</v>
      </c>
      <c r="E206" s="2">
        <f t="shared" si="29"/>
        <v>5492.5</v>
      </c>
      <c r="F206" s="2">
        <v>2380</v>
      </c>
      <c r="G206" s="2">
        <f t="shared" si="30"/>
        <v>991.66666666666674</v>
      </c>
      <c r="H206" s="4">
        <f>VLOOKUP(B206,nodes!A:D,2,0)</f>
        <v>120</v>
      </c>
      <c r="I206" s="4">
        <f>VLOOKUP(B206,nodes!A:D,4,0)</f>
        <v>0</v>
      </c>
      <c r="J206" s="4">
        <f>VLOOKUP(C206,nodes!A:D,2,0)</f>
        <v>150</v>
      </c>
      <c r="K206" s="4">
        <f>VLOOKUP(C206,nodes!A:D,4,0)</f>
        <v>0</v>
      </c>
      <c r="L206" s="4">
        <f t="shared" si="31"/>
        <v>30</v>
      </c>
      <c r="N206" s="12">
        <f t="shared" si="32"/>
        <v>7437500</v>
      </c>
      <c r="O206" s="12">
        <f t="shared" si="33"/>
        <v>42840000</v>
      </c>
      <c r="P206" s="12">
        <f t="shared" si="34"/>
        <v>11900</v>
      </c>
      <c r="R206" s="23" t="s">
        <v>39</v>
      </c>
      <c r="S206" s="23" t="str">
        <f t="shared" si="35"/>
        <v>205,</v>
      </c>
      <c r="T206" s="23" t="str">
        <f t="shared" si="35"/>
        <v>215,</v>
      </c>
      <c r="U206" s="24">
        <f t="shared" si="36"/>
        <v>216</v>
      </c>
    </row>
    <row r="207" spans="1:21" x14ac:dyDescent="0.25">
      <c r="A207" s="3">
        <v>206</v>
      </c>
      <c r="B207" s="3">
        <v>216</v>
      </c>
      <c r="C207" s="3">
        <v>217</v>
      </c>
      <c r="D207" s="2">
        <f t="shared" si="28"/>
        <v>10985</v>
      </c>
      <c r="E207" s="2">
        <f t="shared" si="29"/>
        <v>5492.5</v>
      </c>
      <c r="F207" s="2">
        <v>2380</v>
      </c>
      <c r="G207" s="2">
        <f t="shared" si="30"/>
        <v>991.66666666666674</v>
      </c>
      <c r="H207" s="4">
        <f>VLOOKUP(B207,nodes!A:D,2,0)</f>
        <v>150</v>
      </c>
      <c r="I207" s="4">
        <f>VLOOKUP(B207,nodes!A:D,4,0)</f>
        <v>0</v>
      </c>
      <c r="J207" s="4">
        <f>VLOOKUP(C207,nodes!A:D,2,0)</f>
        <v>180</v>
      </c>
      <c r="K207" s="4">
        <f>VLOOKUP(C207,nodes!A:D,4,0)</f>
        <v>0</v>
      </c>
      <c r="L207" s="4">
        <f t="shared" si="31"/>
        <v>30</v>
      </c>
      <c r="N207" s="12">
        <f t="shared" si="32"/>
        <v>7437500</v>
      </c>
      <c r="O207" s="12">
        <f t="shared" si="33"/>
        <v>42840000</v>
      </c>
      <c r="P207" s="12">
        <f t="shared" si="34"/>
        <v>11900</v>
      </c>
      <c r="R207" s="23" t="s">
        <v>39</v>
      </c>
      <c r="S207" s="23" t="str">
        <f t="shared" si="35"/>
        <v>206,</v>
      </c>
      <c r="T207" s="23" t="str">
        <f t="shared" si="35"/>
        <v>216,</v>
      </c>
      <c r="U207" s="24">
        <f t="shared" si="36"/>
        <v>217</v>
      </c>
    </row>
    <row r="208" spans="1:21" x14ac:dyDescent="0.25">
      <c r="A208" s="3">
        <v>207</v>
      </c>
      <c r="B208" s="3">
        <v>217</v>
      </c>
      <c r="C208" s="3">
        <v>218</v>
      </c>
      <c r="D208" s="2">
        <f t="shared" si="28"/>
        <v>10985</v>
      </c>
      <c r="E208" s="2">
        <f t="shared" si="29"/>
        <v>5492.5</v>
      </c>
      <c r="F208" s="2">
        <v>2380</v>
      </c>
      <c r="G208" s="2">
        <f t="shared" si="30"/>
        <v>991.66666666666674</v>
      </c>
      <c r="H208" s="4">
        <f>VLOOKUP(B208,nodes!A:D,2,0)</f>
        <v>180</v>
      </c>
      <c r="I208" s="4">
        <f>VLOOKUP(B208,nodes!A:D,4,0)</f>
        <v>0</v>
      </c>
      <c r="J208" s="4">
        <f>VLOOKUP(C208,nodes!A:D,2,0)</f>
        <v>210</v>
      </c>
      <c r="K208" s="4">
        <f>VLOOKUP(C208,nodes!A:D,4,0)</f>
        <v>0</v>
      </c>
      <c r="L208" s="4">
        <f t="shared" si="31"/>
        <v>30</v>
      </c>
      <c r="N208" s="12">
        <f t="shared" si="32"/>
        <v>7437500</v>
      </c>
      <c r="O208" s="12">
        <f t="shared" si="33"/>
        <v>42840000</v>
      </c>
      <c r="P208" s="12">
        <f t="shared" si="34"/>
        <v>11900</v>
      </c>
      <c r="R208" s="23" t="s">
        <v>39</v>
      </c>
      <c r="S208" s="23" t="str">
        <f t="shared" si="35"/>
        <v>207,</v>
      </c>
      <c r="T208" s="23" t="str">
        <f t="shared" si="35"/>
        <v>217,</v>
      </c>
      <c r="U208" s="24">
        <f t="shared" si="36"/>
        <v>218</v>
      </c>
    </row>
    <row r="209" spans="1:21" x14ac:dyDescent="0.25">
      <c r="A209" s="3">
        <v>208</v>
      </c>
      <c r="B209" s="3">
        <v>218</v>
      </c>
      <c r="C209" s="3">
        <v>219</v>
      </c>
      <c r="D209" s="2">
        <f t="shared" si="28"/>
        <v>10985</v>
      </c>
      <c r="E209" s="2">
        <f t="shared" si="29"/>
        <v>5492.5</v>
      </c>
      <c r="F209" s="2">
        <v>2380</v>
      </c>
      <c r="G209" s="2">
        <f t="shared" si="30"/>
        <v>991.66666666666674</v>
      </c>
      <c r="H209" s="4">
        <f>VLOOKUP(B209,nodes!A:D,2,0)</f>
        <v>210</v>
      </c>
      <c r="I209" s="4">
        <f>VLOOKUP(B209,nodes!A:D,4,0)</f>
        <v>0</v>
      </c>
      <c r="J209" s="4">
        <f>VLOOKUP(C209,nodes!A:D,2,0)</f>
        <v>240</v>
      </c>
      <c r="K209" s="4">
        <f>VLOOKUP(C209,nodes!A:D,4,0)</f>
        <v>0</v>
      </c>
      <c r="L209" s="4">
        <f t="shared" si="31"/>
        <v>30</v>
      </c>
      <c r="N209" s="12">
        <f t="shared" si="32"/>
        <v>7437500</v>
      </c>
      <c r="O209" s="12">
        <f t="shared" si="33"/>
        <v>42840000</v>
      </c>
      <c r="P209" s="12">
        <f t="shared" si="34"/>
        <v>11900</v>
      </c>
      <c r="R209" s="23" t="s">
        <v>39</v>
      </c>
      <c r="S209" s="23" t="str">
        <f t="shared" si="35"/>
        <v>208,</v>
      </c>
      <c r="T209" s="23" t="str">
        <f t="shared" si="35"/>
        <v>218,</v>
      </c>
      <c r="U209" s="24">
        <f t="shared" si="36"/>
        <v>219</v>
      </c>
    </row>
    <row r="210" spans="1:21" x14ac:dyDescent="0.25">
      <c r="A210" s="3">
        <v>209</v>
      </c>
      <c r="B210" s="3">
        <v>219</v>
      </c>
      <c r="C210" s="3">
        <v>220</v>
      </c>
      <c r="D210" s="2">
        <f t="shared" si="28"/>
        <v>10985</v>
      </c>
      <c r="E210" s="2">
        <f t="shared" si="29"/>
        <v>5492.5</v>
      </c>
      <c r="F210" s="2">
        <v>2380</v>
      </c>
      <c r="G210" s="2">
        <f t="shared" si="30"/>
        <v>991.66666666666674</v>
      </c>
      <c r="H210" s="4">
        <f>VLOOKUP(B210,nodes!A:D,2,0)</f>
        <v>240</v>
      </c>
      <c r="I210" s="4">
        <f>VLOOKUP(B210,nodes!A:D,4,0)</f>
        <v>0</v>
      </c>
      <c r="J210" s="4">
        <f>VLOOKUP(C210,nodes!A:D,2,0)</f>
        <v>270</v>
      </c>
      <c r="K210" s="4">
        <f>VLOOKUP(C210,nodes!A:D,4,0)</f>
        <v>0</v>
      </c>
      <c r="L210" s="4">
        <f t="shared" si="31"/>
        <v>30</v>
      </c>
      <c r="N210" s="12">
        <f t="shared" si="32"/>
        <v>7437500</v>
      </c>
      <c r="O210" s="12">
        <f t="shared" si="33"/>
        <v>42840000</v>
      </c>
      <c r="P210" s="12">
        <f t="shared" si="34"/>
        <v>11900</v>
      </c>
      <c r="R210" s="23" t="s">
        <v>39</v>
      </c>
      <c r="S210" s="23" t="str">
        <f t="shared" si="35"/>
        <v>209,</v>
      </c>
      <c r="T210" s="23" t="str">
        <f t="shared" si="35"/>
        <v>219,</v>
      </c>
      <c r="U210" s="24">
        <f t="shared" si="36"/>
        <v>220</v>
      </c>
    </row>
    <row r="211" spans="1:21" x14ac:dyDescent="0.25">
      <c r="A211" s="3">
        <v>210</v>
      </c>
      <c r="B211" s="3">
        <v>220</v>
      </c>
      <c r="C211" s="3">
        <v>221</v>
      </c>
      <c r="D211" s="2">
        <f t="shared" si="28"/>
        <v>10985</v>
      </c>
      <c r="E211" s="2">
        <f t="shared" si="29"/>
        <v>5492.5</v>
      </c>
      <c r="F211" s="2">
        <v>2380</v>
      </c>
      <c r="G211" s="2">
        <f t="shared" si="30"/>
        <v>991.66666666666674</v>
      </c>
      <c r="H211" s="4">
        <f>VLOOKUP(B211,nodes!A:D,2,0)</f>
        <v>270</v>
      </c>
      <c r="I211" s="4">
        <f>VLOOKUP(B211,nodes!A:D,4,0)</f>
        <v>0</v>
      </c>
      <c r="J211" s="4">
        <f>VLOOKUP(C211,nodes!A:D,2,0)</f>
        <v>300</v>
      </c>
      <c r="K211" s="4">
        <f>VLOOKUP(C211,nodes!A:D,4,0)</f>
        <v>0</v>
      </c>
      <c r="L211" s="4">
        <f t="shared" si="31"/>
        <v>30</v>
      </c>
      <c r="N211" s="12">
        <f t="shared" si="32"/>
        <v>7437500</v>
      </c>
      <c r="O211" s="12">
        <f t="shared" si="33"/>
        <v>42840000</v>
      </c>
      <c r="P211" s="12">
        <f t="shared" si="34"/>
        <v>11900</v>
      </c>
      <c r="R211" s="23" t="s">
        <v>39</v>
      </c>
      <c r="S211" s="23" t="str">
        <f t="shared" si="35"/>
        <v>210,</v>
      </c>
      <c r="T211" s="23" t="str">
        <f t="shared" si="35"/>
        <v>220,</v>
      </c>
      <c r="U211" s="24">
        <f t="shared" si="36"/>
        <v>221</v>
      </c>
    </row>
    <row r="212" spans="1:21" x14ac:dyDescent="0.25">
      <c r="A212" s="3">
        <v>211</v>
      </c>
      <c r="B212" s="3">
        <v>221</v>
      </c>
      <c r="C212" s="3">
        <v>222</v>
      </c>
      <c r="D212" s="2">
        <f t="shared" si="28"/>
        <v>10985</v>
      </c>
      <c r="E212" s="2">
        <f t="shared" si="29"/>
        <v>5492.5</v>
      </c>
      <c r="F212" s="2">
        <v>2380</v>
      </c>
      <c r="G212" s="2">
        <f t="shared" si="30"/>
        <v>991.66666666666674</v>
      </c>
      <c r="H212" s="4">
        <f>VLOOKUP(B212,nodes!A:D,2,0)</f>
        <v>300</v>
      </c>
      <c r="I212" s="4">
        <f>VLOOKUP(B212,nodes!A:D,4,0)</f>
        <v>0</v>
      </c>
      <c r="J212" s="4">
        <f>VLOOKUP(C212,nodes!A:D,2,0)</f>
        <v>330</v>
      </c>
      <c r="K212" s="4">
        <f>VLOOKUP(C212,nodes!A:D,4,0)</f>
        <v>0</v>
      </c>
      <c r="L212" s="4">
        <f t="shared" si="31"/>
        <v>30</v>
      </c>
      <c r="N212" s="12">
        <f t="shared" si="32"/>
        <v>7437500</v>
      </c>
      <c r="O212" s="12">
        <f t="shared" si="33"/>
        <v>42840000</v>
      </c>
      <c r="P212" s="12">
        <f t="shared" si="34"/>
        <v>11900</v>
      </c>
      <c r="R212" s="23" t="s">
        <v>39</v>
      </c>
      <c r="S212" s="23" t="str">
        <f t="shared" si="35"/>
        <v>211,</v>
      </c>
      <c r="T212" s="23" t="str">
        <f t="shared" si="35"/>
        <v>221,</v>
      </c>
      <c r="U212" s="24">
        <f t="shared" si="36"/>
        <v>222</v>
      </c>
    </row>
    <row r="213" spans="1:21" x14ac:dyDescent="0.25">
      <c r="A213" s="3">
        <v>212</v>
      </c>
      <c r="B213" s="3">
        <v>222</v>
      </c>
      <c r="C213" s="3">
        <v>223</v>
      </c>
      <c r="D213" s="2">
        <f t="shared" si="28"/>
        <v>10985</v>
      </c>
      <c r="E213" s="2">
        <f t="shared" si="29"/>
        <v>5492.5</v>
      </c>
      <c r="F213" s="2">
        <v>2380</v>
      </c>
      <c r="G213" s="2">
        <f t="shared" si="30"/>
        <v>991.66666666666674</v>
      </c>
      <c r="H213" s="4">
        <f>VLOOKUP(B213,nodes!A:D,2,0)</f>
        <v>330</v>
      </c>
      <c r="I213" s="4">
        <f>VLOOKUP(B213,nodes!A:D,4,0)</f>
        <v>0</v>
      </c>
      <c r="J213" s="4">
        <f>VLOOKUP(C213,nodes!A:D,2,0)</f>
        <v>360</v>
      </c>
      <c r="K213" s="4">
        <f>VLOOKUP(C213,nodes!A:D,4,0)</f>
        <v>0</v>
      </c>
      <c r="L213" s="4">
        <f t="shared" si="31"/>
        <v>30</v>
      </c>
      <c r="N213" s="12">
        <f t="shared" si="32"/>
        <v>7437500</v>
      </c>
      <c r="O213" s="12">
        <f t="shared" si="33"/>
        <v>42840000</v>
      </c>
      <c r="P213" s="12">
        <f t="shared" si="34"/>
        <v>11900</v>
      </c>
      <c r="R213" s="23" t="s">
        <v>39</v>
      </c>
      <c r="S213" s="23" t="str">
        <f t="shared" si="35"/>
        <v>212,</v>
      </c>
      <c r="T213" s="23" t="str">
        <f t="shared" si="35"/>
        <v>222,</v>
      </c>
      <c r="U213" s="24">
        <f t="shared" si="36"/>
        <v>223</v>
      </c>
    </row>
    <row r="214" spans="1:21" x14ac:dyDescent="0.25">
      <c r="A214" s="3">
        <v>213</v>
      </c>
      <c r="B214" s="3">
        <v>223</v>
      </c>
      <c r="C214" s="3">
        <v>224</v>
      </c>
      <c r="D214" s="2">
        <f t="shared" si="28"/>
        <v>10985</v>
      </c>
      <c r="E214" s="2">
        <f t="shared" si="29"/>
        <v>5492.5</v>
      </c>
      <c r="F214" s="2">
        <v>2380</v>
      </c>
      <c r="G214" s="2">
        <f t="shared" si="30"/>
        <v>991.66666666666674</v>
      </c>
      <c r="H214" s="4">
        <f>VLOOKUP(B214,nodes!A:D,2,0)</f>
        <v>360</v>
      </c>
      <c r="I214" s="4">
        <f>VLOOKUP(B214,nodes!A:D,4,0)</f>
        <v>0</v>
      </c>
      <c r="J214" s="4">
        <f>VLOOKUP(C214,nodes!A:D,2,0)</f>
        <v>390</v>
      </c>
      <c r="K214" s="4">
        <f>VLOOKUP(C214,nodes!A:D,4,0)</f>
        <v>0</v>
      </c>
      <c r="L214" s="4">
        <f t="shared" si="31"/>
        <v>30</v>
      </c>
      <c r="N214" s="12">
        <f t="shared" si="32"/>
        <v>7437500</v>
      </c>
      <c r="O214" s="12">
        <f t="shared" si="33"/>
        <v>42840000</v>
      </c>
      <c r="P214" s="12">
        <f t="shared" si="34"/>
        <v>11900</v>
      </c>
      <c r="R214" s="23" t="s">
        <v>39</v>
      </c>
      <c r="S214" s="23" t="str">
        <f t="shared" si="35"/>
        <v>213,</v>
      </c>
      <c r="T214" s="23" t="str">
        <f t="shared" si="35"/>
        <v>223,</v>
      </c>
      <c r="U214" s="24">
        <f t="shared" si="36"/>
        <v>224</v>
      </c>
    </row>
    <row r="215" spans="1:21" x14ac:dyDescent="0.25">
      <c r="A215" s="3">
        <v>214</v>
      </c>
      <c r="B215" s="3">
        <v>224</v>
      </c>
      <c r="C215" s="3">
        <v>225</v>
      </c>
      <c r="D215" s="2">
        <f t="shared" si="28"/>
        <v>10985</v>
      </c>
      <c r="E215" s="2">
        <f t="shared" si="29"/>
        <v>5492.5</v>
      </c>
      <c r="F215" s="2">
        <v>2380</v>
      </c>
      <c r="G215" s="2">
        <f t="shared" si="30"/>
        <v>991.66666666666674</v>
      </c>
      <c r="H215" s="4">
        <f>VLOOKUP(B215,nodes!A:D,2,0)</f>
        <v>390</v>
      </c>
      <c r="I215" s="4">
        <f>VLOOKUP(B215,nodes!A:D,4,0)</f>
        <v>0</v>
      </c>
      <c r="J215" s="4">
        <f>VLOOKUP(C215,nodes!A:D,2,0)</f>
        <v>420</v>
      </c>
      <c r="K215" s="4">
        <f>VLOOKUP(C215,nodes!A:D,4,0)</f>
        <v>0</v>
      </c>
      <c r="L215" s="4">
        <f t="shared" si="31"/>
        <v>30</v>
      </c>
      <c r="N215" s="12">
        <f t="shared" si="32"/>
        <v>7437500</v>
      </c>
      <c r="O215" s="12">
        <f t="shared" si="33"/>
        <v>42840000</v>
      </c>
      <c r="P215" s="12">
        <f t="shared" si="34"/>
        <v>11900</v>
      </c>
      <c r="R215" s="23" t="s">
        <v>39</v>
      </c>
      <c r="S215" s="23" t="str">
        <f t="shared" si="35"/>
        <v>214,</v>
      </c>
      <c r="T215" s="23" t="str">
        <f t="shared" si="35"/>
        <v>224,</v>
      </c>
      <c r="U215" s="24">
        <f t="shared" si="36"/>
        <v>225</v>
      </c>
    </row>
    <row r="216" spans="1:21" x14ac:dyDescent="0.25">
      <c r="A216" s="3">
        <v>215</v>
      </c>
      <c r="B216" s="3">
        <v>225</v>
      </c>
      <c r="C216" s="3">
        <v>226</v>
      </c>
      <c r="D216" s="2">
        <f t="shared" si="28"/>
        <v>10985</v>
      </c>
      <c r="E216" s="2">
        <f t="shared" si="29"/>
        <v>5492.5</v>
      </c>
      <c r="F216" s="2">
        <v>2380</v>
      </c>
      <c r="G216" s="2">
        <f t="shared" si="30"/>
        <v>991.66666666666674</v>
      </c>
      <c r="H216" s="4">
        <f>VLOOKUP(B216,nodes!A:D,2,0)</f>
        <v>420</v>
      </c>
      <c r="I216" s="4">
        <f>VLOOKUP(B216,nodes!A:D,4,0)</f>
        <v>0</v>
      </c>
      <c r="J216" s="4">
        <f>VLOOKUP(C216,nodes!A:D,2,0)</f>
        <v>450</v>
      </c>
      <c r="K216" s="4">
        <f>VLOOKUP(C216,nodes!A:D,4,0)</f>
        <v>0</v>
      </c>
      <c r="L216" s="4">
        <f t="shared" si="31"/>
        <v>30</v>
      </c>
      <c r="N216" s="12">
        <f t="shared" si="32"/>
        <v>7437500</v>
      </c>
      <c r="O216" s="12">
        <f t="shared" si="33"/>
        <v>42840000</v>
      </c>
      <c r="P216" s="12">
        <f t="shared" si="34"/>
        <v>11900</v>
      </c>
      <c r="R216" s="23" t="s">
        <v>39</v>
      </c>
      <c r="S216" s="23" t="str">
        <f t="shared" si="35"/>
        <v>215,</v>
      </c>
      <c r="T216" s="23" t="str">
        <f t="shared" si="35"/>
        <v>225,</v>
      </c>
      <c r="U216" s="24">
        <f t="shared" si="36"/>
        <v>226</v>
      </c>
    </row>
    <row r="217" spans="1:21" x14ac:dyDescent="0.25">
      <c r="A217" s="3">
        <v>216</v>
      </c>
      <c r="B217" s="3">
        <v>226</v>
      </c>
      <c r="C217" s="3">
        <v>227</v>
      </c>
      <c r="D217" s="2">
        <f t="shared" si="28"/>
        <v>10985</v>
      </c>
      <c r="E217" s="2">
        <f t="shared" si="29"/>
        <v>5492.5</v>
      </c>
      <c r="F217" s="2">
        <v>2380</v>
      </c>
      <c r="G217" s="2">
        <f t="shared" si="30"/>
        <v>991.66666666666674</v>
      </c>
      <c r="H217" s="4">
        <f>VLOOKUP(B217,nodes!A:D,2,0)</f>
        <v>450</v>
      </c>
      <c r="I217" s="4">
        <f>VLOOKUP(B217,nodes!A:D,4,0)</f>
        <v>0</v>
      </c>
      <c r="J217" s="4">
        <f>VLOOKUP(C217,nodes!A:D,2,0)</f>
        <v>480</v>
      </c>
      <c r="K217" s="4">
        <f>VLOOKUP(C217,nodes!A:D,4,0)</f>
        <v>0</v>
      </c>
      <c r="L217" s="4">
        <f t="shared" si="31"/>
        <v>30</v>
      </c>
      <c r="N217" s="12">
        <f t="shared" si="32"/>
        <v>7437500</v>
      </c>
      <c r="O217" s="12">
        <f t="shared" si="33"/>
        <v>42840000</v>
      </c>
      <c r="P217" s="12">
        <f t="shared" si="34"/>
        <v>11900</v>
      </c>
      <c r="R217" s="23" t="s">
        <v>39</v>
      </c>
      <c r="S217" s="23" t="str">
        <f t="shared" si="35"/>
        <v>216,</v>
      </c>
      <c r="T217" s="23" t="str">
        <f t="shared" si="35"/>
        <v>226,</v>
      </c>
      <c r="U217" s="24">
        <f t="shared" si="36"/>
        <v>227</v>
      </c>
    </row>
    <row r="218" spans="1:21" x14ac:dyDescent="0.25">
      <c r="A218" s="3">
        <v>217</v>
      </c>
      <c r="B218" s="3">
        <v>227</v>
      </c>
      <c r="C218" s="3">
        <v>228</v>
      </c>
      <c r="D218" s="2">
        <f t="shared" si="28"/>
        <v>10985</v>
      </c>
      <c r="E218" s="2">
        <f t="shared" si="29"/>
        <v>5492.5</v>
      </c>
      <c r="F218" s="2">
        <v>2380</v>
      </c>
      <c r="G218" s="2">
        <f t="shared" si="30"/>
        <v>991.66666666666674</v>
      </c>
      <c r="H218" s="4">
        <f>VLOOKUP(B218,nodes!A:D,2,0)</f>
        <v>480</v>
      </c>
      <c r="I218" s="4">
        <f>VLOOKUP(B218,nodes!A:D,4,0)</f>
        <v>0</v>
      </c>
      <c r="J218" s="4">
        <f>VLOOKUP(C218,nodes!A:D,2,0)</f>
        <v>509.99999999999994</v>
      </c>
      <c r="K218" s="4">
        <f>VLOOKUP(C218,nodes!A:D,4,0)</f>
        <v>0</v>
      </c>
      <c r="L218" s="4">
        <f t="shared" si="31"/>
        <v>29.999999999999943</v>
      </c>
      <c r="N218" s="12">
        <f t="shared" si="32"/>
        <v>7437500</v>
      </c>
      <c r="O218" s="12">
        <f t="shared" si="33"/>
        <v>42840000</v>
      </c>
      <c r="P218" s="12">
        <f t="shared" si="34"/>
        <v>11900</v>
      </c>
      <c r="R218" s="23" t="s">
        <v>39</v>
      </c>
      <c r="S218" s="23" t="str">
        <f t="shared" si="35"/>
        <v>217,</v>
      </c>
      <c r="T218" s="23" t="str">
        <f t="shared" si="35"/>
        <v>227,</v>
      </c>
      <c r="U218" s="24">
        <f t="shared" si="36"/>
        <v>228</v>
      </c>
    </row>
    <row r="219" spans="1:21" x14ac:dyDescent="0.25">
      <c r="A219" s="3">
        <v>218</v>
      </c>
      <c r="B219" s="3">
        <v>228</v>
      </c>
      <c r="C219" s="3">
        <v>229</v>
      </c>
      <c r="D219" s="2">
        <f t="shared" si="28"/>
        <v>10985</v>
      </c>
      <c r="E219" s="2">
        <f t="shared" si="29"/>
        <v>5492.5</v>
      </c>
      <c r="F219" s="2">
        <v>2380</v>
      </c>
      <c r="G219" s="2">
        <f t="shared" si="30"/>
        <v>991.66666666666674</v>
      </c>
      <c r="H219" s="4">
        <f>VLOOKUP(B219,nodes!A:D,2,0)</f>
        <v>509.99999999999994</v>
      </c>
      <c r="I219" s="4">
        <f>VLOOKUP(B219,nodes!A:D,4,0)</f>
        <v>0</v>
      </c>
      <c r="J219" s="4">
        <f>VLOOKUP(C219,nodes!A:D,2,0)</f>
        <v>540</v>
      </c>
      <c r="K219" s="4">
        <f>VLOOKUP(C219,nodes!A:D,4,0)</f>
        <v>0</v>
      </c>
      <c r="L219" s="4">
        <f t="shared" si="31"/>
        <v>30.000000000000057</v>
      </c>
      <c r="N219" s="12">
        <f t="shared" si="32"/>
        <v>7437500</v>
      </c>
      <c r="O219" s="12">
        <f t="shared" si="33"/>
        <v>42840000</v>
      </c>
      <c r="P219" s="12">
        <f t="shared" si="34"/>
        <v>11900</v>
      </c>
      <c r="R219" s="23" t="s">
        <v>39</v>
      </c>
      <c r="S219" s="23" t="str">
        <f t="shared" si="35"/>
        <v>218,</v>
      </c>
      <c r="T219" s="23" t="str">
        <f t="shared" si="35"/>
        <v>228,</v>
      </c>
      <c r="U219" s="24">
        <f t="shared" si="36"/>
        <v>229</v>
      </c>
    </row>
    <row r="220" spans="1:21" x14ac:dyDescent="0.25">
      <c r="A220" s="3">
        <v>219</v>
      </c>
      <c r="B220" s="3">
        <v>229</v>
      </c>
      <c r="C220" s="3">
        <v>230</v>
      </c>
      <c r="D220" s="2">
        <f t="shared" si="28"/>
        <v>10985</v>
      </c>
      <c r="E220" s="2">
        <f t="shared" si="29"/>
        <v>5492.5</v>
      </c>
      <c r="F220" s="2">
        <v>2380</v>
      </c>
      <c r="G220" s="2">
        <f t="shared" si="30"/>
        <v>991.66666666666674</v>
      </c>
      <c r="H220" s="4">
        <f>VLOOKUP(B220,nodes!A:D,2,0)</f>
        <v>540</v>
      </c>
      <c r="I220" s="4">
        <f>VLOOKUP(B220,nodes!A:D,4,0)</f>
        <v>0</v>
      </c>
      <c r="J220" s="4">
        <f>VLOOKUP(C220,nodes!A:D,2,0)</f>
        <v>570</v>
      </c>
      <c r="K220" s="4">
        <f>VLOOKUP(C220,nodes!A:D,4,0)</f>
        <v>0</v>
      </c>
      <c r="L220" s="4">
        <f t="shared" si="31"/>
        <v>30</v>
      </c>
      <c r="N220" s="12">
        <f t="shared" si="32"/>
        <v>7437500</v>
      </c>
      <c r="O220" s="12">
        <f t="shared" si="33"/>
        <v>42840000</v>
      </c>
      <c r="P220" s="12">
        <f t="shared" si="34"/>
        <v>11900</v>
      </c>
      <c r="R220" s="23" t="s">
        <v>39</v>
      </c>
      <c r="S220" s="23" t="str">
        <f t="shared" si="35"/>
        <v>219,</v>
      </c>
      <c r="T220" s="23" t="str">
        <f t="shared" si="35"/>
        <v>229,</v>
      </c>
      <c r="U220" s="24">
        <f t="shared" si="36"/>
        <v>230</v>
      </c>
    </row>
    <row r="221" spans="1:21" x14ac:dyDescent="0.25">
      <c r="A221" s="3">
        <v>220</v>
      </c>
      <c r="B221" s="3">
        <v>230</v>
      </c>
      <c r="C221" s="3">
        <v>231</v>
      </c>
      <c r="D221" s="2">
        <f t="shared" si="28"/>
        <v>10985</v>
      </c>
      <c r="E221" s="2">
        <f t="shared" si="29"/>
        <v>5492.5</v>
      </c>
      <c r="F221" s="2">
        <v>2380</v>
      </c>
      <c r="G221" s="2">
        <f t="shared" si="30"/>
        <v>991.66666666666674</v>
      </c>
      <c r="H221" s="4">
        <f>VLOOKUP(B221,nodes!A:D,2,0)</f>
        <v>570</v>
      </c>
      <c r="I221" s="4">
        <f>VLOOKUP(B221,nodes!A:D,4,0)</f>
        <v>0</v>
      </c>
      <c r="J221" s="4">
        <f>VLOOKUP(C221,nodes!A:D,2,0)</f>
        <v>600</v>
      </c>
      <c r="K221" s="4">
        <f>VLOOKUP(C221,nodes!A:D,4,0)</f>
        <v>0</v>
      </c>
      <c r="L221" s="4">
        <f t="shared" si="31"/>
        <v>30</v>
      </c>
      <c r="N221" s="12">
        <f t="shared" si="32"/>
        <v>7437500</v>
      </c>
      <c r="O221" s="12">
        <f t="shared" si="33"/>
        <v>42840000</v>
      </c>
      <c r="P221" s="12">
        <f t="shared" si="34"/>
        <v>11900</v>
      </c>
      <c r="R221" s="23" t="s">
        <v>39</v>
      </c>
      <c r="S221" s="23" t="str">
        <f t="shared" si="35"/>
        <v>220,</v>
      </c>
      <c r="T221" s="23" t="str">
        <f t="shared" si="35"/>
        <v>230,</v>
      </c>
      <c r="U221" s="24">
        <f t="shared" si="36"/>
        <v>231</v>
      </c>
    </row>
    <row r="222" spans="1:21" x14ac:dyDescent="0.25">
      <c r="A222" s="3">
        <v>221</v>
      </c>
      <c r="B222" s="3">
        <v>1</v>
      </c>
      <c r="C222" s="3">
        <v>22</v>
      </c>
      <c r="D222" s="2">
        <f t="shared" si="28"/>
        <v>10985</v>
      </c>
      <c r="E222" s="2">
        <f t="shared" si="29"/>
        <v>5492.5</v>
      </c>
      <c r="F222" s="2">
        <v>2380</v>
      </c>
      <c r="G222" s="2">
        <f t="shared" si="30"/>
        <v>991.66666666666674</v>
      </c>
      <c r="H222" s="4">
        <f>VLOOKUP(B222,nodes!A:D,2,0)</f>
        <v>0</v>
      </c>
      <c r="I222" s="4">
        <f>VLOOKUP(B222,nodes!A:D,4,0)</f>
        <v>300</v>
      </c>
      <c r="J222" s="4">
        <f>VLOOKUP(C222,nodes!A:D,2,0)</f>
        <v>0</v>
      </c>
      <c r="K222" s="4">
        <f>VLOOKUP(C222,nodes!A:D,4,0)</f>
        <v>270</v>
      </c>
      <c r="L222" s="4">
        <f t="shared" si="31"/>
        <v>30</v>
      </c>
      <c r="N222" s="12">
        <f t="shared" si="32"/>
        <v>7437500</v>
      </c>
      <c r="O222" s="12">
        <f t="shared" si="33"/>
        <v>42840000</v>
      </c>
      <c r="P222" s="12">
        <f t="shared" si="34"/>
        <v>11900</v>
      </c>
      <c r="R222" s="23" t="s">
        <v>39</v>
      </c>
      <c r="S222" s="23" t="str">
        <f t="shared" si="35"/>
        <v>221,</v>
      </c>
      <c r="T222" s="23" t="str">
        <f t="shared" si="35"/>
        <v>1,</v>
      </c>
      <c r="U222" s="24">
        <f t="shared" si="36"/>
        <v>22</v>
      </c>
    </row>
    <row r="223" spans="1:21" x14ac:dyDescent="0.25">
      <c r="A223" s="3">
        <v>222</v>
      </c>
      <c r="B223" s="3">
        <v>22</v>
      </c>
      <c r="C223" s="3">
        <v>43</v>
      </c>
      <c r="D223" s="2">
        <f t="shared" si="28"/>
        <v>10985</v>
      </c>
      <c r="E223" s="2">
        <f t="shared" si="29"/>
        <v>5492.5</v>
      </c>
      <c r="F223" s="2">
        <v>2380</v>
      </c>
      <c r="G223" s="2">
        <f t="shared" si="30"/>
        <v>991.66666666666674</v>
      </c>
      <c r="H223" s="4">
        <f>VLOOKUP(B223,nodes!A:D,2,0)</f>
        <v>0</v>
      </c>
      <c r="I223" s="4">
        <f>VLOOKUP(B223,nodes!A:D,4,0)</f>
        <v>270</v>
      </c>
      <c r="J223" s="4">
        <f>VLOOKUP(C223,nodes!A:D,2,0)</f>
        <v>0</v>
      </c>
      <c r="K223" s="4">
        <f>VLOOKUP(C223,nodes!A:D,4,0)</f>
        <v>240</v>
      </c>
      <c r="L223" s="4">
        <f t="shared" si="31"/>
        <v>30</v>
      </c>
      <c r="N223" s="12">
        <f t="shared" si="32"/>
        <v>7437500</v>
      </c>
      <c r="O223" s="12">
        <f t="shared" si="33"/>
        <v>42840000</v>
      </c>
      <c r="P223" s="12">
        <f t="shared" si="34"/>
        <v>11900</v>
      </c>
      <c r="R223" s="23" t="s">
        <v>39</v>
      </c>
      <c r="S223" s="23" t="str">
        <f t="shared" si="35"/>
        <v>222,</v>
      </c>
      <c r="T223" s="23" t="str">
        <f t="shared" si="35"/>
        <v>22,</v>
      </c>
      <c r="U223" s="24">
        <f t="shared" si="36"/>
        <v>43</v>
      </c>
    </row>
    <row r="224" spans="1:21" x14ac:dyDescent="0.25">
      <c r="A224" s="3">
        <v>223</v>
      </c>
      <c r="B224" s="3">
        <v>43</v>
      </c>
      <c r="C224" s="3">
        <v>64</v>
      </c>
      <c r="D224" s="2">
        <f t="shared" si="28"/>
        <v>10985</v>
      </c>
      <c r="E224" s="2">
        <f t="shared" si="29"/>
        <v>5492.5</v>
      </c>
      <c r="F224" s="2">
        <v>2380</v>
      </c>
      <c r="G224" s="2">
        <f t="shared" si="30"/>
        <v>991.66666666666674</v>
      </c>
      <c r="H224" s="4">
        <f>VLOOKUP(B224,nodes!A:D,2,0)</f>
        <v>0</v>
      </c>
      <c r="I224" s="4">
        <f>VLOOKUP(B224,nodes!A:D,4,0)</f>
        <v>240</v>
      </c>
      <c r="J224" s="4">
        <f>VLOOKUP(C224,nodes!A:D,2,0)</f>
        <v>0</v>
      </c>
      <c r="K224" s="4">
        <f>VLOOKUP(C224,nodes!A:D,4,0)</f>
        <v>210</v>
      </c>
      <c r="L224" s="4">
        <f t="shared" si="31"/>
        <v>30</v>
      </c>
      <c r="N224" s="12">
        <f t="shared" si="32"/>
        <v>7437500</v>
      </c>
      <c r="O224" s="12">
        <f t="shared" si="33"/>
        <v>42840000</v>
      </c>
      <c r="P224" s="12">
        <f t="shared" si="34"/>
        <v>11900</v>
      </c>
      <c r="R224" s="23" t="s">
        <v>39</v>
      </c>
      <c r="S224" s="23" t="str">
        <f t="shared" si="35"/>
        <v>223,</v>
      </c>
      <c r="T224" s="23" t="str">
        <f t="shared" si="35"/>
        <v>43,</v>
      </c>
      <c r="U224" s="24">
        <f t="shared" si="36"/>
        <v>64</v>
      </c>
    </row>
    <row r="225" spans="1:21" x14ac:dyDescent="0.25">
      <c r="A225" s="3">
        <v>224</v>
      </c>
      <c r="B225" s="3">
        <v>64</v>
      </c>
      <c r="C225" s="3">
        <v>85</v>
      </c>
      <c r="D225" s="2">
        <f t="shared" si="28"/>
        <v>10985</v>
      </c>
      <c r="E225" s="2">
        <f t="shared" si="29"/>
        <v>5492.5</v>
      </c>
      <c r="F225" s="2">
        <v>2380</v>
      </c>
      <c r="G225" s="2">
        <f t="shared" si="30"/>
        <v>991.66666666666674</v>
      </c>
      <c r="H225" s="4">
        <f>VLOOKUP(B225,nodes!A:D,2,0)</f>
        <v>0</v>
      </c>
      <c r="I225" s="4">
        <f>VLOOKUP(B225,nodes!A:D,4,0)</f>
        <v>210</v>
      </c>
      <c r="J225" s="4">
        <f>VLOOKUP(C225,nodes!A:D,2,0)</f>
        <v>0</v>
      </c>
      <c r="K225" s="4">
        <f>VLOOKUP(C225,nodes!A:D,4,0)</f>
        <v>180</v>
      </c>
      <c r="L225" s="4">
        <f t="shared" si="31"/>
        <v>30</v>
      </c>
      <c r="N225" s="12">
        <f t="shared" si="32"/>
        <v>7437500</v>
      </c>
      <c r="O225" s="12">
        <f t="shared" si="33"/>
        <v>42840000</v>
      </c>
      <c r="P225" s="12">
        <f t="shared" si="34"/>
        <v>11900</v>
      </c>
      <c r="R225" s="23" t="s">
        <v>39</v>
      </c>
      <c r="S225" s="23" t="str">
        <f t="shared" si="35"/>
        <v>224,</v>
      </c>
      <c r="T225" s="23" t="str">
        <f t="shared" si="35"/>
        <v>64,</v>
      </c>
      <c r="U225" s="24">
        <f t="shared" si="36"/>
        <v>85</v>
      </c>
    </row>
    <row r="226" spans="1:21" x14ac:dyDescent="0.25">
      <c r="A226" s="3">
        <v>225</v>
      </c>
      <c r="B226" s="3">
        <v>85</v>
      </c>
      <c r="C226" s="3">
        <v>106</v>
      </c>
      <c r="D226" s="2">
        <f t="shared" si="28"/>
        <v>10985</v>
      </c>
      <c r="E226" s="2">
        <f t="shared" si="29"/>
        <v>5492.5</v>
      </c>
      <c r="F226" s="2">
        <v>2380</v>
      </c>
      <c r="G226" s="2">
        <f t="shared" si="30"/>
        <v>991.66666666666674</v>
      </c>
      <c r="H226" s="4">
        <f>VLOOKUP(B226,nodes!A:D,2,0)</f>
        <v>0</v>
      </c>
      <c r="I226" s="4">
        <f>VLOOKUP(B226,nodes!A:D,4,0)</f>
        <v>180</v>
      </c>
      <c r="J226" s="4">
        <f>VLOOKUP(C226,nodes!A:D,2,0)</f>
        <v>0</v>
      </c>
      <c r="K226" s="4">
        <f>VLOOKUP(C226,nodes!A:D,4,0)</f>
        <v>150</v>
      </c>
      <c r="L226" s="4">
        <f t="shared" si="31"/>
        <v>30</v>
      </c>
      <c r="N226" s="12">
        <f t="shared" si="32"/>
        <v>7437500</v>
      </c>
      <c r="O226" s="12">
        <f t="shared" si="33"/>
        <v>42840000</v>
      </c>
      <c r="P226" s="12">
        <f t="shared" si="34"/>
        <v>11900</v>
      </c>
      <c r="R226" s="23" t="s">
        <v>39</v>
      </c>
      <c r="S226" s="23" t="str">
        <f t="shared" si="35"/>
        <v>225,</v>
      </c>
      <c r="T226" s="23" t="str">
        <f t="shared" si="35"/>
        <v>85,</v>
      </c>
      <c r="U226" s="24">
        <f t="shared" si="36"/>
        <v>106</v>
      </c>
    </row>
    <row r="227" spans="1:21" x14ac:dyDescent="0.25">
      <c r="A227" s="3">
        <v>226</v>
      </c>
      <c r="B227" s="3">
        <v>106</v>
      </c>
      <c r="C227" s="3">
        <v>127</v>
      </c>
      <c r="D227" s="2">
        <f t="shared" si="28"/>
        <v>10985</v>
      </c>
      <c r="E227" s="2">
        <f t="shared" si="29"/>
        <v>5492.5</v>
      </c>
      <c r="F227" s="2">
        <v>2380</v>
      </c>
      <c r="G227" s="2">
        <f t="shared" si="30"/>
        <v>991.66666666666674</v>
      </c>
      <c r="H227" s="4">
        <f>VLOOKUP(B227,nodes!A:D,2,0)</f>
        <v>0</v>
      </c>
      <c r="I227" s="4">
        <f>VLOOKUP(B227,nodes!A:D,4,0)</f>
        <v>150</v>
      </c>
      <c r="J227" s="4">
        <f>VLOOKUP(C227,nodes!A:D,2,0)</f>
        <v>0</v>
      </c>
      <c r="K227" s="4">
        <f>VLOOKUP(C227,nodes!A:D,4,0)</f>
        <v>120</v>
      </c>
      <c r="L227" s="4">
        <f t="shared" si="31"/>
        <v>30</v>
      </c>
      <c r="N227" s="12">
        <f t="shared" si="32"/>
        <v>7437500</v>
      </c>
      <c r="O227" s="12">
        <f t="shared" si="33"/>
        <v>42840000</v>
      </c>
      <c r="P227" s="12">
        <f t="shared" si="34"/>
        <v>11900</v>
      </c>
      <c r="R227" s="23" t="s">
        <v>39</v>
      </c>
      <c r="S227" s="23" t="str">
        <f t="shared" si="35"/>
        <v>226,</v>
      </c>
      <c r="T227" s="23" t="str">
        <f t="shared" si="35"/>
        <v>106,</v>
      </c>
      <c r="U227" s="24">
        <f t="shared" si="36"/>
        <v>127</v>
      </c>
    </row>
    <row r="228" spans="1:21" x14ac:dyDescent="0.25">
      <c r="A228" s="3">
        <v>227</v>
      </c>
      <c r="B228" s="3">
        <v>127</v>
      </c>
      <c r="C228" s="3">
        <v>148</v>
      </c>
      <c r="D228" s="2">
        <f t="shared" si="28"/>
        <v>10985</v>
      </c>
      <c r="E228" s="2">
        <f t="shared" si="29"/>
        <v>5492.5</v>
      </c>
      <c r="F228" s="2">
        <v>2380</v>
      </c>
      <c r="G228" s="2">
        <f t="shared" si="30"/>
        <v>991.66666666666674</v>
      </c>
      <c r="H228" s="4">
        <f>VLOOKUP(B228,nodes!A:D,2,0)</f>
        <v>0</v>
      </c>
      <c r="I228" s="4">
        <f>VLOOKUP(B228,nodes!A:D,4,0)</f>
        <v>120</v>
      </c>
      <c r="J228" s="4">
        <f>VLOOKUP(C228,nodes!A:D,2,0)</f>
        <v>0</v>
      </c>
      <c r="K228" s="4">
        <f>VLOOKUP(C228,nodes!A:D,4,0)</f>
        <v>90</v>
      </c>
      <c r="L228" s="4">
        <f t="shared" si="31"/>
        <v>30</v>
      </c>
      <c r="N228" s="12">
        <f t="shared" si="32"/>
        <v>7437500</v>
      </c>
      <c r="O228" s="12">
        <f t="shared" si="33"/>
        <v>42840000</v>
      </c>
      <c r="P228" s="12">
        <f t="shared" si="34"/>
        <v>11900</v>
      </c>
      <c r="R228" s="23" t="s">
        <v>39</v>
      </c>
      <c r="S228" s="23" t="str">
        <f t="shared" si="35"/>
        <v>227,</v>
      </c>
      <c r="T228" s="23" t="str">
        <f t="shared" si="35"/>
        <v>127,</v>
      </c>
      <c r="U228" s="24">
        <f t="shared" si="36"/>
        <v>148</v>
      </c>
    </row>
    <row r="229" spans="1:21" x14ac:dyDescent="0.25">
      <c r="A229" s="3">
        <v>228</v>
      </c>
      <c r="B229" s="3">
        <v>148</v>
      </c>
      <c r="C229" s="3">
        <v>169</v>
      </c>
      <c r="D229" s="2">
        <f t="shared" si="28"/>
        <v>10985</v>
      </c>
      <c r="E229" s="2">
        <f t="shared" si="29"/>
        <v>5492.5</v>
      </c>
      <c r="F229" s="2">
        <v>2380</v>
      </c>
      <c r="G229" s="2">
        <f t="shared" si="30"/>
        <v>991.66666666666674</v>
      </c>
      <c r="H229" s="4">
        <f>VLOOKUP(B229,nodes!A:D,2,0)</f>
        <v>0</v>
      </c>
      <c r="I229" s="4">
        <f>VLOOKUP(B229,nodes!A:D,4,0)</f>
        <v>90</v>
      </c>
      <c r="J229" s="4">
        <f>VLOOKUP(C229,nodes!A:D,2,0)</f>
        <v>0</v>
      </c>
      <c r="K229" s="4">
        <f>VLOOKUP(C229,nodes!A:D,4,0)</f>
        <v>60</v>
      </c>
      <c r="L229" s="4">
        <f t="shared" si="31"/>
        <v>30</v>
      </c>
      <c r="N229" s="12">
        <f t="shared" si="32"/>
        <v>7437500</v>
      </c>
      <c r="O229" s="12">
        <f t="shared" si="33"/>
        <v>42840000</v>
      </c>
      <c r="P229" s="12">
        <f t="shared" si="34"/>
        <v>11900</v>
      </c>
      <c r="R229" s="23" t="s">
        <v>39</v>
      </c>
      <c r="S229" s="23" t="str">
        <f t="shared" si="35"/>
        <v>228,</v>
      </c>
      <c r="T229" s="23" t="str">
        <f t="shared" si="35"/>
        <v>148,</v>
      </c>
      <c r="U229" s="24">
        <f t="shared" si="36"/>
        <v>169</v>
      </c>
    </row>
    <row r="230" spans="1:21" x14ac:dyDescent="0.25">
      <c r="A230" s="3">
        <v>229</v>
      </c>
      <c r="B230" s="3">
        <v>169</v>
      </c>
      <c r="C230" s="3">
        <v>190</v>
      </c>
      <c r="D230" s="2">
        <f t="shared" si="28"/>
        <v>10985</v>
      </c>
      <c r="E230" s="2">
        <f t="shared" si="29"/>
        <v>5492.5</v>
      </c>
      <c r="F230" s="2">
        <v>2380</v>
      </c>
      <c r="G230" s="2">
        <f t="shared" si="30"/>
        <v>991.66666666666674</v>
      </c>
      <c r="H230" s="4">
        <f>VLOOKUP(B230,nodes!A:D,2,0)</f>
        <v>0</v>
      </c>
      <c r="I230" s="4">
        <f>VLOOKUP(B230,nodes!A:D,4,0)</f>
        <v>60</v>
      </c>
      <c r="J230" s="4">
        <f>VLOOKUP(C230,nodes!A:D,2,0)</f>
        <v>0</v>
      </c>
      <c r="K230" s="4">
        <f>VLOOKUP(C230,nodes!A:D,4,0)</f>
        <v>30</v>
      </c>
      <c r="L230" s="4">
        <f t="shared" si="31"/>
        <v>30</v>
      </c>
      <c r="N230" s="12">
        <f t="shared" si="32"/>
        <v>7437500</v>
      </c>
      <c r="O230" s="12">
        <f t="shared" si="33"/>
        <v>42840000</v>
      </c>
      <c r="P230" s="12">
        <f t="shared" si="34"/>
        <v>11900</v>
      </c>
      <c r="R230" s="23" t="s">
        <v>39</v>
      </c>
      <c r="S230" s="23" t="str">
        <f t="shared" si="35"/>
        <v>229,</v>
      </c>
      <c r="T230" s="23" t="str">
        <f t="shared" si="35"/>
        <v>169,</v>
      </c>
      <c r="U230" s="24">
        <f t="shared" si="36"/>
        <v>190</v>
      </c>
    </row>
    <row r="231" spans="1:21" x14ac:dyDescent="0.25">
      <c r="A231" s="3">
        <v>230</v>
      </c>
      <c r="B231" s="3">
        <v>190</v>
      </c>
      <c r="C231" s="3">
        <v>211</v>
      </c>
      <c r="D231" s="2">
        <f t="shared" si="28"/>
        <v>10985</v>
      </c>
      <c r="E231" s="2">
        <f t="shared" si="29"/>
        <v>5492.5</v>
      </c>
      <c r="F231" s="2">
        <v>2380</v>
      </c>
      <c r="G231" s="2">
        <f t="shared" si="30"/>
        <v>991.66666666666674</v>
      </c>
      <c r="H231" s="4">
        <f>VLOOKUP(B231,nodes!A:D,2,0)</f>
        <v>0</v>
      </c>
      <c r="I231" s="4">
        <f>VLOOKUP(B231,nodes!A:D,4,0)</f>
        <v>30</v>
      </c>
      <c r="J231" s="4">
        <f>VLOOKUP(C231,nodes!A:D,2,0)</f>
        <v>0</v>
      </c>
      <c r="K231" s="4">
        <f>VLOOKUP(C231,nodes!A:D,4,0)</f>
        <v>0</v>
      </c>
      <c r="L231" s="4">
        <f t="shared" si="31"/>
        <v>30</v>
      </c>
      <c r="N231" s="12">
        <f t="shared" si="32"/>
        <v>7437500</v>
      </c>
      <c r="O231" s="12">
        <f t="shared" si="33"/>
        <v>42840000</v>
      </c>
      <c r="P231" s="12">
        <f t="shared" si="34"/>
        <v>11900</v>
      </c>
      <c r="R231" s="23" t="s">
        <v>39</v>
      </c>
      <c r="S231" s="23" t="str">
        <f t="shared" si="35"/>
        <v>230,</v>
      </c>
      <c r="T231" s="23" t="str">
        <f t="shared" si="35"/>
        <v>190,</v>
      </c>
      <c r="U231" s="24">
        <f t="shared" si="36"/>
        <v>211</v>
      </c>
    </row>
    <row r="232" spans="1:21" x14ac:dyDescent="0.25">
      <c r="A232" s="3">
        <v>231</v>
      </c>
      <c r="B232" s="3">
        <v>2</v>
      </c>
      <c r="C232" s="3">
        <v>23</v>
      </c>
      <c r="D232" s="2">
        <f t="shared" si="28"/>
        <v>10985</v>
      </c>
      <c r="E232" s="2">
        <f t="shared" si="29"/>
        <v>5492.5</v>
      </c>
      <c r="F232" s="2">
        <v>2380</v>
      </c>
      <c r="G232" s="2">
        <f t="shared" si="30"/>
        <v>991.66666666666674</v>
      </c>
      <c r="H232" s="4">
        <f>VLOOKUP(B232,nodes!A:D,2,0)</f>
        <v>30</v>
      </c>
      <c r="I232" s="4">
        <f>VLOOKUP(B232,nodes!A:D,4,0)</f>
        <v>300</v>
      </c>
      <c r="J232" s="4">
        <f>VLOOKUP(C232,nodes!A:D,2,0)</f>
        <v>30</v>
      </c>
      <c r="K232" s="4">
        <f>VLOOKUP(C232,nodes!A:D,4,0)</f>
        <v>270</v>
      </c>
      <c r="L232" s="4">
        <f t="shared" si="31"/>
        <v>30</v>
      </c>
      <c r="N232" s="12">
        <f t="shared" si="32"/>
        <v>7437500</v>
      </c>
      <c r="O232" s="12">
        <f t="shared" si="33"/>
        <v>42840000</v>
      </c>
      <c r="P232" s="12">
        <f t="shared" si="34"/>
        <v>11900</v>
      </c>
      <c r="R232" s="23" t="s">
        <v>39</v>
      </c>
      <c r="S232" s="23" t="str">
        <f t="shared" si="35"/>
        <v>231,</v>
      </c>
      <c r="T232" s="23" t="str">
        <f t="shared" si="35"/>
        <v>2,</v>
      </c>
      <c r="U232" s="24">
        <f t="shared" si="36"/>
        <v>23</v>
      </c>
    </row>
    <row r="233" spans="1:21" x14ac:dyDescent="0.25">
      <c r="A233" s="3">
        <v>232</v>
      </c>
      <c r="B233" s="3">
        <v>23</v>
      </c>
      <c r="C233" s="3">
        <v>44</v>
      </c>
      <c r="D233" s="2">
        <f t="shared" si="28"/>
        <v>10985</v>
      </c>
      <c r="E233" s="2">
        <f t="shared" si="29"/>
        <v>5492.5</v>
      </c>
      <c r="F233" s="2">
        <v>2380</v>
      </c>
      <c r="G233" s="2">
        <f t="shared" si="30"/>
        <v>991.66666666666674</v>
      </c>
      <c r="H233" s="4">
        <f>VLOOKUP(B233,nodes!A:D,2,0)</f>
        <v>30</v>
      </c>
      <c r="I233" s="4">
        <f>VLOOKUP(B233,nodes!A:D,4,0)</f>
        <v>270</v>
      </c>
      <c r="J233" s="4">
        <f>VLOOKUP(C233,nodes!A:D,2,0)</f>
        <v>30</v>
      </c>
      <c r="K233" s="4">
        <f>VLOOKUP(C233,nodes!A:D,4,0)</f>
        <v>240</v>
      </c>
      <c r="L233" s="4">
        <f t="shared" si="31"/>
        <v>30</v>
      </c>
      <c r="N233" s="12">
        <f t="shared" si="32"/>
        <v>7437500</v>
      </c>
      <c r="O233" s="12">
        <f t="shared" si="33"/>
        <v>42840000</v>
      </c>
      <c r="P233" s="12">
        <f t="shared" si="34"/>
        <v>11900</v>
      </c>
      <c r="R233" s="23" t="s">
        <v>39</v>
      </c>
      <c r="S233" s="23" t="str">
        <f t="shared" si="35"/>
        <v>232,</v>
      </c>
      <c r="T233" s="23" t="str">
        <f t="shared" si="35"/>
        <v>23,</v>
      </c>
      <c r="U233" s="24">
        <f t="shared" si="36"/>
        <v>44</v>
      </c>
    </row>
    <row r="234" spans="1:21" x14ac:dyDescent="0.25">
      <c r="A234" s="3">
        <v>233</v>
      </c>
      <c r="B234" s="3">
        <v>44</v>
      </c>
      <c r="C234" s="3">
        <v>65</v>
      </c>
      <c r="D234" s="2">
        <f t="shared" si="28"/>
        <v>10985</v>
      </c>
      <c r="E234" s="2">
        <f t="shared" si="29"/>
        <v>5492.5</v>
      </c>
      <c r="F234" s="2">
        <v>2380</v>
      </c>
      <c r="G234" s="2">
        <f t="shared" si="30"/>
        <v>991.66666666666674</v>
      </c>
      <c r="H234" s="4">
        <f>VLOOKUP(B234,nodes!A:D,2,0)</f>
        <v>30</v>
      </c>
      <c r="I234" s="4">
        <f>VLOOKUP(B234,nodes!A:D,4,0)</f>
        <v>240</v>
      </c>
      <c r="J234" s="4">
        <f>VLOOKUP(C234,nodes!A:D,2,0)</f>
        <v>30</v>
      </c>
      <c r="K234" s="4">
        <f>VLOOKUP(C234,nodes!A:D,4,0)</f>
        <v>210</v>
      </c>
      <c r="L234" s="4">
        <f t="shared" si="31"/>
        <v>30</v>
      </c>
      <c r="N234" s="12">
        <f t="shared" si="32"/>
        <v>7437500</v>
      </c>
      <c r="O234" s="12">
        <f t="shared" si="33"/>
        <v>42840000</v>
      </c>
      <c r="P234" s="12">
        <f t="shared" si="34"/>
        <v>11900</v>
      </c>
      <c r="R234" s="23" t="s">
        <v>39</v>
      </c>
      <c r="S234" s="23" t="str">
        <f t="shared" si="35"/>
        <v>233,</v>
      </c>
      <c r="T234" s="23" t="str">
        <f t="shared" si="35"/>
        <v>44,</v>
      </c>
      <c r="U234" s="24">
        <f t="shared" si="36"/>
        <v>65</v>
      </c>
    </row>
    <row r="235" spans="1:21" x14ac:dyDescent="0.25">
      <c r="A235" s="3">
        <v>234</v>
      </c>
      <c r="B235" s="3">
        <v>65</v>
      </c>
      <c r="C235" s="3">
        <v>86</v>
      </c>
      <c r="D235" s="2">
        <f t="shared" si="28"/>
        <v>10985</v>
      </c>
      <c r="E235" s="2">
        <f t="shared" si="29"/>
        <v>5492.5</v>
      </c>
      <c r="F235" s="2">
        <v>2380</v>
      </c>
      <c r="G235" s="2">
        <f t="shared" si="30"/>
        <v>991.66666666666674</v>
      </c>
      <c r="H235" s="4">
        <f>VLOOKUP(B235,nodes!A:D,2,0)</f>
        <v>30</v>
      </c>
      <c r="I235" s="4">
        <f>VLOOKUP(B235,nodes!A:D,4,0)</f>
        <v>210</v>
      </c>
      <c r="J235" s="4">
        <f>VLOOKUP(C235,nodes!A:D,2,0)</f>
        <v>30</v>
      </c>
      <c r="K235" s="4">
        <f>VLOOKUP(C235,nodes!A:D,4,0)</f>
        <v>180</v>
      </c>
      <c r="L235" s="4">
        <f t="shared" si="31"/>
        <v>30</v>
      </c>
      <c r="N235" s="12">
        <f t="shared" si="32"/>
        <v>7437500</v>
      </c>
      <c r="O235" s="12">
        <f t="shared" si="33"/>
        <v>42840000</v>
      </c>
      <c r="P235" s="12">
        <f t="shared" si="34"/>
        <v>11900</v>
      </c>
      <c r="R235" s="23" t="s">
        <v>39</v>
      </c>
      <c r="S235" s="23" t="str">
        <f t="shared" si="35"/>
        <v>234,</v>
      </c>
      <c r="T235" s="23" t="str">
        <f t="shared" si="35"/>
        <v>65,</v>
      </c>
      <c r="U235" s="24">
        <f t="shared" si="36"/>
        <v>86</v>
      </c>
    </row>
    <row r="236" spans="1:21" x14ac:dyDescent="0.25">
      <c r="A236" s="3">
        <v>235</v>
      </c>
      <c r="B236" s="3">
        <v>86</v>
      </c>
      <c r="C236" s="3">
        <v>107</v>
      </c>
      <c r="D236" s="2">
        <f t="shared" si="28"/>
        <v>10985</v>
      </c>
      <c r="E236" s="2">
        <f t="shared" si="29"/>
        <v>5492.5</v>
      </c>
      <c r="F236" s="2">
        <v>2380</v>
      </c>
      <c r="G236" s="2">
        <f t="shared" si="30"/>
        <v>991.66666666666674</v>
      </c>
      <c r="H236" s="4">
        <f>VLOOKUP(B236,nodes!A:D,2,0)</f>
        <v>30</v>
      </c>
      <c r="I236" s="4">
        <f>VLOOKUP(B236,nodes!A:D,4,0)</f>
        <v>180</v>
      </c>
      <c r="J236" s="4">
        <f>VLOOKUP(C236,nodes!A:D,2,0)</f>
        <v>30</v>
      </c>
      <c r="K236" s="4">
        <f>VLOOKUP(C236,nodes!A:D,4,0)</f>
        <v>150</v>
      </c>
      <c r="L236" s="4">
        <f t="shared" si="31"/>
        <v>30</v>
      </c>
      <c r="N236" s="12">
        <f t="shared" si="32"/>
        <v>7437500</v>
      </c>
      <c r="O236" s="12">
        <f t="shared" si="33"/>
        <v>42840000</v>
      </c>
      <c r="P236" s="12">
        <f t="shared" si="34"/>
        <v>11900</v>
      </c>
      <c r="R236" s="23" t="s">
        <v>39</v>
      </c>
      <c r="S236" s="23" t="str">
        <f t="shared" si="35"/>
        <v>235,</v>
      </c>
      <c r="T236" s="23" t="str">
        <f t="shared" si="35"/>
        <v>86,</v>
      </c>
      <c r="U236" s="24">
        <f t="shared" si="36"/>
        <v>107</v>
      </c>
    </row>
    <row r="237" spans="1:21" x14ac:dyDescent="0.25">
      <c r="A237" s="3">
        <v>236</v>
      </c>
      <c r="B237" s="3">
        <v>107</v>
      </c>
      <c r="C237" s="3">
        <v>128</v>
      </c>
      <c r="D237" s="2">
        <f t="shared" si="28"/>
        <v>10985</v>
      </c>
      <c r="E237" s="2">
        <f t="shared" si="29"/>
        <v>5492.5</v>
      </c>
      <c r="F237" s="2">
        <v>2380</v>
      </c>
      <c r="G237" s="2">
        <f t="shared" si="30"/>
        <v>991.66666666666674</v>
      </c>
      <c r="H237" s="4">
        <f>VLOOKUP(B237,nodes!A:D,2,0)</f>
        <v>30</v>
      </c>
      <c r="I237" s="4">
        <f>VLOOKUP(B237,nodes!A:D,4,0)</f>
        <v>150</v>
      </c>
      <c r="J237" s="4">
        <f>VLOOKUP(C237,nodes!A:D,2,0)</f>
        <v>30</v>
      </c>
      <c r="K237" s="4">
        <f>VLOOKUP(C237,nodes!A:D,4,0)</f>
        <v>120</v>
      </c>
      <c r="L237" s="4">
        <f t="shared" si="31"/>
        <v>30</v>
      </c>
      <c r="N237" s="12">
        <f t="shared" si="32"/>
        <v>7437500</v>
      </c>
      <c r="O237" s="12">
        <f t="shared" si="33"/>
        <v>42840000</v>
      </c>
      <c r="P237" s="12">
        <f t="shared" si="34"/>
        <v>11900</v>
      </c>
      <c r="R237" s="23" t="s">
        <v>39</v>
      </c>
      <c r="S237" s="23" t="str">
        <f t="shared" si="35"/>
        <v>236,</v>
      </c>
      <c r="T237" s="23" t="str">
        <f t="shared" si="35"/>
        <v>107,</v>
      </c>
      <c r="U237" s="24">
        <f t="shared" si="36"/>
        <v>128</v>
      </c>
    </row>
    <row r="238" spans="1:21" x14ac:dyDescent="0.25">
      <c r="A238" s="3">
        <v>237</v>
      </c>
      <c r="B238" s="3">
        <v>128</v>
      </c>
      <c r="C238" s="3">
        <v>149</v>
      </c>
      <c r="D238" s="2">
        <f t="shared" si="28"/>
        <v>10985</v>
      </c>
      <c r="E238" s="2">
        <f t="shared" si="29"/>
        <v>5492.5</v>
      </c>
      <c r="F238" s="2">
        <v>2380</v>
      </c>
      <c r="G238" s="2">
        <f t="shared" si="30"/>
        <v>991.66666666666674</v>
      </c>
      <c r="H238" s="4">
        <f>VLOOKUP(B238,nodes!A:D,2,0)</f>
        <v>30</v>
      </c>
      <c r="I238" s="4">
        <f>VLOOKUP(B238,nodes!A:D,4,0)</f>
        <v>120</v>
      </c>
      <c r="J238" s="4">
        <f>VLOOKUP(C238,nodes!A:D,2,0)</f>
        <v>30</v>
      </c>
      <c r="K238" s="4">
        <f>VLOOKUP(C238,nodes!A:D,4,0)</f>
        <v>90</v>
      </c>
      <c r="L238" s="4">
        <f t="shared" si="31"/>
        <v>30</v>
      </c>
      <c r="N238" s="12">
        <f t="shared" si="32"/>
        <v>7437500</v>
      </c>
      <c r="O238" s="12">
        <f t="shared" si="33"/>
        <v>42840000</v>
      </c>
      <c r="P238" s="12">
        <f t="shared" si="34"/>
        <v>11900</v>
      </c>
      <c r="R238" s="23" t="s">
        <v>39</v>
      </c>
      <c r="S238" s="23" t="str">
        <f t="shared" si="35"/>
        <v>237,</v>
      </c>
      <c r="T238" s="23" t="str">
        <f t="shared" si="35"/>
        <v>128,</v>
      </c>
      <c r="U238" s="24">
        <f t="shared" si="36"/>
        <v>149</v>
      </c>
    </row>
    <row r="239" spans="1:21" x14ac:dyDescent="0.25">
      <c r="A239" s="3">
        <v>238</v>
      </c>
      <c r="B239" s="3">
        <v>149</v>
      </c>
      <c r="C239" s="3">
        <v>170</v>
      </c>
      <c r="D239" s="2">
        <f t="shared" si="28"/>
        <v>10985</v>
      </c>
      <c r="E239" s="2">
        <f t="shared" si="29"/>
        <v>5492.5</v>
      </c>
      <c r="F239" s="2">
        <v>2380</v>
      </c>
      <c r="G239" s="2">
        <f t="shared" si="30"/>
        <v>991.66666666666674</v>
      </c>
      <c r="H239" s="4">
        <f>VLOOKUP(B239,nodes!A:D,2,0)</f>
        <v>30</v>
      </c>
      <c r="I239" s="4">
        <f>VLOOKUP(B239,nodes!A:D,4,0)</f>
        <v>90</v>
      </c>
      <c r="J239" s="4">
        <f>VLOOKUP(C239,nodes!A:D,2,0)</f>
        <v>30</v>
      </c>
      <c r="K239" s="4">
        <f>VLOOKUP(C239,nodes!A:D,4,0)</f>
        <v>60</v>
      </c>
      <c r="L239" s="4">
        <f t="shared" si="31"/>
        <v>30</v>
      </c>
      <c r="N239" s="12">
        <f t="shared" si="32"/>
        <v>7437500</v>
      </c>
      <c r="O239" s="12">
        <f t="shared" si="33"/>
        <v>42840000</v>
      </c>
      <c r="P239" s="12">
        <f t="shared" si="34"/>
        <v>11900</v>
      </c>
      <c r="R239" s="23" t="s">
        <v>39</v>
      </c>
      <c r="S239" s="23" t="str">
        <f t="shared" si="35"/>
        <v>238,</v>
      </c>
      <c r="T239" s="23" t="str">
        <f t="shared" si="35"/>
        <v>149,</v>
      </c>
      <c r="U239" s="24">
        <f t="shared" si="36"/>
        <v>170</v>
      </c>
    </row>
    <row r="240" spans="1:21" x14ac:dyDescent="0.25">
      <c r="A240" s="3">
        <v>239</v>
      </c>
      <c r="B240" s="3">
        <v>170</v>
      </c>
      <c r="C240" s="3">
        <v>191</v>
      </c>
      <c r="D240" s="2">
        <f t="shared" si="28"/>
        <v>10985</v>
      </c>
      <c r="E240" s="2">
        <f t="shared" si="29"/>
        <v>5492.5</v>
      </c>
      <c r="F240" s="2">
        <v>2380</v>
      </c>
      <c r="G240" s="2">
        <f t="shared" si="30"/>
        <v>991.66666666666674</v>
      </c>
      <c r="H240" s="4">
        <f>VLOOKUP(B240,nodes!A:D,2,0)</f>
        <v>30</v>
      </c>
      <c r="I240" s="4">
        <f>VLOOKUP(B240,nodes!A:D,4,0)</f>
        <v>60</v>
      </c>
      <c r="J240" s="4">
        <f>VLOOKUP(C240,nodes!A:D,2,0)</f>
        <v>30</v>
      </c>
      <c r="K240" s="4">
        <f>VLOOKUP(C240,nodes!A:D,4,0)</f>
        <v>30</v>
      </c>
      <c r="L240" s="4">
        <f t="shared" si="31"/>
        <v>30</v>
      </c>
      <c r="N240" s="12">
        <f t="shared" si="32"/>
        <v>7437500</v>
      </c>
      <c r="O240" s="12">
        <f t="shared" si="33"/>
        <v>42840000</v>
      </c>
      <c r="P240" s="12">
        <f t="shared" si="34"/>
        <v>11900</v>
      </c>
      <c r="R240" s="23" t="s">
        <v>39</v>
      </c>
      <c r="S240" s="23" t="str">
        <f t="shared" si="35"/>
        <v>239,</v>
      </c>
      <c r="T240" s="23" t="str">
        <f t="shared" si="35"/>
        <v>170,</v>
      </c>
      <c r="U240" s="24">
        <f t="shared" si="36"/>
        <v>191</v>
      </c>
    </row>
    <row r="241" spans="1:21" x14ac:dyDescent="0.25">
      <c r="A241" s="3">
        <v>240</v>
      </c>
      <c r="B241" s="3">
        <v>191</v>
      </c>
      <c r="C241" s="3">
        <v>212</v>
      </c>
      <c r="D241" s="2">
        <f t="shared" si="28"/>
        <v>10985</v>
      </c>
      <c r="E241" s="2">
        <f t="shared" si="29"/>
        <v>5492.5</v>
      </c>
      <c r="F241" s="2">
        <v>2380</v>
      </c>
      <c r="G241" s="2">
        <f t="shared" si="30"/>
        <v>991.66666666666674</v>
      </c>
      <c r="H241" s="4">
        <f>VLOOKUP(B241,nodes!A:D,2,0)</f>
        <v>30</v>
      </c>
      <c r="I241" s="4">
        <f>VLOOKUP(B241,nodes!A:D,4,0)</f>
        <v>30</v>
      </c>
      <c r="J241" s="4">
        <f>VLOOKUP(C241,nodes!A:D,2,0)</f>
        <v>30</v>
      </c>
      <c r="K241" s="4">
        <f>VLOOKUP(C241,nodes!A:D,4,0)</f>
        <v>0</v>
      </c>
      <c r="L241" s="4">
        <f t="shared" si="31"/>
        <v>30</v>
      </c>
      <c r="N241" s="12">
        <f t="shared" si="32"/>
        <v>7437500</v>
      </c>
      <c r="O241" s="12">
        <f t="shared" si="33"/>
        <v>42840000</v>
      </c>
      <c r="P241" s="12">
        <f t="shared" si="34"/>
        <v>11900</v>
      </c>
      <c r="R241" s="23" t="s">
        <v>39</v>
      </c>
      <c r="S241" s="23" t="str">
        <f t="shared" si="35"/>
        <v>240,</v>
      </c>
      <c r="T241" s="23" t="str">
        <f t="shared" si="35"/>
        <v>191,</v>
      </c>
      <c r="U241" s="24">
        <f t="shared" si="36"/>
        <v>212</v>
      </c>
    </row>
    <row r="242" spans="1:21" x14ac:dyDescent="0.25">
      <c r="A242" s="3">
        <v>241</v>
      </c>
      <c r="B242" s="3">
        <v>3</v>
      </c>
      <c r="C242" s="3">
        <v>24</v>
      </c>
      <c r="D242" s="2">
        <f t="shared" si="28"/>
        <v>10985</v>
      </c>
      <c r="E242" s="2">
        <f t="shared" si="29"/>
        <v>5492.5</v>
      </c>
      <c r="F242" s="2">
        <v>2380</v>
      </c>
      <c r="G242" s="2">
        <f t="shared" si="30"/>
        <v>991.66666666666674</v>
      </c>
      <c r="H242" s="4">
        <f>VLOOKUP(B242,nodes!A:D,2,0)</f>
        <v>60</v>
      </c>
      <c r="I242" s="4">
        <f>VLOOKUP(B242,nodes!A:D,4,0)</f>
        <v>300</v>
      </c>
      <c r="J242" s="4">
        <f>VLOOKUP(C242,nodes!A:D,2,0)</f>
        <v>60</v>
      </c>
      <c r="K242" s="4">
        <f>VLOOKUP(C242,nodes!A:D,4,0)</f>
        <v>270</v>
      </c>
      <c r="L242" s="4">
        <f t="shared" si="31"/>
        <v>30</v>
      </c>
      <c r="N242" s="12">
        <f t="shared" si="32"/>
        <v>7437500</v>
      </c>
      <c r="O242" s="12">
        <f t="shared" si="33"/>
        <v>42840000</v>
      </c>
      <c r="P242" s="12">
        <f t="shared" si="34"/>
        <v>11900</v>
      </c>
      <c r="R242" s="23" t="s">
        <v>39</v>
      </c>
      <c r="S242" s="23" t="str">
        <f t="shared" si="35"/>
        <v>241,</v>
      </c>
      <c r="T242" s="23" t="str">
        <f t="shared" si="35"/>
        <v>3,</v>
      </c>
      <c r="U242" s="24">
        <f t="shared" si="36"/>
        <v>24</v>
      </c>
    </row>
    <row r="243" spans="1:21" x14ac:dyDescent="0.25">
      <c r="A243" s="3">
        <v>242</v>
      </c>
      <c r="B243" s="3">
        <v>24</v>
      </c>
      <c r="C243" s="3">
        <v>45</v>
      </c>
      <c r="D243" s="2">
        <f t="shared" si="28"/>
        <v>10985</v>
      </c>
      <c r="E243" s="2">
        <f t="shared" si="29"/>
        <v>5492.5</v>
      </c>
      <c r="F243" s="2">
        <v>2380</v>
      </c>
      <c r="G243" s="2">
        <f t="shared" si="30"/>
        <v>991.66666666666674</v>
      </c>
      <c r="H243" s="4">
        <f>VLOOKUP(B243,nodes!A:D,2,0)</f>
        <v>60</v>
      </c>
      <c r="I243" s="4">
        <f>VLOOKUP(B243,nodes!A:D,4,0)</f>
        <v>270</v>
      </c>
      <c r="J243" s="4">
        <f>VLOOKUP(C243,nodes!A:D,2,0)</f>
        <v>60</v>
      </c>
      <c r="K243" s="4">
        <f>VLOOKUP(C243,nodes!A:D,4,0)</f>
        <v>240</v>
      </c>
      <c r="L243" s="4">
        <f t="shared" si="31"/>
        <v>30</v>
      </c>
      <c r="N243" s="12">
        <f t="shared" si="32"/>
        <v>7437500</v>
      </c>
      <c r="O243" s="12">
        <f t="shared" si="33"/>
        <v>42840000</v>
      </c>
      <c r="P243" s="12">
        <f t="shared" si="34"/>
        <v>11900</v>
      </c>
      <c r="R243" s="23" t="s">
        <v>39</v>
      </c>
      <c r="S243" s="23" t="str">
        <f t="shared" si="35"/>
        <v>242,</v>
      </c>
      <c r="T243" s="23" t="str">
        <f t="shared" si="35"/>
        <v>24,</v>
      </c>
      <c r="U243" s="24">
        <f t="shared" si="36"/>
        <v>45</v>
      </c>
    </row>
    <row r="244" spans="1:21" x14ac:dyDescent="0.25">
      <c r="A244" s="3">
        <v>243</v>
      </c>
      <c r="B244" s="3">
        <v>45</v>
      </c>
      <c r="C244" s="3">
        <v>66</v>
      </c>
      <c r="D244" s="2">
        <f t="shared" si="28"/>
        <v>10985</v>
      </c>
      <c r="E244" s="2">
        <f t="shared" si="29"/>
        <v>5492.5</v>
      </c>
      <c r="F244" s="2">
        <v>2380</v>
      </c>
      <c r="G244" s="2">
        <f t="shared" si="30"/>
        <v>991.66666666666674</v>
      </c>
      <c r="H244" s="4">
        <f>VLOOKUP(B244,nodes!A:D,2,0)</f>
        <v>60</v>
      </c>
      <c r="I244" s="4">
        <f>VLOOKUP(B244,nodes!A:D,4,0)</f>
        <v>240</v>
      </c>
      <c r="J244" s="4">
        <f>VLOOKUP(C244,nodes!A:D,2,0)</f>
        <v>60</v>
      </c>
      <c r="K244" s="4">
        <f>VLOOKUP(C244,nodes!A:D,4,0)</f>
        <v>210</v>
      </c>
      <c r="L244" s="4">
        <f t="shared" si="31"/>
        <v>30</v>
      </c>
      <c r="N244" s="12">
        <f t="shared" si="32"/>
        <v>7437500</v>
      </c>
      <c r="O244" s="12">
        <f t="shared" si="33"/>
        <v>42840000</v>
      </c>
      <c r="P244" s="12">
        <f t="shared" si="34"/>
        <v>11900</v>
      </c>
      <c r="R244" s="23" t="s">
        <v>39</v>
      </c>
      <c r="S244" s="23" t="str">
        <f t="shared" si="35"/>
        <v>243,</v>
      </c>
      <c r="T244" s="23" t="str">
        <f t="shared" si="35"/>
        <v>45,</v>
      </c>
      <c r="U244" s="24">
        <f t="shared" si="36"/>
        <v>66</v>
      </c>
    </row>
    <row r="245" spans="1:21" x14ac:dyDescent="0.25">
      <c r="A245" s="3">
        <v>244</v>
      </c>
      <c r="B245" s="3">
        <v>66</v>
      </c>
      <c r="C245" s="3">
        <v>87</v>
      </c>
      <c r="D245" s="2">
        <f t="shared" si="28"/>
        <v>10985</v>
      </c>
      <c r="E245" s="2">
        <f t="shared" si="29"/>
        <v>5492.5</v>
      </c>
      <c r="F245" s="2">
        <v>2380</v>
      </c>
      <c r="G245" s="2">
        <f t="shared" si="30"/>
        <v>991.66666666666674</v>
      </c>
      <c r="H245" s="4">
        <f>VLOOKUP(B245,nodes!A:D,2,0)</f>
        <v>60</v>
      </c>
      <c r="I245" s="4">
        <f>VLOOKUP(B245,nodes!A:D,4,0)</f>
        <v>210</v>
      </c>
      <c r="J245" s="4">
        <f>VLOOKUP(C245,nodes!A:D,2,0)</f>
        <v>60</v>
      </c>
      <c r="K245" s="4">
        <f>VLOOKUP(C245,nodes!A:D,4,0)</f>
        <v>180</v>
      </c>
      <c r="L245" s="4">
        <f t="shared" si="31"/>
        <v>30</v>
      </c>
      <c r="N245" s="12">
        <f t="shared" si="32"/>
        <v>7437500</v>
      </c>
      <c r="O245" s="12">
        <f t="shared" si="33"/>
        <v>42840000</v>
      </c>
      <c r="P245" s="12">
        <f t="shared" si="34"/>
        <v>11900</v>
      </c>
      <c r="R245" s="23" t="s">
        <v>39</v>
      </c>
      <c r="S245" s="23" t="str">
        <f t="shared" si="35"/>
        <v>244,</v>
      </c>
      <c r="T245" s="23" t="str">
        <f t="shared" si="35"/>
        <v>66,</v>
      </c>
      <c r="U245" s="24">
        <f t="shared" si="36"/>
        <v>87</v>
      </c>
    </row>
    <row r="246" spans="1:21" x14ac:dyDescent="0.25">
      <c r="A246" s="3">
        <v>245</v>
      </c>
      <c r="B246" s="3">
        <v>87</v>
      </c>
      <c r="C246" s="3">
        <v>108</v>
      </c>
      <c r="D246" s="2">
        <f t="shared" si="28"/>
        <v>10985</v>
      </c>
      <c r="E246" s="2">
        <f t="shared" si="29"/>
        <v>5492.5</v>
      </c>
      <c r="F246" s="2">
        <v>2380</v>
      </c>
      <c r="G246" s="2">
        <f t="shared" si="30"/>
        <v>991.66666666666674</v>
      </c>
      <c r="H246" s="4">
        <f>VLOOKUP(B246,nodes!A:D,2,0)</f>
        <v>60</v>
      </c>
      <c r="I246" s="4">
        <f>VLOOKUP(B246,nodes!A:D,4,0)</f>
        <v>180</v>
      </c>
      <c r="J246" s="4">
        <f>VLOOKUP(C246,nodes!A:D,2,0)</f>
        <v>60</v>
      </c>
      <c r="K246" s="4">
        <f>VLOOKUP(C246,nodes!A:D,4,0)</f>
        <v>150</v>
      </c>
      <c r="L246" s="4">
        <f t="shared" si="31"/>
        <v>30</v>
      </c>
      <c r="N246" s="12">
        <f t="shared" si="32"/>
        <v>7437500</v>
      </c>
      <c r="O246" s="12">
        <f t="shared" si="33"/>
        <v>42840000</v>
      </c>
      <c r="P246" s="12">
        <f t="shared" si="34"/>
        <v>11900</v>
      </c>
      <c r="R246" s="23" t="s">
        <v>39</v>
      </c>
      <c r="S246" s="23" t="str">
        <f t="shared" si="35"/>
        <v>245,</v>
      </c>
      <c r="T246" s="23" t="str">
        <f t="shared" si="35"/>
        <v>87,</v>
      </c>
      <c r="U246" s="24">
        <f t="shared" si="36"/>
        <v>108</v>
      </c>
    </row>
    <row r="247" spans="1:21" x14ac:dyDescent="0.25">
      <c r="A247" s="3">
        <v>246</v>
      </c>
      <c r="B247" s="3">
        <v>108</v>
      </c>
      <c r="C247" s="3">
        <v>129</v>
      </c>
      <c r="D247" s="2">
        <f t="shared" si="28"/>
        <v>10985</v>
      </c>
      <c r="E247" s="2">
        <f t="shared" si="29"/>
        <v>5492.5</v>
      </c>
      <c r="F247" s="2">
        <v>2380</v>
      </c>
      <c r="G247" s="2">
        <f t="shared" si="30"/>
        <v>991.66666666666674</v>
      </c>
      <c r="H247" s="4">
        <f>VLOOKUP(B247,nodes!A:D,2,0)</f>
        <v>60</v>
      </c>
      <c r="I247" s="4">
        <f>VLOOKUP(B247,nodes!A:D,4,0)</f>
        <v>150</v>
      </c>
      <c r="J247" s="4">
        <f>VLOOKUP(C247,nodes!A:D,2,0)</f>
        <v>60</v>
      </c>
      <c r="K247" s="4">
        <f>VLOOKUP(C247,nodes!A:D,4,0)</f>
        <v>120</v>
      </c>
      <c r="L247" s="4">
        <f t="shared" si="31"/>
        <v>30</v>
      </c>
      <c r="N247" s="12">
        <f t="shared" si="32"/>
        <v>7437500</v>
      </c>
      <c r="O247" s="12">
        <f t="shared" si="33"/>
        <v>42840000</v>
      </c>
      <c r="P247" s="12">
        <f t="shared" si="34"/>
        <v>11900</v>
      </c>
      <c r="R247" s="23" t="s">
        <v>39</v>
      </c>
      <c r="S247" s="23" t="str">
        <f t="shared" si="35"/>
        <v>246,</v>
      </c>
      <c r="T247" s="23" t="str">
        <f t="shared" si="35"/>
        <v>108,</v>
      </c>
      <c r="U247" s="24">
        <f t="shared" si="36"/>
        <v>129</v>
      </c>
    </row>
    <row r="248" spans="1:21" x14ac:dyDescent="0.25">
      <c r="A248" s="3">
        <v>247</v>
      </c>
      <c r="B248" s="3">
        <v>129</v>
      </c>
      <c r="C248" s="3">
        <v>150</v>
      </c>
      <c r="D248" s="2">
        <f t="shared" si="28"/>
        <v>10985</v>
      </c>
      <c r="E248" s="2">
        <f t="shared" si="29"/>
        <v>5492.5</v>
      </c>
      <c r="F248" s="2">
        <v>2380</v>
      </c>
      <c r="G248" s="2">
        <f t="shared" si="30"/>
        <v>991.66666666666674</v>
      </c>
      <c r="H248" s="4">
        <f>VLOOKUP(B248,nodes!A:D,2,0)</f>
        <v>60</v>
      </c>
      <c r="I248" s="4">
        <f>VLOOKUP(B248,nodes!A:D,4,0)</f>
        <v>120</v>
      </c>
      <c r="J248" s="4">
        <f>VLOOKUP(C248,nodes!A:D,2,0)</f>
        <v>60</v>
      </c>
      <c r="K248" s="4">
        <f>VLOOKUP(C248,nodes!A:D,4,0)</f>
        <v>90</v>
      </c>
      <c r="L248" s="4">
        <f t="shared" si="31"/>
        <v>30</v>
      </c>
      <c r="N248" s="12">
        <f t="shared" si="32"/>
        <v>7437500</v>
      </c>
      <c r="O248" s="12">
        <f t="shared" si="33"/>
        <v>42840000</v>
      </c>
      <c r="P248" s="12">
        <f t="shared" si="34"/>
        <v>11900</v>
      </c>
      <c r="R248" s="23" t="s">
        <v>39</v>
      </c>
      <c r="S248" s="23" t="str">
        <f t="shared" si="35"/>
        <v>247,</v>
      </c>
      <c r="T248" s="23" t="str">
        <f t="shared" si="35"/>
        <v>129,</v>
      </c>
      <c r="U248" s="24">
        <f t="shared" si="36"/>
        <v>150</v>
      </c>
    </row>
    <row r="249" spans="1:21" x14ac:dyDescent="0.25">
      <c r="A249" s="3">
        <v>248</v>
      </c>
      <c r="B249" s="3">
        <v>150</v>
      </c>
      <c r="C249" s="3">
        <v>171</v>
      </c>
      <c r="D249" s="2">
        <f t="shared" si="28"/>
        <v>10985</v>
      </c>
      <c r="E249" s="2">
        <f t="shared" si="29"/>
        <v>5492.5</v>
      </c>
      <c r="F249" s="2">
        <v>2380</v>
      </c>
      <c r="G249" s="2">
        <f t="shared" si="30"/>
        <v>991.66666666666674</v>
      </c>
      <c r="H249" s="4">
        <f>VLOOKUP(B249,nodes!A:D,2,0)</f>
        <v>60</v>
      </c>
      <c r="I249" s="4">
        <f>VLOOKUP(B249,nodes!A:D,4,0)</f>
        <v>90</v>
      </c>
      <c r="J249" s="4">
        <f>VLOOKUP(C249,nodes!A:D,2,0)</f>
        <v>60</v>
      </c>
      <c r="K249" s="4">
        <f>VLOOKUP(C249,nodes!A:D,4,0)</f>
        <v>60</v>
      </c>
      <c r="L249" s="4">
        <f t="shared" si="31"/>
        <v>30</v>
      </c>
      <c r="N249" s="12">
        <f t="shared" si="32"/>
        <v>7437500</v>
      </c>
      <c r="O249" s="12">
        <f t="shared" si="33"/>
        <v>42840000</v>
      </c>
      <c r="P249" s="12">
        <f t="shared" si="34"/>
        <v>11900</v>
      </c>
      <c r="R249" s="23" t="s">
        <v>39</v>
      </c>
      <c r="S249" s="23" t="str">
        <f t="shared" si="35"/>
        <v>248,</v>
      </c>
      <c r="T249" s="23" t="str">
        <f t="shared" si="35"/>
        <v>150,</v>
      </c>
      <c r="U249" s="24">
        <f t="shared" si="36"/>
        <v>171</v>
      </c>
    </row>
    <row r="250" spans="1:21" x14ac:dyDescent="0.25">
      <c r="A250" s="3">
        <v>249</v>
      </c>
      <c r="B250" s="3">
        <v>171</v>
      </c>
      <c r="C250" s="3">
        <v>192</v>
      </c>
      <c r="D250" s="2">
        <f t="shared" si="28"/>
        <v>10985</v>
      </c>
      <c r="E250" s="2">
        <f t="shared" si="29"/>
        <v>5492.5</v>
      </c>
      <c r="F250" s="2">
        <v>2380</v>
      </c>
      <c r="G250" s="2">
        <f t="shared" si="30"/>
        <v>991.66666666666674</v>
      </c>
      <c r="H250" s="4">
        <f>VLOOKUP(B250,nodes!A:D,2,0)</f>
        <v>60</v>
      </c>
      <c r="I250" s="4">
        <f>VLOOKUP(B250,nodes!A:D,4,0)</f>
        <v>60</v>
      </c>
      <c r="J250" s="4">
        <f>VLOOKUP(C250,nodes!A:D,2,0)</f>
        <v>60</v>
      </c>
      <c r="K250" s="4">
        <f>VLOOKUP(C250,nodes!A:D,4,0)</f>
        <v>30</v>
      </c>
      <c r="L250" s="4">
        <f t="shared" si="31"/>
        <v>30</v>
      </c>
      <c r="N250" s="12">
        <f t="shared" si="32"/>
        <v>7437500</v>
      </c>
      <c r="O250" s="12">
        <f t="shared" si="33"/>
        <v>42840000</v>
      </c>
      <c r="P250" s="12">
        <f t="shared" si="34"/>
        <v>11900</v>
      </c>
      <c r="R250" s="23" t="s">
        <v>39</v>
      </c>
      <c r="S250" s="23" t="str">
        <f t="shared" si="35"/>
        <v>249,</v>
      </c>
      <c r="T250" s="23" t="str">
        <f t="shared" si="35"/>
        <v>171,</v>
      </c>
      <c r="U250" s="24">
        <f t="shared" si="36"/>
        <v>192</v>
      </c>
    </row>
    <row r="251" spans="1:21" x14ac:dyDescent="0.25">
      <c r="A251" s="3">
        <v>250</v>
      </c>
      <c r="B251" s="3">
        <v>192</v>
      </c>
      <c r="C251" s="3">
        <v>213</v>
      </c>
      <c r="D251" s="2">
        <f t="shared" si="28"/>
        <v>10985</v>
      </c>
      <c r="E251" s="2">
        <f t="shared" si="29"/>
        <v>5492.5</v>
      </c>
      <c r="F251" s="2">
        <v>2380</v>
      </c>
      <c r="G251" s="2">
        <f t="shared" si="30"/>
        <v>991.66666666666674</v>
      </c>
      <c r="H251" s="4">
        <f>VLOOKUP(B251,nodes!A:D,2,0)</f>
        <v>60</v>
      </c>
      <c r="I251" s="4">
        <f>VLOOKUP(B251,nodes!A:D,4,0)</f>
        <v>30</v>
      </c>
      <c r="J251" s="4">
        <f>VLOOKUP(C251,nodes!A:D,2,0)</f>
        <v>60</v>
      </c>
      <c r="K251" s="4">
        <f>VLOOKUP(C251,nodes!A:D,4,0)</f>
        <v>0</v>
      </c>
      <c r="L251" s="4">
        <f t="shared" si="31"/>
        <v>30</v>
      </c>
      <c r="N251" s="12">
        <f t="shared" si="32"/>
        <v>7437500</v>
      </c>
      <c r="O251" s="12">
        <f t="shared" si="33"/>
        <v>42840000</v>
      </c>
      <c r="P251" s="12">
        <f t="shared" si="34"/>
        <v>11900</v>
      </c>
      <c r="R251" s="23" t="s">
        <v>39</v>
      </c>
      <c r="S251" s="23" t="str">
        <f t="shared" si="35"/>
        <v>250,</v>
      </c>
      <c r="T251" s="23" t="str">
        <f t="shared" si="35"/>
        <v>192,</v>
      </c>
      <c r="U251" s="24">
        <f t="shared" si="36"/>
        <v>213</v>
      </c>
    </row>
    <row r="252" spans="1:21" x14ac:dyDescent="0.25">
      <c r="A252" s="3">
        <v>251</v>
      </c>
      <c r="B252" s="3">
        <v>4</v>
      </c>
      <c r="C252" s="3">
        <v>25</v>
      </c>
      <c r="D252" s="2">
        <f t="shared" si="28"/>
        <v>10985</v>
      </c>
      <c r="E252" s="2">
        <f t="shared" si="29"/>
        <v>5492.5</v>
      </c>
      <c r="F252" s="2">
        <v>2380</v>
      </c>
      <c r="G252" s="2">
        <f t="shared" si="30"/>
        <v>991.66666666666674</v>
      </c>
      <c r="H252" s="4">
        <f>VLOOKUP(B252,nodes!A:D,2,0)</f>
        <v>90</v>
      </c>
      <c r="I252" s="4">
        <f>VLOOKUP(B252,nodes!A:D,4,0)</f>
        <v>300</v>
      </c>
      <c r="J252" s="4">
        <f>VLOOKUP(C252,nodes!A:D,2,0)</f>
        <v>90</v>
      </c>
      <c r="K252" s="4">
        <f>VLOOKUP(C252,nodes!A:D,4,0)</f>
        <v>270</v>
      </c>
      <c r="L252" s="4">
        <f t="shared" si="31"/>
        <v>30</v>
      </c>
      <c r="N252" s="12">
        <f t="shared" si="32"/>
        <v>7437500</v>
      </c>
      <c r="O252" s="12">
        <f t="shared" si="33"/>
        <v>42840000</v>
      </c>
      <c r="P252" s="12">
        <f t="shared" si="34"/>
        <v>11900</v>
      </c>
      <c r="R252" s="23" t="s">
        <v>39</v>
      </c>
      <c r="S252" s="23" t="str">
        <f t="shared" si="35"/>
        <v>251,</v>
      </c>
      <c r="T252" s="23" t="str">
        <f t="shared" si="35"/>
        <v>4,</v>
      </c>
      <c r="U252" s="24">
        <f t="shared" si="36"/>
        <v>25</v>
      </c>
    </row>
    <row r="253" spans="1:21" x14ac:dyDescent="0.25">
      <c r="A253" s="3">
        <v>252</v>
      </c>
      <c r="B253" s="3">
        <v>25</v>
      </c>
      <c r="C253" s="3">
        <v>46</v>
      </c>
      <c r="D253" s="2">
        <f t="shared" si="28"/>
        <v>10985</v>
      </c>
      <c r="E253" s="2">
        <f t="shared" si="29"/>
        <v>5492.5</v>
      </c>
      <c r="F253" s="2">
        <v>2380</v>
      </c>
      <c r="G253" s="2">
        <f t="shared" si="30"/>
        <v>991.66666666666674</v>
      </c>
      <c r="H253" s="4">
        <f>VLOOKUP(B253,nodes!A:D,2,0)</f>
        <v>90</v>
      </c>
      <c r="I253" s="4">
        <f>VLOOKUP(B253,nodes!A:D,4,0)</f>
        <v>270</v>
      </c>
      <c r="J253" s="4">
        <f>VLOOKUP(C253,nodes!A:D,2,0)</f>
        <v>90</v>
      </c>
      <c r="K253" s="4">
        <f>VLOOKUP(C253,nodes!A:D,4,0)</f>
        <v>240</v>
      </c>
      <c r="L253" s="4">
        <f t="shared" si="31"/>
        <v>30</v>
      </c>
      <c r="N253" s="12">
        <f t="shared" si="32"/>
        <v>7437500</v>
      </c>
      <c r="O253" s="12">
        <f t="shared" si="33"/>
        <v>42840000</v>
      </c>
      <c r="P253" s="12">
        <f t="shared" si="34"/>
        <v>11900</v>
      </c>
      <c r="R253" s="23" t="s">
        <v>39</v>
      </c>
      <c r="S253" s="23" t="str">
        <f t="shared" si="35"/>
        <v>252,</v>
      </c>
      <c r="T253" s="23" t="str">
        <f t="shared" si="35"/>
        <v>25,</v>
      </c>
      <c r="U253" s="24">
        <f t="shared" si="36"/>
        <v>46</v>
      </c>
    </row>
    <row r="254" spans="1:21" x14ac:dyDescent="0.25">
      <c r="A254" s="3">
        <v>253</v>
      </c>
      <c r="B254" s="3">
        <v>46</v>
      </c>
      <c r="C254" s="3">
        <v>67</v>
      </c>
      <c r="D254" s="2">
        <f t="shared" si="28"/>
        <v>10985</v>
      </c>
      <c r="E254" s="2">
        <f t="shared" si="29"/>
        <v>5492.5</v>
      </c>
      <c r="F254" s="2">
        <v>2380</v>
      </c>
      <c r="G254" s="2">
        <f t="shared" si="30"/>
        <v>991.66666666666674</v>
      </c>
      <c r="H254" s="4">
        <f>VLOOKUP(B254,nodes!A:D,2,0)</f>
        <v>90</v>
      </c>
      <c r="I254" s="4">
        <f>VLOOKUP(B254,nodes!A:D,4,0)</f>
        <v>240</v>
      </c>
      <c r="J254" s="4">
        <f>VLOOKUP(C254,nodes!A:D,2,0)</f>
        <v>90</v>
      </c>
      <c r="K254" s="4">
        <f>VLOOKUP(C254,nodes!A:D,4,0)</f>
        <v>210</v>
      </c>
      <c r="L254" s="4">
        <f t="shared" si="31"/>
        <v>30</v>
      </c>
      <c r="N254" s="12">
        <f t="shared" si="32"/>
        <v>7437500</v>
      </c>
      <c r="O254" s="12">
        <f t="shared" si="33"/>
        <v>42840000</v>
      </c>
      <c r="P254" s="12">
        <f t="shared" si="34"/>
        <v>11900</v>
      </c>
      <c r="R254" s="23" t="s">
        <v>39</v>
      </c>
      <c r="S254" s="23" t="str">
        <f t="shared" si="35"/>
        <v>253,</v>
      </c>
      <c r="T254" s="23" t="str">
        <f t="shared" si="35"/>
        <v>46,</v>
      </c>
      <c r="U254" s="24">
        <f t="shared" si="36"/>
        <v>67</v>
      </c>
    </row>
    <row r="255" spans="1:21" x14ac:dyDescent="0.25">
      <c r="A255" s="3">
        <v>254</v>
      </c>
      <c r="B255" s="3">
        <v>67</v>
      </c>
      <c r="C255" s="3">
        <v>88</v>
      </c>
      <c r="D255" s="2">
        <f t="shared" si="28"/>
        <v>10985</v>
      </c>
      <c r="E255" s="2">
        <f t="shared" si="29"/>
        <v>5492.5</v>
      </c>
      <c r="F255" s="2">
        <v>2380</v>
      </c>
      <c r="G255" s="2">
        <f t="shared" si="30"/>
        <v>991.66666666666674</v>
      </c>
      <c r="H255" s="4">
        <f>VLOOKUP(B255,nodes!A:D,2,0)</f>
        <v>90</v>
      </c>
      <c r="I255" s="4">
        <f>VLOOKUP(B255,nodes!A:D,4,0)</f>
        <v>210</v>
      </c>
      <c r="J255" s="4">
        <f>VLOOKUP(C255,nodes!A:D,2,0)</f>
        <v>90</v>
      </c>
      <c r="K255" s="4">
        <f>VLOOKUP(C255,nodes!A:D,4,0)</f>
        <v>180</v>
      </c>
      <c r="L255" s="4">
        <f t="shared" si="31"/>
        <v>30</v>
      </c>
      <c r="N255" s="12">
        <f t="shared" si="32"/>
        <v>7437500</v>
      </c>
      <c r="O255" s="12">
        <f t="shared" si="33"/>
        <v>42840000</v>
      </c>
      <c r="P255" s="12">
        <f t="shared" si="34"/>
        <v>11900</v>
      </c>
      <c r="R255" s="23" t="s">
        <v>39</v>
      </c>
      <c r="S255" s="23" t="str">
        <f t="shared" si="35"/>
        <v>254,</v>
      </c>
      <c r="T255" s="23" t="str">
        <f t="shared" si="35"/>
        <v>67,</v>
      </c>
      <c r="U255" s="24">
        <f t="shared" si="36"/>
        <v>88</v>
      </c>
    </row>
    <row r="256" spans="1:21" x14ac:dyDescent="0.25">
      <c r="A256" s="3">
        <v>255</v>
      </c>
      <c r="B256" s="3">
        <v>88</v>
      </c>
      <c r="C256" s="3">
        <v>109</v>
      </c>
      <c r="D256" s="2">
        <f t="shared" si="28"/>
        <v>10985</v>
      </c>
      <c r="E256" s="2">
        <f t="shared" si="29"/>
        <v>5492.5</v>
      </c>
      <c r="F256" s="2">
        <v>2380</v>
      </c>
      <c r="G256" s="2">
        <f t="shared" si="30"/>
        <v>991.66666666666674</v>
      </c>
      <c r="H256" s="4">
        <f>VLOOKUP(B256,nodes!A:D,2,0)</f>
        <v>90</v>
      </c>
      <c r="I256" s="4">
        <f>VLOOKUP(B256,nodes!A:D,4,0)</f>
        <v>180</v>
      </c>
      <c r="J256" s="4">
        <f>VLOOKUP(C256,nodes!A:D,2,0)</f>
        <v>90</v>
      </c>
      <c r="K256" s="4">
        <f>VLOOKUP(C256,nodes!A:D,4,0)</f>
        <v>150</v>
      </c>
      <c r="L256" s="4">
        <f t="shared" si="31"/>
        <v>30</v>
      </c>
      <c r="N256" s="12">
        <f t="shared" si="32"/>
        <v>7437500</v>
      </c>
      <c r="O256" s="12">
        <f t="shared" si="33"/>
        <v>42840000</v>
      </c>
      <c r="P256" s="12">
        <f t="shared" si="34"/>
        <v>11900</v>
      </c>
      <c r="R256" s="23" t="s">
        <v>39</v>
      </c>
      <c r="S256" s="23" t="str">
        <f t="shared" si="35"/>
        <v>255,</v>
      </c>
      <c r="T256" s="23" t="str">
        <f t="shared" si="35"/>
        <v>88,</v>
      </c>
      <c r="U256" s="24">
        <f t="shared" si="36"/>
        <v>109</v>
      </c>
    </row>
    <row r="257" spans="1:21" x14ac:dyDescent="0.25">
      <c r="A257" s="3">
        <v>256</v>
      </c>
      <c r="B257" s="3">
        <v>109</v>
      </c>
      <c r="C257" s="3">
        <v>130</v>
      </c>
      <c r="D257" s="2">
        <f t="shared" si="28"/>
        <v>10985</v>
      </c>
      <c r="E257" s="2">
        <f t="shared" si="29"/>
        <v>5492.5</v>
      </c>
      <c r="F257" s="2">
        <v>2380</v>
      </c>
      <c r="G257" s="2">
        <f t="shared" si="30"/>
        <v>991.66666666666674</v>
      </c>
      <c r="H257" s="4">
        <f>VLOOKUP(B257,nodes!A:D,2,0)</f>
        <v>90</v>
      </c>
      <c r="I257" s="4">
        <f>VLOOKUP(B257,nodes!A:D,4,0)</f>
        <v>150</v>
      </c>
      <c r="J257" s="4">
        <f>VLOOKUP(C257,nodes!A:D,2,0)</f>
        <v>90</v>
      </c>
      <c r="K257" s="4">
        <f>VLOOKUP(C257,nodes!A:D,4,0)</f>
        <v>120</v>
      </c>
      <c r="L257" s="4">
        <f t="shared" si="31"/>
        <v>30</v>
      </c>
      <c r="N257" s="12">
        <f t="shared" si="32"/>
        <v>7437500</v>
      </c>
      <c r="O257" s="12">
        <f t="shared" si="33"/>
        <v>42840000</v>
      </c>
      <c r="P257" s="12">
        <f t="shared" si="34"/>
        <v>11900</v>
      </c>
      <c r="R257" s="23" t="s">
        <v>39</v>
      </c>
      <c r="S257" s="23" t="str">
        <f t="shared" si="35"/>
        <v>256,</v>
      </c>
      <c r="T257" s="23" t="str">
        <f t="shared" si="35"/>
        <v>109,</v>
      </c>
      <c r="U257" s="24">
        <f t="shared" si="36"/>
        <v>130</v>
      </c>
    </row>
    <row r="258" spans="1:21" x14ac:dyDescent="0.25">
      <c r="A258" s="3">
        <v>257</v>
      </c>
      <c r="B258" s="3">
        <v>130</v>
      </c>
      <c r="C258" s="3">
        <v>151</v>
      </c>
      <c r="D258" s="2">
        <f t="shared" ref="D258:D321" si="37">E258*2</f>
        <v>10985</v>
      </c>
      <c r="E258" s="2">
        <f t="shared" si="29"/>
        <v>5492.5</v>
      </c>
      <c r="F258" s="2">
        <v>2380</v>
      </c>
      <c r="G258" s="2">
        <f t="shared" si="30"/>
        <v>991.66666666666674</v>
      </c>
      <c r="H258" s="4">
        <f>VLOOKUP(B258,nodes!A:D,2,0)</f>
        <v>90</v>
      </c>
      <c r="I258" s="4">
        <f>VLOOKUP(B258,nodes!A:D,4,0)</f>
        <v>120</v>
      </c>
      <c r="J258" s="4">
        <f>VLOOKUP(C258,nodes!A:D,2,0)</f>
        <v>90</v>
      </c>
      <c r="K258" s="4">
        <f>VLOOKUP(C258,nodes!A:D,4,0)</f>
        <v>90</v>
      </c>
      <c r="L258" s="4">
        <f t="shared" si="31"/>
        <v>30</v>
      </c>
      <c r="N258" s="12">
        <f t="shared" si="32"/>
        <v>7437500</v>
      </c>
      <c r="O258" s="12">
        <f t="shared" si="33"/>
        <v>42840000</v>
      </c>
      <c r="P258" s="12">
        <f t="shared" si="34"/>
        <v>11900</v>
      </c>
      <c r="R258" s="23" t="s">
        <v>39</v>
      </c>
      <c r="S258" s="23" t="str">
        <f t="shared" si="35"/>
        <v>257,</v>
      </c>
      <c r="T258" s="23" t="str">
        <f t="shared" si="35"/>
        <v>130,</v>
      </c>
      <c r="U258" s="24">
        <f t="shared" si="36"/>
        <v>151</v>
      </c>
    </row>
    <row r="259" spans="1:21" x14ac:dyDescent="0.25">
      <c r="A259" s="3">
        <v>258</v>
      </c>
      <c r="B259" s="3">
        <v>151</v>
      </c>
      <c r="C259" s="3">
        <v>172</v>
      </c>
      <c r="D259" s="2">
        <f t="shared" si="37"/>
        <v>10985</v>
      </c>
      <c r="E259" s="2">
        <f t="shared" ref="E259:E322" si="38">(30*13^3)/12</f>
        <v>5492.5</v>
      </c>
      <c r="F259" s="2">
        <v>2380</v>
      </c>
      <c r="G259" s="2">
        <f t="shared" ref="G259:G322" si="39">F259/(2*(1+0.2))</f>
        <v>991.66666666666674</v>
      </c>
      <c r="H259" s="4">
        <f>VLOOKUP(B259,nodes!A:D,2,0)</f>
        <v>90</v>
      </c>
      <c r="I259" s="4">
        <f>VLOOKUP(B259,nodes!A:D,4,0)</f>
        <v>90</v>
      </c>
      <c r="J259" s="4">
        <f>VLOOKUP(C259,nodes!A:D,2,0)</f>
        <v>90</v>
      </c>
      <c r="K259" s="4">
        <f>VLOOKUP(C259,nodes!A:D,4,0)</f>
        <v>60</v>
      </c>
      <c r="L259" s="4">
        <f t="shared" ref="L259:L322" si="40">((J259-H259)^2+(K259-I259)^2)^0.5</f>
        <v>30</v>
      </c>
      <c r="N259" s="12">
        <f t="shared" ref="N259:N322" si="41">12*2380*60*(25^3)/(300*12)</f>
        <v>7437500</v>
      </c>
      <c r="O259" s="12">
        <f t="shared" ref="O259:O322" si="42">12*2380*25*(60^3)/(300*12)</f>
        <v>42840000</v>
      </c>
      <c r="P259" s="12">
        <f t="shared" ref="P259:P322" si="43">2380*25*60/300</f>
        <v>11900</v>
      </c>
      <c r="R259" s="23" t="s">
        <v>39</v>
      </c>
      <c r="S259" s="23" t="str">
        <f t="shared" ref="S259:T322" si="44">A259&amp;","</f>
        <v>258,</v>
      </c>
      <c r="T259" s="23" t="str">
        <f t="shared" si="44"/>
        <v>151,</v>
      </c>
      <c r="U259" s="24">
        <f t="shared" ref="U259:U322" si="45">C259</f>
        <v>172</v>
      </c>
    </row>
    <row r="260" spans="1:21" x14ac:dyDescent="0.25">
      <c r="A260" s="3">
        <v>259</v>
      </c>
      <c r="B260" s="3">
        <v>172</v>
      </c>
      <c r="C260" s="3">
        <v>193</v>
      </c>
      <c r="D260" s="2">
        <f t="shared" si="37"/>
        <v>10985</v>
      </c>
      <c r="E260" s="2">
        <f t="shared" si="38"/>
        <v>5492.5</v>
      </c>
      <c r="F260" s="2">
        <v>2380</v>
      </c>
      <c r="G260" s="2">
        <f t="shared" si="39"/>
        <v>991.66666666666674</v>
      </c>
      <c r="H260" s="4">
        <f>VLOOKUP(B260,nodes!A:D,2,0)</f>
        <v>90</v>
      </c>
      <c r="I260" s="4">
        <f>VLOOKUP(B260,nodes!A:D,4,0)</f>
        <v>60</v>
      </c>
      <c r="J260" s="4">
        <f>VLOOKUP(C260,nodes!A:D,2,0)</f>
        <v>90</v>
      </c>
      <c r="K260" s="4">
        <f>VLOOKUP(C260,nodes!A:D,4,0)</f>
        <v>30</v>
      </c>
      <c r="L260" s="4">
        <f t="shared" si="40"/>
        <v>30</v>
      </c>
      <c r="N260" s="12">
        <f t="shared" si="41"/>
        <v>7437500</v>
      </c>
      <c r="O260" s="12">
        <f t="shared" si="42"/>
        <v>42840000</v>
      </c>
      <c r="P260" s="12">
        <f t="shared" si="43"/>
        <v>11900</v>
      </c>
      <c r="R260" s="23" t="s">
        <v>39</v>
      </c>
      <c r="S260" s="23" t="str">
        <f t="shared" si="44"/>
        <v>259,</v>
      </c>
      <c r="T260" s="23" t="str">
        <f t="shared" si="44"/>
        <v>172,</v>
      </c>
      <c r="U260" s="24">
        <f t="shared" si="45"/>
        <v>193</v>
      </c>
    </row>
    <row r="261" spans="1:21" x14ac:dyDescent="0.25">
      <c r="A261" s="3">
        <v>260</v>
      </c>
      <c r="B261" s="3">
        <v>193</v>
      </c>
      <c r="C261" s="3">
        <v>214</v>
      </c>
      <c r="D261" s="2">
        <f t="shared" si="37"/>
        <v>10985</v>
      </c>
      <c r="E261" s="2">
        <f t="shared" si="38"/>
        <v>5492.5</v>
      </c>
      <c r="F261" s="2">
        <v>2380</v>
      </c>
      <c r="G261" s="2">
        <f t="shared" si="39"/>
        <v>991.66666666666674</v>
      </c>
      <c r="H261" s="4">
        <f>VLOOKUP(B261,nodes!A:D,2,0)</f>
        <v>90</v>
      </c>
      <c r="I261" s="4">
        <f>VLOOKUP(B261,nodes!A:D,4,0)</f>
        <v>30</v>
      </c>
      <c r="J261" s="4">
        <f>VLOOKUP(C261,nodes!A:D,2,0)</f>
        <v>90</v>
      </c>
      <c r="K261" s="4">
        <f>VLOOKUP(C261,nodes!A:D,4,0)</f>
        <v>0</v>
      </c>
      <c r="L261" s="4">
        <f t="shared" si="40"/>
        <v>30</v>
      </c>
      <c r="N261" s="12">
        <f t="shared" si="41"/>
        <v>7437500</v>
      </c>
      <c r="O261" s="12">
        <f t="shared" si="42"/>
        <v>42840000</v>
      </c>
      <c r="P261" s="12">
        <f t="shared" si="43"/>
        <v>11900</v>
      </c>
      <c r="R261" s="23" t="s">
        <v>39</v>
      </c>
      <c r="S261" s="23" t="str">
        <f t="shared" si="44"/>
        <v>260,</v>
      </c>
      <c r="T261" s="23" t="str">
        <f t="shared" si="44"/>
        <v>193,</v>
      </c>
      <c r="U261" s="24">
        <f t="shared" si="45"/>
        <v>214</v>
      </c>
    </row>
    <row r="262" spans="1:21" x14ac:dyDescent="0.25">
      <c r="A262" s="3">
        <v>261</v>
      </c>
      <c r="B262" s="3">
        <v>5</v>
      </c>
      <c r="C262" s="3">
        <v>26</v>
      </c>
      <c r="D262" s="2">
        <f t="shared" si="37"/>
        <v>10985</v>
      </c>
      <c r="E262" s="2">
        <f t="shared" si="38"/>
        <v>5492.5</v>
      </c>
      <c r="F262" s="2">
        <v>2380</v>
      </c>
      <c r="G262" s="2">
        <f t="shared" si="39"/>
        <v>991.66666666666674</v>
      </c>
      <c r="H262" s="4">
        <f>VLOOKUP(B262,nodes!A:D,2,0)</f>
        <v>120</v>
      </c>
      <c r="I262" s="4">
        <f>VLOOKUP(B262,nodes!A:D,4,0)</f>
        <v>300</v>
      </c>
      <c r="J262" s="4">
        <f>VLOOKUP(C262,nodes!A:D,2,0)</f>
        <v>120</v>
      </c>
      <c r="K262" s="4">
        <f>VLOOKUP(C262,nodes!A:D,4,0)</f>
        <v>270</v>
      </c>
      <c r="L262" s="4">
        <f t="shared" si="40"/>
        <v>30</v>
      </c>
      <c r="N262" s="12">
        <f t="shared" si="41"/>
        <v>7437500</v>
      </c>
      <c r="O262" s="12">
        <f t="shared" si="42"/>
        <v>42840000</v>
      </c>
      <c r="P262" s="12">
        <f t="shared" si="43"/>
        <v>11900</v>
      </c>
      <c r="R262" s="23" t="s">
        <v>39</v>
      </c>
      <c r="S262" s="23" t="str">
        <f t="shared" si="44"/>
        <v>261,</v>
      </c>
      <c r="T262" s="23" t="str">
        <f t="shared" si="44"/>
        <v>5,</v>
      </c>
      <c r="U262" s="24">
        <f t="shared" si="45"/>
        <v>26</v>
      </c>
    </row>
    <row r="263" spans="1:21" x14ac:dyDescent="0.25">
      <c r="A263" s="3">
        <v>262</v>
      </c>
      <c r="B263" s="3">
        <v>26</v>
      </c>
      <c r="C263" s="3">
        <v>47</v>
      </c>
      <c r="D263" s="2">
        <f t="shared" si="37"/>
        <v>10985</v>
      </c>
      <c r="E263" s="2">
        <f t="shared" si="38"/>
        <v>5492.5</v>
      </c>
      <c r="F263" s="2">
        <v>2380</v>
      </c>
      <c r="G263" s="2">
        <f t="shared" si="39"/>
        <v>991.66666666666674</v>
      </c>
      <c r="H263" s="4">
        <f>VLOOKUP(B263,nodes!A:D,2,0)</f>
        <v>120</v>
      </c>
      <c r="I263" s="4">
        <f>VLOOKUP(B263,nodes!A:D,4,0)</f>
        <v>270</v>
      </c>
      <c r="J263" s="4">
        <f>VLOOKUP(C263,nodes!A:D,2,0)</f>
        <v>120</v>
      </c>
      <c r="K263" s="4">
        <f>VLOOKUP(C263,nodes!A:D,4,0)</f>
        <v>240</v>
      </c>
      <c r="L263" s="4">
        <f t="shared" si="40"/>
        <v>30</v>
      </c>
      <c r="N263" s="12">
        <f t="shared" si="41"/>
        <v>7437500</v>
      </c>
      <c r="O263" s="12">
        <f t="shared" si="42"/>
        <v>42840000</v>
      </c>
      <c r="P263" s="12">
        <f t="shared" si="43"/>
        <v>11900</v>
      </c>
      <c r="R263" s="23" t="s">
        <v>39</v>
      </c>
      <c r="S263" s="23" t="str">
        <f t="shared" si="44"/>
        <v>262,</v>
      </c>
      <c r="T263" s="23" t="str">
        <f t="shared" si="44"/>
        <v>26,</v>
      </c>
      <c r="U263" s="24">
        <f t="shared" si="45"/>
        <v>47</v>
      </c>
    </row>
    <row r="264" spans="1:21" x14ac:dyDescent="0.25">
      <c r="A264" s="3">
        <v>263</v>
      </c>
      <c r="B264" s="3">
        <v>47</v>
      </c>
      <c r="C264" s="3">
        <v>68</v>
      </c>
      <c r="D264" s="2">
        <f t="shared" si="37"/>
        <v>10985</v>
      </c>
      <c r="E264" s="2">
        <f t="shared" si="38"/>
        <v>5492.5</v>
      </c>
      <c r="F264" s="2">
        <v>2380</v>
      </c>
      <c r="G264" s="2">
        <f t="shared" si="39"/>
        <v>991.66666666666674</v>
      </c>
      <c r="H264" s="4">
        <f>VLOOKUP(B264,nodes!A:D,2,0)</f>
        <v>120</v>
      </c>
      <c r="I264" s="4">
        <f>VLOOKUP(B264,nodes!A:D,4,0)</f>
        <v>240</v>
      </c>
      <c r="J264" s="4">
        <f>VLOOKUP(C264,nodes!A:D,2,0)</f>
        <v>120</v>
      </c>
      <c r="K264" s="4">
        <f>VLOOKUP(C264,nodes!A:D,4,0)</f>
        <v>210</v>
      </c>
      <c r="L264" s="4">
        <f t="shared" si="40"/>
        <v>30</v>
      </c>
      <c r="N264" s="12">
        <f t="shared" si="41"/>
        <v>7437500</v>
      </c>
      <c r="O264" s="12">
        <f t="shared" si="42"/>
        <v>42840000</v>
      </c>
      <c r="P264" s="12">
        <f t="shared" si="43"/>
        <v>11900</v>
      </c>
      <c r="R264" s="23" t="s">
        <v>39</v>
      </c>
      <c r="S264" s="23" t="str">
        <f t="shared" si="44"/>
        <v>263,</v>
      </c>
      <c r="T264" s="23" t="str">
        <f t="shared" si="44"/>
        <v>47,</v>
      </c>
      <c r="U264" s="24">
        <f t="shared" si="45"/>
        <v>68</v>
      </c>
    </row>
    <row r="265" spans="1:21" x14ac:dyDescent="0.25">
      <c r="A265" s="3">
        <v>264</v>
      </c>
      <c r="B265" s="3">
        <v>68</v>
      </c>
      <c r="C265" s="3">
        <v>89</v>
      </c>
      <c r="D265" s="2">
        <f t="shared" si="37"/>
        <v>10985</v>
      </c>
      <c r="E265" s="2">
        <f t="shared" si="38"/>
        <v>5492.5</v>
      </c>
      <c r="F265" s="2">
        <v>2380</v>
      </c>
      <c r="G265" s="2">
        <f t="shared" si="39"/>
        <v>991.66666666666674</v>
      </c>
      <c r="H265" s="4">
        <f>VLOOKUP(B265,nodes!A:D,2,0)</f>
        <v>120</v>
      </c>
      <c r="I265" s="4">
        <f>VLOOKUP(B265,nodes!A:D,4,0)</f>
        <v>210</v>
      </c>
      <c r="J265" s="4">
        <f>VLOOKUP(C265,nodes!A:D,2,0)</f>
        <v>120</v>
      </c>
      <c r="K265" s="4">
        <f>VLOOKUP(C265,nodes!A:D,4,0)</f>
        <v>180</v>
      </c>
      <c r="L265" s="4">
        <f t="shared" si="40"/>
        <v>30</v>
      </c>
      <c r="N265" s="12">
        <f t="shared" si="41"/>
        <v>7437500</v>
      </c>
      <c r="O265" s="12">
        <f t="shared" si="42"/>
        <v>42840000</v>
      </c>
      <c r="P265" s="12">
        <f t="shared" si="43"/>
        <v>11900</v>
      </c>
      <c r="R265" s="23" t="s">
        <v>39</v>
      </c>
      <c r="S265" s="23" t="str">
        <f t="shared" si="44"/>
        <v>264,</v>
      </c>
      <c r="T265" s="23" t="str">
        <f t="shared" si="44"/>
        <v>68,</v>
      </c>
      <c r="U265" s="24">
        <f t="shared" si="45"/>
        <v>89</v>
      </c>
    </row>
    <row r="266" spans="1:21" x14ac:dyDescent="0.25">
      <c r="A266" s="3">
        <v>265</v>
      </c>
      <c r="B266" s="3">
        <v>89</v>
      </c>
      <c r="C266" s="3">
        <v>110</v>
      </c>
      <c r="D266" s="2">
        <f t="shared" si="37"/>
        <v>10985</v>
      </c>
      <c r="E266" s="2">
        <f t="shared" si="38"/>
        <v>5492.5</v>
      </c>
      <c r="F266" s="2">
        <v>2380</v>
      </c>
      <c r="G266" s="2">
        <f t="shared" si="39"/>
        <v>991.66666666666674</v>
      </c>
      <c r="H266" s="4">
        <f>VLOOKUP(B266,nodes!A:D,2,0)</f>
        <v>120</v>
      </c>
      <c r="I266" s="4">
        <f>VLOOKUP(B266,nodes!A:D,4,0)</f>
        <v>180</v>
      </c>
      <c r="J266" s="4">
        <f>VLOOKUP(C266,nodes!A:D,2,0)</f>
        <v>120</v>
      </c>
      <c r="K266" s="4">
        <f>VLOOKUP(C266,nodes!A:D,4,0)</f>
        <v>150</v>
      </c>
      <c r="L266" s="4">
        <f t="shared" si="40"/>
        <v>30</v>
      </c>
      <c r="N266" s="12">
        <f t="shared" si="41"/>
        <v>7437500</v>
      </c>
      <c r="O266" s="12">
        <f t="shared" si="42"/>
        <v>42840000</v>
      </c>
      <c r="P266" s="12">
        <f t="shared" si="43"/>
        <v>11900</v>
      </c>
      <c r="R266" s="23" t="s">
        <v>39</v>
      </c>
      <c r="S266" s="23" t="str">
        <f t="shared" si="44"/>
        <v>265,</v>
      </c>
      <c r="T266" s="23" t="str">
        <f t="shared" si="44"/>
        <v>89,</v>
      </c>
      <c r="U266" s="24">
        <f t="shared" si="45"/>
        <v>110</v>
      </c>
    </row>
    <row r="267" spans="1:21" x14ac:dyDescent="0.25">
      <c r="A267" s="3">
        <v>266</v>
      </c>
      <c r="B267" s="3">
        <v>110</v>
      </c>
      <c r="C267" s="3">
        <v>131</v>
      </c>
      <c r="D267" s="2">
        <f t="shared" si="37"/>
        <v>10985</v>
      </c>
      <c r="E267" s="2">
        <f t="shared" si="38"/>
        <v>5492.5</v>
      </c>
      <c r="F267" s="2">
        <v>2380</v>
      </c>
      <c r="G267" s="2">
        <f t="shared" si="39"/>
        <v>991.66666666666674</v>
      </c>
      <c r="H267" s="4">
        <f>VLOOKUP(B267,nodes!A:D,2,0)</f>
        <v>120</v>
      </c>
      <c r="I267" s="4">
        <f>VLOOKUP(B267,nodes!A:D,4,0)</f>
        <v>150</v>
      </c>
      <c r="J267" s="4">
        <f>VLOOKUP(C267,nodes!A:D,2,0)</f>
        <v>120</v>
      </c>
      <c r="K267" s="4">
        <f>VLOOKUP(C267,nodes!A:D,4,0)</f>
        <v>120</v>
      </c>
      <c r="L267" s="4">
        <f t="shared" si="40"/>
        <v>30</v>
      </c>
      <c r="N267" s="12">
        <f t="shared" si="41"/>
        <v>7437500</v>
      </c>
      <c r="O267" s="12">
        <f t="shared" si="42"/>
        <v>42840000</v>
      </c>
      <c r="P267" s="12">
        <f t="shared" si="43"/>
        <v>11900</v>
      </c>
      <c r="R267" s="23" t="s">
        <v>39</v>
      </c>
      <c r="S267" s="23" t="str">
        <f t="shared" si="44"/>
        <v>266,</v>
      </c>
      <c r="T267" s="23" t="str">
        <f t="shared" si="44"/>
        <v>110,</v>
      </c>
      <c r="U267" s="24">
        <f t="shared" si="45"/>
        <v>131</v>
      </c>
    </row>
    <row r="268" spans="1:21" x14ac:dyDescent="0.25">
      <c r="A268" s="3">
        <v>267</v>
      </c>
      <c r="B268" s="3">
        <v>131</v>
      </c>
      <c r="C268" s="3">
        <v>152</v>
      </c>
      <c r="D268" s="2">
        <f t="shared" si="37"/>
        <v>10985</v>
      </c>
      <c r="E268" s="2">
        <f t="shared" si="38"/>
        <v>5492.5</v>
      </c>
      <c r="F268" s="2">
        <v>2380</v>
      </c>
      <c r="G268" s="2">
        <f t="shared" si="39"/>
        <v>991.66666666666674</v>
      </c>
      <c r="H268" s="4">
        <f>VLOOKUP(B268,nodes!A:D,2,0)</f>
        <v>120</v>
      </c>
      <c r="I268" s="4">
        <f>VLOOKUP(B268,nodes!A:D,4,0)</f>
        <v>120</v>
      </c>
      <c r="J268" s="4">
        <f>VLOOKUP(C268,nodes!A:D,2,0)</f>
        <v>120</v>
      </c>
      <c r="K268" s="4">
        <f>VLOOKUP(C268,nodes!A:D,4,0)</f>
        <v>90</v>
      </c>
      <c r="L268" s="4">
        <f t="shared" si="40"/>
        <v>30</v>
      </c>
      <c r="N268" s="12">
        <f t="shared" si="41"/>
        <v>7437500</v>
      </c>
      <c r="O268" s="12">
        <f t="shared" si="42"/>
        <v>42840000</v>
      </c>
      <c r="P268" s="12">
        <f t="shared" si="43"/>
        <v>11900</v>
      </c>
      <c r="R268" s="23" t="s">
        <v>39</v>
      </c>
      <c r="S268" s="23" t="str">
        <f t="shared" si="44"/>
        <v>267,</v>
      </c>
      <c r="T268" s="23" t="str">
        <f t="shared" si="44"/>
        <v>131,</v>
      </c>
      <c r="U268" s="24">
        <f t="shared" si="45"/>
        <v>152</v>
      </c>
    </row>
    <row r="269" spans="1:21" x14ac:dyDescent="0.25">
      <c r="A269" s="3">
        <v>268</v>
      </c>
      <c r="B269" s="3">
        <v>152</v>
      </c>
      <c r="C269" s="3">
        <v>173</v>
      </c>
      <c r="D269" s="2">
        <f t="shared" si="37"/>
        <v>10985</v>
      </c>
      <c r="E269" s="2">
        <f t="shared" si="38"/>
        <v>5492.5</v>
      </c>
      <c r="F269" s="2">
        <v>2380</v>
      </c>
      <c r="G269" s="2">
        <f t="shared" si="39"/>
        <v>991.66666666666674</v>
      </c>
      <c r="H269" s="4">
        <f>VLOOKUP(B269,nodes!A:D,2,0)</f>
        <v>120</v>
      </c>
      <c r="I269" s="4">
        <f>VLOOKUP(B269,nodes!A:D,4,0)</f>
        <v>90</v>
      </c>
      <c r="J269" s="4">
        <f>VLOOKUP(C269,nodes!A:D,2,0)</f>
        <v>120</v>
      </c>
      <c r="K269" s="4">
        <f>VLOOKUP(C269,nodes!A:D,4,0)</f>
        <v>60</v>
      </c>
      <c r="L269" s="4">
        <f t="shared" si="40"/>
        <v>30</v>
      </c>
      <c r="N269" s="12">
        <f t="shared" si="41"/>
        <v>7437500</v>
      </c>
      <c r="O269" s="12">
        <f t="shared" si="42"/>
        <v>42840000</v>
      </c>
      <c r="P269" s="12">
        <f t="shared" si="43"/>
        <v>11900</v>
      </c>
      <c r="R269" s="23" t="s">
        <v>39</v>
      </c>
      <c r="S269" s="23" t="str">
        <f t="shared" si="44"/>
        <v>268,</v>
      </c>
      <c r="T269" s="23" t="str">
        <f t="shared" si="44"/>
        <v>152,</v>
      </c>
      <c r="U269" s="24">
        <f t="shared" si="45"/>
        <v>173</v>
      </c>
    </row>
    <row r="270" spans="1:21" x14ac:dyDescent="0.25">
      <c r="A270" s="3">
        <v>269</v>
      </c>
      <c r="B270" s="3">
        <v>173</v>
      </c>
      <c r="C270" s="3">
        <v>194</v>
      </c>
      <c r="D270" s="2">
        <f t="shared" si="37"/>
        <v>10985</v>
      </c>
      <c r="E270" s="2">
        <f t="shared" si="38"/>
        <v>5492.5</v>
      </c>
      <c r="F270" s="2">
        <v>2380</v>
      </c>
      <c r="G270" s="2">
        <f t="shared" si="39"/>
        <v>991.66666666666674</v>
      </c>
      <c r="H270" s="4">
        <f>VLOOKUP(B270,nodes!A:D,2,0)</f>
        <v>120</v>
      </c>
      <c r="I270" s="4">
        <f>VLOOKUP(B270,nodes!A:D,4,0)</f>
        <v>60</v>
      </c>
      <c r="J270" s="4">
        <f>VLOOKUP(C270,nodes!A:D,2,0)</f>
        <v>120</v>
      </c>
      <c r="K270" s="4">
        <f>VLOOKUP(C270,nodes!A:D,4,0)</f>
        <v>30</v>
      </c>
      <c r="L270" s="4">
        <f t="shared" si="40"/>
        <v>30</v>
      </c>
      <c r="N270" s="12">
        <f t="shared" si="41"/>
        <v>7437500</v>
      </c>
      <c r="O270" s="12">
        <f t="shared" si="42"/>
        <v>42840000</v>
      </c>
      <c r="P270" s="12">
        <f t="shared" si="43"/>
        <v>11900</v>
      </c>
      <c r="R270" s="23" t="s">
        <v>39</v>
      </c>
      <c r="S270" s="23" t="str">
        <f t="shared" si="44"/>
        <v>269,</v>
      </c>
      <c r="T270" s="23" t="str">
        <f t="shared" si="44"/>
        <v>173,</v>
      </c>
      <c r="U270" s="24">
        <f t="shared" si="45"/>
        <v>194</v>
      </c>
    </row>
    <row r="271" spans="1:21" x14ac:dyDescent="0.25">
      <c r="A271" s="3">
        <v>270</v>
      </c>
      <c r="B271" s="3">
        <v>194</v>
      </c>
      <c r="C271" s="3">
        <v>215</v>
      </c>
      <c r="D271" s="2">
        <f t="shared" si="37"/>
        <v>10985</v>
      </c>
      <c r="E271" s="2">
        <f t="shared" si="38"/>
        <v>5492.5</v>
      </c>
      <c r="F271" s="2">
        <v>2380</v>
      </c>
      <c r="G271" s="2">
        <f t="shared" si="39"/>
        <v>991.66666666666674</v>
      </c>
      <c r="H271" s="4">
        <f>VLOOKUP(B271,nodes!A:D,2,0)</f>
        <v>120</v>
      </c>
      <c r="I271" s="4">
        <f>VLOOKUP(B271,nodes!A:D,4,0)</f>
        <v>30</v>
      </c>
      <c r="J271" s="4">
        <f>VLOOKUP(C271,nodes!A:D,2,0)</f>
        <v>120</v>
      </c>
      <c r="K271" s="4">
        <f>VLOOKUP(C271,nodes!A:D,4,0)</f>
        <v>0</v>
      </c>
      <c r="L271" s="4">
        <f t="shared" si="40"/>
        <v>30</v>
      </c>
      <c r="N271" s="12">
        <f t="shared" si="41"/>
        <v>7437500</v>
      </c>
      <c r="O271" s="12">
        <f t="shared" si="42"/>
        <v>42840000</v>
      </c>
      <c r="P271" s="12">
        <f t="shared" si="43"/>
        <v>11900</v>
      </c>
      <c r="R271" s="23" t="s">
        <v>39</v>
      </c>
      <c r="S271" s="23" t="str">
        <f t="shared" si="44"/>
        <v>270,</v>
      </c>
      <c r="T271" s="23" t="str">
        <f t="shared" si="44"/>
        <v>194,</v>
      </c>
      <c r="U271" s="24">
        <f t="shared" si="45"/>
        <v>215</v>
      </c>
    </row>
    <row r="272" spans="1:21" x14ac:dyDescent="0.25">
      <c r="A272" s="3">
        <v>271</v>
      </c>
      <c r="B272" s="3">
        <v>6</v>
      </c>
      <c r="C272" s="3">
        <v>27</v>
      </c>
      <c r="D272" s="2">
        <f t="shared" si="37"/>
        <v>10985</v>
      </c>
      <c r="E272" s="2">
        <f t="shared" si="38"/>
        <v>5492.5</v>
      </c>
      <c r="F272" s="2">
        <v>2380</v>
      </c>
      <c r="G272" s="2">
        <f t="shared" si="39"/>
        <v>991.66666666666674</v>
      </c>
      <c r="H272" s="4">
        <f>VLOOKUP(B272,nodes!A:D,2,0)</f>
        <v>150</v>
      </c>
      <c r="I272" s="4">
        <f>VLOOKUP(B272,nodes!A:D,4,0)</f>
        <v>300</v>
      </c>
      <c r="J272" s="4">
        <f>VLOOKUP(C272,nodes!A:D,2,0)</f>
        <v>150</v>
      </c>
      <c r="K272" s="4">
        <f>VLOOKUP(C272,nodes!A:D,4,0)</f>
        <v>270</v>
      </c>
      <c r="L272" s="4">
        <f t="shared" si="40"/>
        <v>30</v>
      </c>
      <c r="N272" s="12">
        <f t="shared" si="41"/>
        <v>7437500</v>
      </c>
      <c r="O272" s="12">
        <f t="shared" si="42"/>
        <v>42840000</v>
      </c>
      <c r="P272" s="12">
        <f t="shared" si="43"/>
        <v>11900</v>
      </c>
      <c r="R272" s="23" t="s">
        <v>39</v>
      </c>
      <c r="S272" s="23" t="str">
        <f t="shared" si="44"/>
        <v>271,</v>
      </c>
      <c r="T272" s="23" t="str">
        <f t="shared" si="44"/>
        <v>6,</v>
      </c>
      <c r="U272" s="24">
        <f t="shared" si="45"/>
        <v>27</v>
      </c>
    </row>
    <row r="273" spans="1:21" x14ac:dyDescent="0.25">
      <c r="A273" s="3">
        <v>272</v>
      </c>
      <c r="B273" s="3">
        <v>27</v>
      </c>
      <c r="C273" s="3">
        <v>48</v>
      </c>
      <c r="D273" s="2">
        <f t="shared" si="37"/>
        <v>10985</v>
      </c>
      <c r="E273" s="2">
        <f t="shared" si="38"/>
        <v>5492.5</v>
      </c>
      <c r="F273" s="2">
        <v>2380</v>
      </c>
      <c r="G273" s="2">
        <f t="shared" si="39"/>
        <v>991.66666666666674</v>
      </c>
      <c r="H273" s="4">
        <f>VLOOKUP(B273,nodes!A:D,2,0)</f>
        <v>150</v>
      </c>
      <c r="I273" s="4">
        <f>VLOOKUP(B273,nodes!A:D,4,0)</f>
        <v>270</v>
      </c>
      <c r="J273" s="4">
        <f>VLOOKUP(C273,nodes!A:D,2,0)</f>
        <v>150</v>
      </c>
      <c r="K273" s="4">
        <f>VLOOKUP(C273,nodes!A:D,4,0)</f>
        <v>240</v>
      </c>
      <c r="L273" s="4">
        <f t="shared" si="40"/>
        <v>30</v>
      </c>
      <c r="N273" s="12">
        <f t="shared" si="41"/>
        <v>7437500</v>
      </c>
      <c r="O273" s="12">
        <f t="shared" si="42"/>
        <v>42840000</v>
      </c>
      <c r="P273" s="12">
        <f t="shared" si="43"/>
        <v>11900</v>
      </c>
      <c r="R273" s="23" t="s">
        <v>39</v>
      </c>
      <c r="S273" s="23" t="str">
        <f t="shared" si="44"/>
        <v>272,</v>
      </c>
      <c r="T273" s="23" t="str">
        <f t="shared" si="44"/>
        <v>27,</v>
      </c>
      <c r="U273" s="24">
        <f t="shared" si="45"/>
        <v>48</v>
      </c>
    </row>
    <row r="274" spans="1:21" x14ac:dyDescent="0.25">
      <c r="A274" s="3">
        <v>273</v>
      </c>
      <c r="B274" s="3">
        <v>48</v>
      </c>
      <c r="C274" s="3">
        <v>69</v>
      </c>
      <c r="D274" s="2">
        <f t="shared" si="37"/>
        <v>10985</v>
      </c>
      <c r="E274" s="2">
        <f t="shared" si="38"/>
        <v>5492.5</v>
      </c>
      <c r="F274" s="2">
        <v>2380</v>
      </c>
      <c r="G274" s="2">
        <f t="shared" si="39"/>
        <v>991.66666666666674</v>
      </c>
      <c r="H274" s="4">
        <f>VLOOKUP(B274,nodes!A:D,2,0)</f>
        <v>150</v>
      </c>
      <c r="I274" s="4">
        <f>VLOOKUP(B274,nodes!A:D,4,0)</f>
        <v>240</v>
      </c>
      <c r="J274" s="4">
        <f>VLOOKUP(C274,nodes!A:D,2,0)</f>
        <v>150</v>
      </c>
      <c r="K274" s="4">
        <f>VLOOKUP(C274,nodes!A:D,4,0)</f>
        <v>210</v>
      </c>
      <c r="L274" s="4">
        <f t="shared" si="40"/>
        <v>30</v>
      </c>
      <c r="N274" s="12">
        <f t="shared" si="41"/>
        <v>7437500</v>
      </c>
      <c r="O274" s="12">
        <f t="shared" si="42"/>
        <v>42840000</v>
      </c>
      <c r="P274" s="12">
        <f t="shared" si="43"/>
        <v>11900</v>
      </c>
      <c r="R274" s="23" t="s">
        <v>39</v>
      </c>
      <c r="S274" s="23" t="str">
        <f t="shared" si="44"/>
        <v>273,</v>
      </c>
      <c r="T274" s="23" t="str">
        <f t="shared" si="44"/>
        <v>48,</v>
      </c>
      <c r="U274" s="24">
        <f t="shared" si="45"/>
        <v>69</v>
      </c>
    </row>
    <row r="275" spans="1:21" x14ac:dyDescent="0.25">
      <c r="A275" s="3">
        <v>274</v>
      </c>
      <c r="B275" s="3">
        <v>69</v>
      </c>
      <c r="C275" s="3">
        <v>90</v>
      </c>
      <c r="D275" s="2">
        <f t="shared" si="37"/>
        <v>10985</v>
      </c>
      <c r="E275" s="2">
        <f t="shared" si="38"/>
        <v>5492.5</v>
      </c>
      <c r="F275" s="2">
        <v>2380</v>
      </c>
      <c r="G275" s="2">
        <f t="shared" si="39"/>
        <v>991.66666666666674</v>
      </c>
      <c r="H275" s="4">
        <f>VLOOKUP(B275,nodes!A:D,2,0)</f>
        <v>150</v>
      </c>
      <c r="I275" s="4">
        <f>VLOOKUP(B275,nodes!A:D,4,0)</f>
        <v>210</v>
      </c>
      <c r="J275" s="4">
        <f>VLOOKUP(C275,nodes!A:D,2,0)</f>
        <v>150</v>
      </c>
      <c r="K275" s="4">
        <f>VLOOKUP(C275,nodes!A:D,4,0)</f>
        <v>180</v>
      </c>
      <c r="L275" s="4">
        <f t="shared" si="40"/>
        <v>30</v>
      </c>
      <c r="N275" s="12">
        <f t="shared" si="41"/>
        <v>7437500</v>
      </c>
      <c r="O275" s="12">
        <f t="shared" si="42"/>
        <v>42840000</v>
      </c>
      <c r="P275" s="12">
        <f t="shared" si="43"/>
        <v>11900</v>
      </c>
      <c r="R275" s="23" t="s">
        <v>39</v>
      </c>
      <c r="S275" s="23" t="str">
        <f t="shared" si="44"/>
        <v>274,</v>
      </c>
      <c r="T275" s="23" t="str">
        <f t="shared" si="44"/>
        <v>69,</v>
      </c>
      <c r="U275" s="24">
        <f t="shared" si="45"/>
        <v>90</v>
      </c>
    </row>
    <row r="276" spans="1:21" x14ac:dyDescent="0.25">
      <c r="A276" s="3">
        <v>275</v>
      </c>
      <c r="B276" s="3">
        <v>90</v>
      </c>
      <c r="C276" s="3">
        <v>111</v>
      </c>
      <c r="D276" s="2">
        <f t="shared" si="37"/>
        <v>10985</v>
      </c>
      <c r="E276" s="2">
        <f t="shared" si="38"/>
        <v>5492.5</v>
      </c>
      <c r="F276" s="2">
        <v>2380</v>
      </c>
      <c r="G276" s="2">
        <f t="shared" si="39"/>
        <v>991.66666666666674</v>
      </c>
      <c r="H276" s="4">
        <f>VLOOKUP(B276,nodes!A:D,2,0)</f>
        <v>150</v>
      </c>
      <c r="I276" s="4">
        <f>VLOOKUP(B276,nodes!A:D,4,0)</f>
        <v>180</v>
      </c>
      <c r="J276" s="4">
        <f>VLOOKUP(C276,nodes!A:D,2,0)</f>
        <v>150</v>
      </c>
      <c r="K276" s="4">
        <f>VLOOKUP(C276,nodes!A:D,4,0)</f>
        <v>150</v>
      </c>
      <c r="L276" s="4">
        <f t="shared" si="40"/>
        <v>30</v>
      </c>
      <c r="N276" s="12">
        <f t="shared" si="41"/>
        <v>7437500</v>
      </c>
      <c r="O276" s="12">
        <f t="shared" si="42"/>
        <v>42840000</v>
      </c>
      <c r="P276" s="12">
        <f t="shared" si="43"/>
        <v>11900</v>
      </c>
      <c r="R276" s="23" t="s">
        <v>39</v>
      </c>
      <c r="S276" s="23" t="str">
        <f t="shared" si="44"/>
        <v>275,</v>
      </c>
      <c r="T276" s="23" t="str">
        <f t="shared" si="44"/>
        <v>90,</v>
      </c>
      <c r="U276" s="24">
        <f t="shared" si="45"/>
        <v>111</v>
      </c>
    </row>
    <row r="277" spans="1:21" x14ac:dyDescent="0.25">
      <c r="A277" s="3">
        <v>276</v>
      </c>
      <c r="B277" s="3">
        <v>111</v>
      </c>
      <c r="C277" s="3">
        <v>132</v>
      </c>
      <c r="D277" s="2">
        <f t="shared" si="37"/>
        <v>10985</v>
      </c>
      <c r="E277" s="2">
        <f t="shared" si="38"/>
        <v>5492.5</v>
      </c>
      <c r="F277" s="2">
        <v>2380</v>
      </c>
      <c r="G277" s="2">
        <f t="shared" si="39"/>
        <v>991.66666666666674</v>
      </c>
      <c r="H277" s="4">
        <f>VLOOKUP(B277,nodes!A:D,2,0)</f>
        <v>150</v>
      </c>
      <c r="I277" s="4">
        <f>VLOOKUP(B277,nodes!A:D,4,0)</f>
        <v>150</v>
      </c>
      <c r="J277" s="4">
        <f>VLOOKUP(C277,nodes!A:D,2,0)</f>
        <v>150</v>
      </c>
      <c r="K277" s="4">
        <f>VLOOKUP(C277,nodes!A:D,4,0)</f>
        <v>120</v>
      </c>
      <c r="L277" s="4">
        <f t="shared" si="40"/>
        <v>30</v>
      </c>
      <c r="N277" s="12">
        <f t="shared" si="41"/>
        <v>7437500</v>
      </c>
      <c r="O277" s="12">
        <f t="shared" si="42"/>
        <v>42840000</v>
      </c>
      <c r="P277" s="12">
        <f t="shared" si="43"/>
        <v>11900</v>
      </c>
      <c r="R277" s="23" t="s">
        <v>39</v>
      </c>
      <c r="S277" s="23" t="str">
        <f t="shared" si="44"/>
        <v>276,</v>
      </c>
      <c r="T277" s="23" t="str">
        <f t="shared" si="44"/>
        <v>111,</v>
      </c>
      <c r="U277" s="24">
        <f t="shared" si="45"/>
        <v>132</v>
      </c>
    </row>
    <row r="278" spans="1:21" x14ac:dyDescent="0.25">
      <c r="A278" s="3">
        <v>277</v>
      </c>
      <c r="B278" s="3">
        <v>132</v>
      </c>
      <c r="C278" s="3">
        <v>153</v>
      </c>
      <c r="D278" s="2">
        <f t="shared" si="37"/>
        <v>10985</v>
      </c>
      <c r="E278" s="2">
        <f t="shared" si="38"/>
        <v>5492.5</v>
      </c>
      <c r="F278" s="2">
        <v>2380</v>
      </c>
      <c r="G278" s="2">
        <f t="shared" si="39"/>
        <v>991.66666666666674</v>
      </c>
      <c r="H278" s="4">
        <f>VLOOKUP(B278,nodes!A:D,2,0)</f>
        <v>150</v>
      </c>
      <c r="I278" s="4">
        <f>VLOOKUP(B278,nodes!A:D,4,0)</f>
        <v>120</v>
      </c>
      <c r="J278" s="4">
        <f>VLOOKUP(C278,nodes!A:D,2,0)</f>
        <v>150</v>
      </c>
      <c r="K278" s="4">
        <f>VLOOKUP(C278,nodes!A:D,4,0)</f>
        <v>90</v>
      </c>
      <c r="L278" s="4">
        <f t="shared" si="40"/>
        <v>30</v>
      </c>
      <c r="N278" s="12">
        <f t="shared" si="41"/>
        <v>7437500</v>
      </c>
      <c r="O278" s="12">
        <f t="shared" si="42"/>
        <v>42840000</v>
      </c>
      <c r="P278" s="12">
        <f t="shared" si="43"/>
        <v>11900</v>
      </c>
      <c r="R278" s="23" t="s">
        <v>39</v>
      </c>
      <c r="S278" s="23" t="str">
        <f t="shared" si="44"/>
        <v>277,</v>
      </c>
      <c r="T278" s="23" t="str">
        <f t="shared" si="44"/>
        <v>132,</v>
      </c>
      <c r="U278" s="24">
        <f t="shared" si="45"/>
        <v>153</v>
      </c>
    </row>
    <row r="279" spans="1:21" x14ac:dyDescent="0.25">
      <c r="A279" s="3">
        <v>278</v>
      </c>
      <c r="B279" s="3">
        <v>153</v>
      </c>
      <c r="C279" s="3">
        <v>174</v>
      </c>
      <c r="D279" s="2">
        <f t="shared" si="37"/>
        <v>10985</v>
      </c>
      <c r="E279" s="2">
        <f t="shared" si="38"/>
        <v>5492.5</v>
      </c>
      <c r="F279" s="2">
        <v>2380</v>
      </c>
      <c r="G279" s="2">
        <f t="shared" si="39"/>
        <v>991.66666666666674</v>
      </c>
      <c r="H279" s="4">
        <f>VLOOKUP(B279,nodes!A:D,2,0)</f>
        <v>150</v>
      </c>
      <c r="I279" s="4">
        <f>VLOOKUP(B279,nodes!A:D,4,0)</f>
        <v>90</v>
      </c>
      <c r="J279" s="4">
        <f>VLOOKUP(C279,nodes!A:D,2,0)</f>
        <v>150</v>
      </c>
      <c r="K279" s="4">
        <f>VLOOKUP(C279,nodes!A:D,4,0)</f>
        <v>60</v>
      </c>
      <c r="L279" s="4">
        <f t="shared" si="40"/>
        <v>30</v>
      </c>
      <c r="N279" s="12">
        <f t="shared" si="41"/>
        <v>7437500</v>
      </c>
      <c r="O279" s="12">
        <f t="shared" si="42"/>
        <v>42840000</v>
      </c>
      <c r="P279" s="12">
        <f t="shared" si="43"/>
        <v>11900</v>
      </c>
      <c r="R279" s="23" t="s">
        <v>39</v>
      </c>
      <c r="S279" s="23" t="str">
        <f t="shared" si="44"/>
        <v>278,</v>
      </c>
      <c r="T279" s="23" t="str">
        <f t="shared" si="44"/>
        <v>153,</v>
      </c>
      <c r="U279" s="24">
        <f t="shared" si="45"/>
        <v>174</v>
      </c>
    </row>
    <row r="280" spans="1:21" x14ac:dyDescent="0.25">
      <c r="A280" s="3">
        <v>279</v>
      </c>
      <c r="B280" s="3">
        <v>174</v>
      </c>
      <c r="C280" s="3">
        <v>195</v>
      </c>
      <c r="D280" s="2">
        <f t="shared" si="37"/>
        <v>10985</v>
      </c>
      <c r="E280" s="2">
        <f t="shared" si="38"/>
        <v>5492.5</v>
      </c>
      <c r="F280" s="2">
        <v>2380</v>
      </c>
      <c r="G280" s="2">
        <f t="shared" si="39"/>
        <v>991.66666666666674</v>
      </c>
      <c r="H280" s="4">
        <f>VLOOKUP(B280,nodes!A:D,2,0)</f>
        <v>150</v>
      </c>
      <c r="I280" s="4">
        <f>VLOOKUP(B280,nodes!A:D,4,0)</f>
        <v>60</v>
      </c>
      <c r="J280" s="4">
        <f>VLOOKUP(C280,nodes!A:D,2,0)</f>
        <v>150</v>
      </c>
      <c r="K280" s="4">
        <f>VLOOKUP(C280,nodes!A:D,4,0)</f>
        <v>30</v>
      </c>
      <c r="L280" s="4">
        <f t="shared" si="40"/>
        <v>30</v>
      </c>
      <c r="N280" s="12">
        <f t="shared" si="41"/>
        <v>7437500</v>
      </c>
      <c r="O280" s="12">
        <f t="shared" si="42"/>
        <v>42840000</v>
      </c>
      <c r="P280" s="12">
        <f t="shared" si="43"/>
        <v>11900</v>
      </c>
      <c r="R280" s="23" t="s">
        <v>39</v>
      </c>
      <c r="S280" s="23" t="str">
        <f t="shared" si="44"/>
        <v>279,</v>
      </c>
      <c r="T280" s="23" t="str">
        <f t="shared" si="44"/>
        <v>174,</v>
      </c>
      <c r="U280" s="24">
        <f t="shared" si="45"/>
        <v>195</v>
      </c>
    </row>
    <row r="281" spans="1:21" x14ac:dyDescent="0.25">
      <c r="A281" s="3">
        <v>280</v>
      </c>
      <c r="B281" s="3">
        <v>195</v>
      </c>
      <c r="C281" s="3">
        <v>216</v>
      </c>
      <c r="D281" s="2">
        <f t="shared" si="37"/>
        <v>10985</v>
      </c>
      <c r="E281" s="2">
        <f t="shared" si="38"/>
        <v>5492.5</v>
      </c>
      <c r="F281" s="2">
        <v>2380</v>
      </c>
      <c r="G281" s="2">
        <f t="shared" si="39"/>
        <v>991.66666666666674</v>
      </c>
      <c r="H281" s="4">
        <f>VLOOKUP(B281,nodes!A:D,2,0)</f>
        <v>150</v>
      </c>
      <c r="I281" s="4">
        <f>VLOOKUP(B281,nodes!A:D,4,0)</f>
        <v>30</v>
      </c>
      <c r="J281" s="4">
        <f>VLOOKUP(C281,nodes!A:D,2,0)</f>
        <v>150</v>
      </c>
      <c r="K281" s="4">
        <f>VLOOKUP(C281,nodes!A:D,4,0)</f>
        <v>0</v>
      </c>
      <c r="L281" s="4">
        <f t="shared" si="40"/>
        <v>30</v>
      </c>
      <c r="N281" s="12">
        <f t="shared" si="41"/>
        <v>7437500</v>
      </c>
      <c r="O281" s="12">
        <f t="shared" si="42"/>
        <v>42840000</v>
      </c>
      <c r="P281" s="12">
        <f t="shared" si="43"/>
        <v>11900</v>
      </c>
      <c r="R281" s="23" t="s">
        <v>39</v>
      </c>
      <c r="S281" s="23" t="str">
        <f t="shared" si="44"/>
        <v>280,</v>
      </c>
      <c r="T281" s="23" t="str">
        <f t="shared" si="44"/>
        <v>195,</v>
      </c>
      <c r="U281" s="24">
        <f t="shared" si="45"/>
        <v>216</v>
      </c>
    </row>
    <row r="282" spans="1:21" x14ac:dyDescent="0.25">
      <c r="A282" s="3">
        <v>281</v>
      </c>
      <c r="B282" s="3">
        <v>7</v>
      </c>
      <c r="C282" s="3">
        <v>28</v>
      </c>
      <c r="D282" s="2">
        <f t="shared" si="37"/>
        <v>10985</v>
      </c>
      <c r="E282" s="2">
        <f t="shared" si="38"/>
        <v>5492.5</v>
      </c>
      <c r="F282" s="2">
        <v>2380</v>
      </c>
      <c r="G282" s="2">
        <f t="shared" si="39"/>
        <v>991.66666666666674</v>
      </c>
      <c r="H282" s="4">
        <f>VLOOKUP(B282,nodes!A:D,2,0)</f>
        <v>180</v>
      </c>
      <c r="I282" s="4">
        <f>VLOOKUP(B282,nodes!A:D,4,0)</f>
        <v>300</v>
      </c>
      <c r="J282" s="4">
        <f>VLOOKUP(C282,nodes!A:D,2,0)</f>
        <v>180</v>
      </c>
      <c r="K282" s="4">
        <f>VLOOKUP(C282,nodes!A:D,4,0)</f>
        <v>270</v>
      </c>
      <c r="L282" s="4">
        <f t="shared" si="40"/>
        <v>30</v>
      </c>
      <c r="N282" s="12">
        <f t="shared" si="41"/>
        <v>7437500</v>
      </c>
      <c r="O282" s="12">
        <f t="shared" si="42"/>
        <v>42840000</v>
      </c>
      <c r="P282" s="12">
        <f t="shared" si="43"/>
        <v>11900</v>
      </c>
      <c r="R282" s="23" t="s">
        <v>39</v>
      </c>
      <c r="S282" s="23" t="str">
        <f t="shared" si="44"/>
        <v>281,</v>
      </c>
      <c r="T282" s="23" t="str">
        <f t="shared" si="44"/>
        <v>7,</v>
      </c>
      <c r="U282" s="24">
        <f t="shared" si="45"/>
        <v>28</v>
      </c>
    </row>
    <row r="283" spans="1:21" x14ac:dyDescent="0.25">
      <c r="A283" s="3">
        <v>282</v>
      </c>
      <c r="B283" s="3">
        <v>28</v>
      </c>
      <c r="C283" s="3">
        <v>49</v>
      </c>
      <c r="D283" s="2">
        <f t="shared" si="37"/>
        <v>10985</v>
      </c>
      <c r="E283" s="2">
        <f t="shared" si="38"/>
        <v>5492.5</v>
      </c>
      <c r="F283" s="2">
        <v>2380</v>
      </c>
      <c r="G283" s="2">
        <f t="shared" si="39"/>
        <v>991.66666666666674</v>
      </c>
      <c r="H283" s="4">
        <f>VLOOKUP(B283,nodes!A:D,2,0)</f>
        <v>180</v>
      </c>
      <c r="I283" s="4">
        <f>VLOOKUP(B283,nodes!A:D,4,0)</f>
        <v>270</v>
      </c>
      <c r="J283" s="4">
        <f>VLOOKUP(C283,nodes!A:D,2,0)</f>
        <v>180</v>
      </c>
      <c r="K283" s="4">
        <f>VLOOKUP(C283,nodes!A:D,4,0)</f>
        <v>240</v>
      </c>
      <c r="L283" s="4">
        <f t="shared" si="40"/>
        <v>30</v>
      </c>
      <c r="N283" s="12">
        <f t="shared" si="41"/>
        <v>7437500</v>
      </c>
      <c r="O283" s="12">
        <f t="shared" si="42"/>
        <v>42840000</v>
      </c>
      <c r="P283" s="12">
        <f t="shared" si="43"/>
        <v>11900</v>
      </c>
      <c r="R283" s="23" t="s">
        <v>39</v>
      </c>
      <c r="S283" s="23" t="str">
        <f t="shared" si="44"/>
        <v>282,</v>
      </c>
      <c r="T283" s="23" t="str">
        <f t="shared" si="44"/>
        <v>28,</v>
      </c>
      <c r="U283" s="24">
        <f t="shared" si="45"/>
        <v>49</v>
      </c>
    </row>
    <row r="284" spans="1:21" x14ac:dyDescent="0.25">
      <c r="A284" s="3">
        <v>283</v>
      </c>
      <c r="B284" s="3">
        <v>49</v>
      </c>
      <c r="C284" s="3">
        <v>70</v>
      </c>
      <c r="D284" s="2">
        <f t="shared" si="37"/>
        <v>10985</v>
      </c>
      <c r="E284" s="2">
        <f t="shared" si="38"/>
        <v>5492.5</v>
      </c>
      <c r="F284" s="2">
        <v>2380</v>
      </c>
      <c r="G284" s="2">
        <f t="shared" si="39"/>
        <v>991.66666666666674</v>
      </c>
      <c r="H284" s="4">
        <f>VLOOKUP(B284,nodes!A:D,2,0)</f>
        <v>180</v>
      </c>
      <c r="I284" s="4">
        <f>VLOOKUP(B284,nodes!A:D,4,0)</f>
        <v>240</v>
      </c>
      <c r="J284" s="4">
        <f>VLOOKUP(C284,nodes!A:D,2,0)</f>
        <v>180</v>
      </c>
      <c r="K284" s="4">
        <f>VLOOKUP(C284,nodes!A:D,4,0)</f>
        <v>210</v>
      </c>
      <c r="L284" s="4">
        <f t="shared" si="40"/>
        <v>30</v>
      </c>
      <c r="N284" s="12">
        <f t="shared" si="41"/>
        <v>7437500</v>
      </c>
      <c r="O284" s="12">
        <f t="shared" si="42"/>
        <v>42840000</v>
      </c>
      <c r="P284" s="12">
        <f t="shared" si="43"/>
        <v>11900</v>
      </c>
      <c r="R284" s="23" t="s">
        <v>39</v>
      </c>
      <c r="S284" s="23" t="str">
        <f t="shared" si="44"/>
        <v>283,</v>
      </c>
      <c r="T284" s="23" t="str">
        <f t="shared" si="44"/>
        <v>49,</v>
      </c>
      <c r="U284" s="24">
        <f t="shared" si="45"/>
        <v>70</v>
      </c>
    </row>
    <row r="285" spans="1:21" x14ac:dyDescent="0.25">
      <c r="A285" s="3">
        <v>284</v>
      </c>
      <c r="B285" s="3">
        <v>70</v>
      </c>
      <c r="C285" s="3">
        <v>91</v>
      </c>
      <c r="D285" s="2">
        <f t="shared" si="37"/>
        <v>10985</v>
      </c>
      <c r="E285" s="2">
        <f t="shared" si="38"/>
        <v>5492.5</v>
      </c>
      <c r="F285" s="2">
        <v>2380</v>
      </c>
      <c r="G285" s="2">
        <f t="shared" si="39"/>
        <v>991.66666666666674</v>
      </c>
      <c r="H285" s="4">
        <f>VLOOKUP(B285,nodes!A:D,2,0)</f>
        <v>180</v>
      </c>
      <c r="I285" s="4">
        <f>VLOOKUP(B285,nodes!A:D,4,0)</f>
        <v>210</v>
      </c>
      <c r="J285" s="4">
        <f>VLOOKUP(C285,nodes!A:D,2,0)</f>
        <v>180</v>
      </c>
      <c r="K285" s="4">
        <f>VLOOKUP(C285,nodes!A:D,4,0)</f>
        <v>180</v>
      </c>
      <c r="L285" s="4">
        <f t="shared" si="40"/>
        <v>30</v>
      </c>
      <c r="N285" s="12">
        <f t="shared" si="41"/>
        <v>7437500</v>
      </c>
      <c r="O285" s="12">
        <f t="shared" si="42"/>
        <v>42840000</v>
      </c>
      <c r="P285" s="12">
        <f t="shared" si="43"/>
        <v>11900</v>
      </c>
      <c r="R285" s="23" t="s">
        <v>39</v>
      </c>
      <c r="S285" s="23" t="str">
        <f t="shared" si="44"/>
        <v>284,</v>
      </c>
      <c r="T285" s="23" t="str">
        <f t="shared" si="44"/>
        <v>70,</v>
      </c>
      <c r="U285" s="24">
        <f t="shared" si="45"/>
        <v>91</v>
      </c>
    </row>
    <row r="286" spans="1:21" x14ac:dyDescent="0.25">
      <c r="A286" s="3">
        <v>285</v>
      </c>
      <c r="B286" s="3">
        <v>91</v>
      </c>
      <c r="C286" s="3">
        <v>112</v>
      </c>
      <c r="D286" s="2">
        <f t="shared" si="37"/>
        <v>10985</v>
      </c>
      <c r="E286" s="2">
        <f t="shared" si="38"/>
        <v>5492.5</v>
      </c>
      <c r="F286" s="2">
        <v>2380</v>
      </c>
      <c r="G286" s="2">
        <f t="shared" si="39"/>
        <v>991.66666666666674</v>
      </c>
      <c r="H286" s="4">
        <f>VLOOKUP(B286,nodes!A:D,2,0)</f>
        <v>180</v>
      </c>
      <c r="I286" s="4">
        <f>VLOOKUP(B286,nodes!A:D,4,0)</f>
        <v>180</v>
      </c>
      <c r="J286" s="4">
        <f>VLOOKUP(C286,nodes!A:D,2,0)</f>
        <v>180</v>
      </c>
      <c r="K286" s="4">
        <f>VLOOKUP(C286,nodes!A:D,4,0)</f>
        <v>150</v>
      </c>
      <c r="L286" s="4">
        <f t="shared" si="40"/>
        <v>30</v>
      </c>
      <c r="N286" s="12">
        <f t="shared" si="41"/>
        <v>7437500</v>
      </c>
      <c r="O286" s="12">
        <f t="shared" si="42"/>
        <v>42840000</v>
      </c>
      <c r="P286" s="12">
        <f t="shared" si="43"/>
        <v>11900</v>
      </c>
      <c r="R286" s="23" t="s">
        <v>39</v>
      </c>
      <c r="S286" s="23" t="str">
        <f t="shared" si="44"/>
        <v>285,</v>
      </c>
      <c r="T286" s="23" t="str">
        <f t="shared" si="44"/>
        <v>91,</v>
      </c>
      <c r="U286" s="24">
        <f t="shared" si="45"/>
        <v>112</v>
      </c>
    </row>
    <row r="287" spans="1:21" x14ac:dyDescent="0.25">
      <c r="A287" s="3">
        <v>286</v>
      </c>
      <c r="B287" s="3">
        <v>112</v>
      </c>
      <c r="C287" s="3">
        <v>133</v>
      </c>
      <c r="D287" s="2">
        <f t="shared" si="37"/>
        <v>10985</v>
      </c>
      <c r="E287" s="2">
        <f t="shared" si="38"/>
        <v>5492.5</v>
      </c>
      <c r="F287" s="2">
        <v>2380</v>
      </c>
      <c r="G287" s="2">
        <f t="shared" si="39"/>
        <v>991.66666666666674</v>
      </c>
      <c r="H287" s="4">
        <f>VLOOKUP(B287,nodes!A:D,2,0)</f>
        <v>180</v>
      </c>
      <c r="I287" s="4">
        <f>VLOOKUP(B287,nodes!A:D,4,0)</f>
        <v>150</v>
      </c>
      <c r="J287" s="4">
        <f>VLOOKUP(C287,nodes!A:D,2,0)</f>
        <v>180</v>
      </c>
      <c r="K287" s="4">
        <f>VLOOKUP(C287,nodes!A:D,4,0)</f>
        <v>120</v>
      </c>
      <c r="L287" s="4">
        <f t="shared" si="40"/>
        <v>30</v>
      </c>
      <c r="N287" s="12">
        <f t="shared" si="41"/>
        <v>7437500</v>
      </c>
      <c r="O287" s="12">
        <f t="shared" si="42"/>
        <v>42840000</v>
      </c>
      <c r="P287" s="12">
        <f t="shared" si="43"/>
        <v>11900</v>
      </c>
      <c r="R287" s="23" t="s">
        <v>39</v>
      </c>
      <c r="S287" s="23" t="str">
        <f t="shared" si="44"/>
        <v>286,</v>
      </c>
      <c r="T287" s="23" t="str">
        <f t="shared" si="44"/>
        <v>112,</v>
      </c>
      <c r="U287" s="24">
        <f t="shared" si="45"/>
        <v>133</v>
      </c>
    </row>
    <row r="288" spans="1:21" x14ac:dyDescent="0.25">
      <c r="A288" s="3">
        <v>287</v>
      </c>
      <c r="B288" s="3">
        <v>133</v>
      </c>
      <c r="C288" s="3">
        <v>154</v>
      </c>
      <c r="D288" s="2">
        <f t="shared" si="37"/>
        <v>10985</v>
      </c>
      <c r="E288" s="2">
        <f t="shared" si="38"/>
        <v>5492.5</v>
      </c>
      <c r="F288" s="2">
        <v>2380</v>
      </c>
      <c r="G288" s="2">
        <f t="shared" si="39"/>
        <v>991.66666666666674</v>
      </c>
      <c r="H288" s="4">
        <f>VLOOKUP(B288,nodes!A:D,2,0)</f>
        <v>180</v>
      </c>
      <c r="I288" s="4">
        <f>VLOOKUP(B288,nodes!A:D,4,0)</f>
        <v>120</v>
      </c>
      <c r="J288" s="4">
        <f>VLOOKUP(C288,nodes!A:D,2,0)</f>
        <v>180</v>
      </c>
      <c r="K288" s="4">
        <f>VLOOKUP(C288,nodes!A:D,4,0)</f>
        <v>90</v>
      </c>
      <c r="L288" s="4">
        <f t="shared" si="40"/>
        <v>30</v>
      </c>
      <c r="N288" s="12">
        <f t="shared" si="41"/>
        <v>7437500</v>
      </c>
      <c r="O288" s="12">
        <f t="shared" si="42"/>
        <v>42840000</v>
      </c>
      <c r="P288" s="12">
        <f t="shared" si="43"/>
        <v>11900</v>
      </c>
      <c r="R288" s="23" t="s">
        <v>39</v>
      </c>
      <c r="S288" s="23" t="str">
        <f t="shared" si="44"/>
        <v>287,</v>
      </c>
      <c r="T288" s="23" t="str">
        <f t="shared" si="44"/>
        <v>133,</v>
      </c>
      <c r="U288" s="24">
        <f t="shared" si="45"/>
        <v>154</v>
      </c>
    </row>
    <row r="289" spans="1:21" x14ac:dyDescent="0.25">
      <c r="A289" s="3">
        <v>288</v>
      </c>
      <c r="B289" s="3">
        <v>154</v>
      </c>
      <c r="C289" s="3">
        <v>175</v>
      </c>
      <c r="D289" s="2">
        <f t="shared" si="37"/>
        <v>10985</v>
      </c>
      <c r="E289" s="2">
        <f t="shared" si="38"/>
        <v>5492.5</v>
      </c>
      <c r="F289" s="2">
        <v>2380</v>
      </c>
      <c r="G289" s="2">
        <f t="shared" si="39"/>
        <v>991.66666666666674</v>
      </c>
      <c r="H289" s="4">
        <f>VLOOKUP(B289,nodes!A:D,2,0)</f>
        <v>180</v>
      </c>
      <c r="I289" s="4">
        <f>VLOOKUP(B289,nodes!A:D,4,0)</f>
        <v>90</v>
      </c>
      <c r="J289" s="4">
        <f>VLOOKUP(C289,nodes!A:D,2,0)</f>
        <v>180</v>
      </c>
      <c r="K289" s="4">
        <f>VLOOKUP(C289,nodes!A:D,4,0)</f>
        <v>60</v>
      </c>
      <c r="L289" s="4">
        <f t="shared" si="40"/>
        <v>30</v>
      </c>
      <c r="N289" s="12">
        <f t="shared" si="41"/>
        <v>7437500</v>
      </c>
      <c r="O289" s="12">
        <f t="shared" si="42"/>
        <v>42840000</v>
      </c>
      <c r="P289" s="12">
        <f t="shared" si="43"/>
        <v>11900</v>
      </c>
      <c r="R289" s="23" t="s">
        <v>39</v>
      </c>
      <c r="S289" s="23" t="str">
        <f t="shared" si="44"/>
        <v>288,</v>
      </c>
      <c r="T289" s="23" t="str">
        <f t="shared" si="44"/>
        <v>154,</v>
      </c>
      <c r="U289" s="24">
        <f t="shared" si="45"/>
        <v>175</v>
      </c>
    </row>
    <row r="290" spans="1:21" x14ac:dyDescent="0.25">
      <c r="A290" s="3">
        <v>289</v>
      </c>
      <c r="B290" s="3">
        <v>175</v>
      </c>
      <c r="C290" s="3">
        <v>196</v>
      </c>
      <c r="D290" s="2">
        <f t="shared" si="37"/>
        <v>10985</v>
      </c>
      <c r="E290" s="2">
        <f t="shared" si="38"/>
        <v>5492.5</v>
      </c>
      <c r="F290" s="2">
        <v>2380</v>
      </c>
      <c r="G290" s="2">
        <f t="shared" si="39"/>
        <v>991.66666666666674</v>
      </c>
      <c r="H290" s="4">
        <f>VLOOKUP(B290,nodes!A:D,2,0)</f>
        <v>180</v>
      </c>
      <c r="I290" s="4">
        <f>VLOOKUP(B290,nodes!A:D,4,0)</f>
        <v>60</v>
      </c>
      <c r="J290" s="4">
        <f>VLOOKUP(C290,nodes!A:D,2,0)</f>
        <v>180</v>
      </c>
      <c r="K290" s="4">
        <f>VLOOKUP(C290,nodes!A:D,4,0)</f>
        <v>30</v>
      </c>
      <c r="L290" s="4">
        <f t="shared" si="40"/>
        <v>30</v>
      </c>
      <c r="N290" s="12">
        <f t="shared" si="41"/>
        <v>7437500</v>
      </c>
      <c r="O290" s="12">
        <f t="shared" si="42"/>
        <v>42840000</v>
      </c>
      <c r="P290" s="12">
        <f t="shared" si="43"/>
        <v>11900</v>
      </c>
      <c r="R290" s="23" t="s">
        <v>39</v>
      </c>
      <c r="S290" s="23" t="str">
        <f t="shared" si="44"/>
        <v>289,</v>
      </c>
      <c r="T290" s="23" t="str">
        <f t="shared" si="44"/>
        <v>175,</v>
      </c>
      <c r="U290" s="24">
        <f t="shared" si="45"/>
        <v>196</v>
      </c>
    </row>
    <row r="291" spans="1:21" x14ac:dyDescent="0.25">
      <c r="A291" s="3">
        <v>290</v>
      </c>
      <c r="B291" s="3">
        <v>196</v>
      </c>
      <c r="C291" s="3">
        <v>217</v>
      </c>
      <c r="D291" s="2">
        <f t="shared" si="37"/>
        <v>10985</v>
      </c>
      <c r="E291" s="2">
        <f t="shared" si="38"/>
        <v>5492.5</v>
      </c>
      <c r="F291" s="2">
        <v>2380</v>
      </c>
      <c r="G291" s="2">
        <f t="shared" si="39"/>
        <v>991.66666666666674</v>
      </c>
      <c r="H291" s="4">
        <f>VLOOKUP(B291,nodes!A:D,2,0)</f>
        <v>180</v>
      </c>
      <c r="I291" s="4">
        <f>VLOOKUP(B291,nodes!A:D,4,0)</f>
        <v>30</v>
      </c>
      <c r="J291" s="4">
        <f>VLOOKUP(C291,nodes!A:D,2,0)</f>
        <v>180</v>
      </c>
      <c r="K291" s="4">
        <f>VLOOKUP(C291,nodes!A:D,4,0)</f>
        <v>0</v>
      </c>
      <c r="L291" s="4">
        <f t="shared" si="40"/>
        <v>30</v>
      </c>
      <c r="N291" s="12">
        <f t="shared" si="41"/>
        <v>7437500</v>
      </c>
      <c r="O291" s="12">
        <f t="shared" si="42"/>
        <v>42840000</v>
      </c>
      <c r="P291" s="12">
        <f t="shared" si="43"/>
        <v>11900</v>
      </c>
      <c r="R291" s="23" t="s">
        <v>39</v>
      </c>
      <c r="S291" s="23" t="str">
        <f t="shared" si="44"/>
        <v>290,</v>
      </c>
      <c r="T291" s="23" t="str">
        <f t="shared" si="44"/>
        <v>196,</v>
      </c>
      <c r="U291" s="24">
        <f t="shared" si="45"/>
        <v>217</v>
      </c>
    </row>
    <row r="292" spans="1:21" x14ac:dyDescent="0.25">
      <c r="A292" s="3">
        <v>291</v>
      </c>
      <c r="B292" s="3">
        <v>8</v>
      </c>
      <c r="C292" s="3">
        <v>29</v>
      </c>
      <c r="D292" s="2">
        <f t="shared" si="37"/>
        <v>10985</v>
      </c>
      <c r="E292" s="2">
        <f t="shared" si="38"/>
        <v>5492.5</v>
      </c>
      <c r="F292" s="2">
        <v>2380</v>
      </c>
      <c r="G292" s="2">
        <f t="shared" si="39"/>
        <v>991.66666666666674</v>
      </c>
      <c r="H292" s="4">
        <f>VLOOKUP(B292,nodes!A:D,2,0)</f>
        <v>210</v>
      </c>
      <c r="I292" s="4">
        <f>VLOOKUP(B292,nodes!A:D,4,0)</f>
        <v>300</v>
      </c>
      <c r="J292" s="4">
        <f>VLOOKUP(C292,nodes!A:D,2,0)</f>
        <v>210</v>
      </c>
      <c r="K292" s="4">
        <f>VLOOKUP(C292,nodes!A:D,4,0)</f>
        <v>270</v>
      </c>
      <c r="L292" s="4">
        <f t="shared" si="40"/>
        <v>30</v>
      </c>
      <c r="N292" s="12">
        <f t="shared" si="41"/>
        <v>7437500</v>
      </c>
      <c r="O292" s="12">
        <f t="shared" si="42"/>
        <v>42840000</v>
      </c>
      <c r="P292" s="12">
        <f t="shared" si="43"/>
        <v>11900</v>
      </c>
      <c r="R292" s="23" t="s">
        <v>39</v>
      </c>
      <c r="S292" s="23" t="str">
        <f t="shared" si="44"/>
        <v>291,</v>
      </c>
      <c r="T292" s="23" t="str">
        <f t="shared" si="44"/>
        <v>8,</v>
      </c>
      <c r="U292" s="24">
        <f t="shared" si="45"/>
        <v>29</v>
      </c>
    </row>
    <row r="293" spans="1:21" x14ac:dyDescent="0.25">
      <c r="A293" s="3">
        <v>292</v>
      </c>
      <c r="B293" s="3">
        <v>29</v>
      </c>
      <c r="C293" s="3">
        <v>50</v>
      </c>
      <c r="D293" s="2">
        <f t="shared" si="37"/>
        <v>10985</v>
      </c>
      <c r="E293" s="2">
        <f t="shared" si="38"/>
        <v>5492.5</v>
      </c>
      <c r="F293" s="2">
        <v>2380</v>
      </c>
      <c r="G293" s="2">
        <f t="shared" si="39"/>
        <v>991.66666666666674</v>
      </c>
      <c r="H293" s="4">
        <f>VLOOKUP(B293,nodes!A:D,2,0)</f>
        <v>210</v>
      </c>
      <c r="I293" s="4">
        <f>VLOOKUP(B293,nodes!A:D,4,0)</f>
        <v>270</v>
      </c>
      <c r="J293" s="4">
        <f>VLOOKUP(C293,nodes!A:D,2,0)</f>
        <v>210</v>
      </c>
      <c r="K293" s="4">
        <f>VLOOKUP(C293,nodes!A:D,4,0)</f>
        <v>240</v>
      </c>
      <c r="L293" s="4">
        <f t="shared" si="40"/>
        <v>30</v>
      </c>
      <c r="N293" s="12">
        <f t="shared" si="41"/>
        <v>7437500</v>
      </c>
      <c r="O293" s="12">
        <f t="shared" si="42"/>
        <v>42840000</v>
      </c>
      <c r="P293" s="12">
        <f t="shared" si="43"/>
        <v>11900</v>
      </c>
      <c r="R293" s="23" t="s">
        <v>39</v>
      </c>
      <c r="S293" s="23" t="str">
        <f t="shared" si="44"/>
        <v>292,</v>
      </c>
      <c r="T293" s="23" t="str">
        <f t="shared" si="44"/>
        <v>29,</v>
      </c>
      <c r="U293" s="24">
        <f t="shared" si="45"/>
        <v>50</v>
      </c>
    </row>
    <row r="294" spans="1:21" x14ac:dyDescent="0.25">
      <c r="A294" s="3">
        <v>293</v>
      </c>
      <c r="B294" s="3">
        <v>50</v>
      </c>
      <c r="C294" s="3">
        <v>71</v>
      </c>
      <c r="D294" s="2">
        <f t="shared" si="37"/>
        <v>10985</v>
      </c>
      <c r="E294" s="2">
        <f t="shared" si="38"/>
        <v>5492.5</v>
      </c>
      <c r="F294" s="2">
        <v>2380</v>
      </c>
      <c r="G294" s="2">
        <f t="shared" si="39"/>
        <v>991.66666666666674</v>
      </c>
      <c r="H294" s="4">
        <f>VLOOKUP(B294,nodes!A:D,2,0)</f>
        <v>210</v>
      </c>
      <c r="I294" s="4">
        <f>VLOOKUP(B294,nodes!A:D,4,0)</f>
        <v>240</v>
      </c>
      <c r="J294" s="4">
        <f>VLOOKUP(C294,nodes!A:D,2,0)</f>
        <v>210</v>
      </c>
      <c r="K294" s="4">
        <f>VLOOKUP(C294,nodes!A:D,4,0)</f>
        <v>210</v>
      </c>
      <c r="L294" s="4">
        <f t="shared" si="40"/>
        <v>30</v>
      </c>
      <c r="N294" s="12">
        <f t="shared" si="41"/>
        <v>7437500</v>
      </c>
      <c r="O294" s="12">
        <f t="shared" si="42"/>
        <v>42840000</v>
      </c>
      <c r="P294" s="12">
        <f t="shared" si="43"/>
        <v>11900</v>
      </c>
      <c r="R294" s="23" t="s">
        <v>39</v>
      </c>
      <c r="S294" s="23" t="str">
        <f t="shared" si="44"/>
        <v>293,</v>
      </c>
      <c r="T294" s="23" t="str">
        <f t="shared" si="44"/>
        <v>50,</v>
      </c>
      <c r="U294" s="24">
        <f t="shared" si="45"/>
        <v>71</v>
      </c>
    </row>
    <row r="295" spans="1:21" x14ac:dyDescent="0.25">
      <c r="A295" s="3">
        <v>294</v>
      </c>
      <c r="B295" s="3">
        <v>71</v>
      </c>
      <c r="C295" s="3">
        <v>92</v>
      </c>
      <c r="D295" s="2">
        <f t="shared" si="37"/>
        <v>10985</v>
      </c>
      <c r="E295" s="2">
        <f t="shared" si="38"/>
        <v>5492.5</v>
      </c>
      <c r="F295" s="2">
        <v>2380</v>
      </c>
      <c r="G295" s="2">
        <f t="shared" si="39"/>
        <v>991.66666666666674</v>
      </c>
      <c r="H295" s="4">
        <f>VLOOKUP(B295,nodes!A:D,2,0)</f>
        <v>210</v>
      </c>
      <c r="I295" s="4">
        <f>VLOOKUP(B295,nodes!A:D,4,0)</f>
        <v>210</v>
      </c>
      <c r="J295" s="4">
        <f>VLOOKUP(C295,nodes!A:D,2,0)</f>
        <v>210</v>
      </c>
      <c r="K295" s="4">
        <f>VLOOKUP(C295,nodes!A:D,4,0)</f>
        <v>180</v>
      </c>
      <c r="L295" s="4">
        <f t="shared" si="40"/>
        <v>30</v>
      </c>
      <c r="N295" s="12">
        <f t="shared" si="41"/>
        <v>7437500</v>
      </c>
      <c r="O295" s="12">
        <f t="shared" si="42"/>
        <v>42840000</v>
      </c>
      <c r="P295" s="12">
        <f t="shared" si="43"/>
        <v>11900</v>
      </c>
      <c r="R295" s="23" t="s">
        <v>39</v>
      </c>
      <c r="S295" s="23" t="str">
        <f t="shared" si="44"/>
        <v>294,</v>
      </c>
      <c r="T295" s="23" t="str">
        <f t="shared" si="44"/>
        <v>71,</v>
      </c>
      <c r="U295" s="24">
        <f t="shared" si="45"/>
        <v>92</v>
      </c>
    </row>
    <row r="296" spans="1:21" x14ac:dyDescent="0.25">
      <c r="A296" s="3">
        <v>295</v>
      </c>
      <c r="B296" s="3">
        <v>92</v>
      </c>
      <c r="C296" s="3">
        <v>113</v>
      </c>
      <c r="D296" s="2">
        <f t="shared" si="37"/>
        <v>10985</v>
      </c>
      <c r="E296" s="2">
        <f t="shared" si="38"/>
        <v>5492.5</v>
      </c>
      <c r="F296" s="2">
        <v>2380</v>
      </c>
      <c r="G296" s="2">
        <f t="shared" si="39"/>
        <v>991.66666666666674</v>
      </c>
      <c r="H296" s="4">
        <f>VLOOKUP(B296,nodes!A:D,2,0)</f>
        <v>210</v>
      </c>
      <c r="I296" s="4">
        <f>VLOOKUP(B296,nodes!A:D,4,0)</f>
        <v>180</v>
      </c>
      <c r="J296" s="4">
        <f>VLOOKUP(C296,nodes!A:D,2,0)</f>
        <v>210</v>
      </c>
      <c r="K296" s="4">
        <f>VLOOKUP(C296,nodes!A:D,4,0)</f>
        <v>150</v>
      </c>
      <c r="L296" s="4">
        <f t="shared" si="40"/>
        <v>30</v>
      </c>
      <c r="N296" s="12">
        <f t="shared" si="41"/>
        <v>7437500</v>
      </c>
      <c r="O296" s="12">
        <f t="shared" si="42"/>
        <v>42840000</v>
      </c>
      <c r="P296" s="12">
        <f t="shared" si="43"/>
        <v>11900</v>
      </c>
      <c r="R296" s="23" t="s">
        <v>39</v>
      </c>
      <c r="S296" s="23" t="str">
        <f t="shared" si="44"/>
        <v>295,</v>
      </c>
      <c r="T296" s="23" t="str">
        <f t="shared" si="44"/>
        <v>92,</v>
      </c>
      <c r="U296" s="24">
        <f t="shared" si="45"/>
        <v>113</v>
      </c>
    </row>
    <row r="297" spans="1:21" x14ac:dyDescent="0.25">
      <c r="A297" s="3">
        <v>296</v>
      </c>
      <c r="B297" s="3">
        <v>113</v>
      </c>
      <c r="C297" s="3">
        <v>134</v>
      </c>
      <c r="D297" s="2">
        <f t="shared" si="37"/>
        <v>10985</v>
      </c>
      <c r="E297" s="2">
        <f t="shared" si="38"/>
        <v>5492.5</v>
      </c>
      <c r="F297" s="2">
        <v>2380</v>
      </c>
      <c r="G297" s="2">
        <f t="shared" si="39"/>
        <v>991.66666666666674</v>
      </c>
      <c r="H297" s="4">
        <f>VLOOKUP(B297,nodes!A:D,2,0)</f>
        <v>210</v>
      </c>
      <c r="I297" s="4">
        <f>VLOOKUP(B297,nodes!A:D,4,0)</f>
        <v>150</v>
      </c>
      <c r="J297" s="4">
        <f>VLOOKUP(C297,nodes!A:D,2,0)</f>
        <v>210</v>
      </c>
      <c r="K297" s="4">
        <f>VLOOKUP(C297,nodes!A:D,4,0)</f>
        <v>120</v>
      </c>
      <c r="L297" s="4">
        <f t="shared" si="40"/>
        <v>30</v>
      </c>
      <c r="N297" s="12">
        <f t="shared" si="41"/>
        <v>7437500</v>
      </c>
      <c r="O297" s="12">
        <f t="shared" si="42"/>
        <v>42840000</v>
      </c>
      <c r="P297" s="12">
        <f t="shared" si="43"/>
        <v>11900</v>
      </c>
      <c r="R297" s="23" t="s">
        <v>39</v>
      </c>
      <c r="S297" s="23" t="str">
        <f t="shared" si="44"/>
        <v>296,</v>
      </c>
      <c r="T297" s="23" t="str">
        <f t="shared" si="44"/>
        <v>113,</v>
      </c>
      <c r="U297" s="24">
        <f t="shared" si="45"/>
        <v>134</v>
      </c>
    </row>
    <row r="298" spans="1:21" x14ac:dyDescent="0.25">
      <c r="A298" s="3">
        <v>297</v>
      </c>
      <c r="B298" s="3">
        <v>134</v>
      </c>
      <c r="C298" s="3">
        <v>155</v>
      </c>
      <c r="D298" s="2">
        <f t="shared" si="37"/>
        <v>10985</v>
      </c>
      <c r="E298" s="2">
        <f t="shared" si="38"/>
        <v>5492.5</v>
      </c>
      <c r="F298" s="2">
        <v>2380</v>
      </c>
      <c r="G298" s="2">
        <f t="shared" si="39"/>
        <v>991.66666666666674</v>
      </c>
      <c r="H298" s="4">
        <f>VLOOKUP(B298,nodes!A:D,2,0)</f>
        <v>210</v>
      </c>
      <c r="I298" s="4">
        <f>VLOOKUP(B298,nodes!A:D,4,0)</f>
        <v>120</v>
      </c>
      <c r="J298" s="4">
        <f>VLOOKUP(C298,nodes!A:D,2,0)</f>
        <v>210</v>
      </c>
      <c r="K298" s="4">
        <f>VLOOKUP(C298,nodes!A:D,4,0)</f>
        <v>90</v>
      </c>
      <c r="L298" s="4">
        <f t="shared" si="40"/>
        <v>30</v>
      </c>
      <c r="N298" s="12">
        <f t="shared" si="41"/>
        <v>7437500</v>
      </c>
      <c r="O298" s="12">
        <f t="shared" si="42"/>
        <v>42840000</v>
      </c>
      <c r="P298" s="12">
        <f t="shared" si="43"/>
        <v>11900</v>
      </c>
      <c r="R298" s="23" t="s">
        <v>39</v>
      </c>
      <c r="S298" s="23" t="str">
        <f t="shared" si="44"/>
        <v>297,</v>
      </c>
      <c r="T298" s="23" t="str">
        <f t="shared" si="44"/>
        <v>134,</v>
      </c>
      <c r="U298" s="24">
        <f t="shared" si="45"/>
        <v>155</v>
      </c>
    </row>
    <row r="299" spans="1:21" x14ac:dyDescent="0.25">
      <c r="A299" s="3">
        <v>298</v>
      </c>
      <c r="B299" s="3">
        <v>155</v>
      </c>
      <c r="C299" s="3">
        <v>176</v>
      </c>
      <c r="D299" s="2">
        <f t="shared" si="37"/>
        <v>10985</v>
      </c>
      <c r="E299" s="2">
        <f t="shared" si="38"/>
        <v>5492.5</v>
      </c>
      <c r="F299" s="2">
        <v>2380</v>
      </c>
      <c r="G299" s="2">
        <f t="shared" si="39"/>
        <v>991.66666666666674</v>
      </c>
      <c r="H299" s="4">
        <f>VLOOKUP(B299,nodes!A:D,2,0)</f>
        <v>210</v>
      </c>
      <c r="I299" s="4">
        <f>VLOOKUP(B299,nodes!A:D,4,0)</f>
        <v>90</v>
      </c>
      <c r="J299" s="4">
        <f>VLOOKUP(C299,nodes!A:D,2,0)</f>
        <v>210</v>
      </c>
      <c r="K299" s="4">
        <f>VLOOKUP(C299,nodes!A:D,4,0)</f>
        <v>60</v>
      </c>
      <c r="L299" s="4">
        <f t="shared" si="40"/>
        <v>30</v>
      </c>
      <c r="N299" s="12">
        <f t="shared" si="41"/>
        <v>7437500</v>
      </c>
      <c r="O299" s="12">
        <f t="shared" si="42"/>
        <v>42840000</v>
      </c>
      <c r="P299" s="12">
        <f t="shared" si="43"/>
        <v>11900</v>
      </c>
      <c r="R299" s="23" t="s">
        <v>39</v>
      </c>
      <c r="S299" s="23" t="str">
        <f t="shared" si="44"/>
        <v>298,</v>
      </c>
      <c r="T299" s="23" t="str">
        <f t="shared" si="44"/>
        <v>155,</v>
      </c>
      <c r="U299" s="24">
        <f t="shared" si="45"/>
        <v>176</v>
      </c>
    </row>
    <row r="300" spans="1:21" x14ac:dyDescent="0.25">
      <c r="A300" s="3">
        <v>299</v>
      </c>
      <c r="B300" s="3">
        <v>176</v>
      </c>
      <c r="C300" s="3">
        <v>197</v>
      </c>
      <c r="D300" s="2">
        <f t="shared" si="37"/>
        <v>10985</v>
      </c>
      <c r="E300" s="2">
        <f t="shared" si="38"/>
        <v>5492.5</v>
      </c>
      <c r="F300" s="2">
        <v>2380</v>
      </c>
      <c r="G300" s="2">
        <f t="shared" si="39"/>
        <v>991.66666666666674</v>
      </c>
      <c r="H300" s="4">
        <f>VLOOKUP(B300,nodes!A:D,2,0)</f>
        <v>210</v>
      </c>
      <c r="I300" s="4">
        <f>VLOOKUP(B300,nodes!A:D,4,0)</f>
        <v>60</v>
      </c>
      <c r="J300" s="4">
        <f>VLOOKUP(C300,nodes!A:D,2,0)</f>
        <v>210</v>
      </c>
      <c r="K300" s="4">
        <f>VLOOKUP(C300,nodes!A:D,4,0)</f>
        <v>30</v>
      </c>
      <c r="L300" s="4">
        <f t="shared" si="40"/>
        <v>30</v>
      </c>
      <c r="N300" s="12">
        <f t="shared" si="41"/>
        <v>7437500</v>
      </c>
      <c r="O300" s="12">
        <f t="shared" si="42"/>
        <v>42840000</v>
      </c>
      <c r="P300" s="12">
        <f t="shared" si="43"/>
        <v>11900</v>
      </c>
      <c r="R300" s="23" t="s">
        <v>39</v>
      </c>
      <c r="S300" s="23" t="str">
        <f t="shared" si="44"/>
        <v>299,</v>
      </c>
      <c r="T300" s="23" t="str">
        <f t="shared" si="44"/>
        <v>176,</v>
      </c>
      <c r="U300" s="24">
        <f t="shared" si="45"/>
        <v>197</v>
      </c>
    </row>
    <row r="301" spans="1:21" x14ac:dyDescent="0.25">
      <c r="A301" s="3">
        <v>300</v>
      </c>
      <c r="B301" s="3">
        <v>197</v>
      </c>
      <c r="C301" s="3">
        <v>218</v>
      </c>
      <c r="D301" s="2">
        <f t="shared" si="37"/>
        <v>10985</v>
      </c>
      <c r="E301" s="2">
        <f t="shared" si="38"/>
        <v>5492.5</v>
      </c>
      <c r="F301" s="2">
        <v>2380</v>
      </c>
      <c r="G301" s="2">
        <f t="shared" si="39"/>
        <v>991.66666666666674</v>
      </c>
      <c r="H301" s="4">
        <f>VLOOKUP(B301,nodes!A:D,2,0)</f>
        <v>210</v>
      </c>
      <c r="I301" s="4">
        <f>VLOOKUP(B301,nodes!A:D,4,0)</f>
        <v>30</v>
      </c>
      <c r="J301" s="4">
        <f>VLOOKUP(C301,nodes!A:D,2,0)</f>
        <v>210</v>
      </c>
      <c r="K301" s="4">
        <f>VLOOKUP(C301,nodes!A:D,4,0)</f>
        <v>0</v>
      </c>
      <c r="L301" s="4">
        <f t="shared" si="40"/>
        <v>30</v>
      </c>
      <c r="N301" s="12">
        <f t="shared" si="41"/>
        <v>7437500</v>
      </c>
      <c r="O301" s="12">
        <f t="shared" si="42"/>
        <v>42840000</v>
      </c>
      <c r="P301" s="12">
        <f t="shared" si="43"/>
        <v>11900</v>
      </c>
      <c r="R301" s="23" t="s">
        <v>39</v>
      </c>
      <c r="S301" s="23" t="str">
        <f t="shared" si="44"/>
        <v>300,</v>
      </c>
      <c r="T301" s="23" t="str">
        <f t="shared" si="44"/>
        <v>197,</v>
      </c>
      <c r="U301" s="24">
        <f t="shared" si="45"/>
        <v>218</v>
      </c>
    </row>
    <row r="302" spans="1:21" x14ac:dyDescent="0.25">
      <c r="A302" s="3">
        <v>301</v>
      </c>
      <c r="B302" s="3">
        <v>9</v>
      </c>
      <c r="C302" s="3">
        <v>30</v>
      </c>
      <c r="D302" s="2">
        <f t="shared" si="37"/>
        <v>10985</v>
      </c>
      <c r="E302" s="2">
        <f t="shared" si="38"/>
        <v>5492.5</v>
      </c>
      <c r="F302" s="2">
        <v>2380</v>
      </c>
      <c r="G302" s="2">
        <f t="shared" si="39"/>
        <v>991.66666666666674</v>
      </c>
      <c r="H302" s="4">
        <f>VLOOKUP(B302,nodes!A:D,2,0)</f>
        <v>240</v>
      </c>
      <c r="I302" s="4">
        <f>VLOOKUP(B302,nodes!A:D,4,0)</f>
        <v>300</v>
      </c>
      <c r="J302" s="4">
        <f>VLOOKUP(C302,nodes!A:D,2,0)</f>
        <v>240</v>
      </c>
      <c r="K302" s="4">
        <f>VLOOKUP(C302,nodes!A:D,4,0)</f>
        <v>270</v>
      </c>
      <c r="L302" s="4">
        <f t="shared" si="40"/>
        <v>30</v>
      </c>
      <c r="N302" s="12">
        <f t="shared" si="41"/>
        <v>7437500</v>
      </c>
      <c r="O302" s="12">
        <f t="shared" si="42"/>
        <v>42840000</v>
      </c>
      <c r="P302" s="12">
        <f t="shared" si="43"/>
        <v>11900</v>
      </c>
      <c r="R302" s="23" t="s">
        <v>39</v>
      </c>
      <c r="S302" s="23" t="str">
        <f t="shared" si="44"/>
        <v>301,</v>
      </c>
      <c r="T302" s="23" t="str">
        <f t="shared" si="44"/>
        <v>9,</v>
      </c>
      <c r="U302" s="24">
        <f t="shared" si="45"/>
        <v>30</v>
      </c>
    </row>
    <row r="303" spans="1:21" x14ac:dyDescent="0.25">
      <c r="A303" s="3">
        <v>302</v>
      </c>
      <c r="B303" s="3">
        <v>30</v>
      </c>
      <c r="C303" s="3">
        <v>51</v>
      </c>
      <c r="D303" s="2">
        <f t="shared" si="37"/>
        <v>10985</v>
      </c>
      <c r="E303" s="2">
        <f t="shared" si="38"/>
        <v>5492.5</v>
      </c>
      <c r="F303" s="2">
        <v>2380</v>
      </c>
      <c r="G303" s="2">
        <f t="shared" si="39"/>
        <v>991.66666666666674</v>
      </c>
      <c r="H303" s="4">
        <f>VLOOKUP(B303,nodes!A:D,2,0)</f>
        <v>240</v>
      </c>
      <c r="I303" s="4">
        <f>VLOOKUP(B303,nodes!A:D,4,0)</f>
        <v>270</v>
      </c>
      <c r="J303" s="4">
        <f>VLOOKUP(C303,nodes!A:D,2,0)</f>
        <v>240</v>
      </c>
      <c r="K303" s="4">
        <f>VLOOKUP(C303,nodes!A:D,4,0)</f>
        <v>240</v>
      </c>
      <c r="L303" s="4">
        <f t="shared" si="40"/>
        <v>30</v>
      </c>
      <c r="N303" s="12">
        <f t="shared" si="41"/>
        <v>7437500</v>
      </c>
      <c r="O303" s="12">
        <f t="shared" si="42"/>
        <v>42840000</v>
      </c>
      <c r="P303" s="12">
        <f t="shared" si="43"/>
        <v>11900</v>
      </c>
      <c r="R303" s="23" t="s">
        <v>39</v>
      </c>
      <c r="S303" s="23" t="str">
        <f t="shared" si="44"/>
        <v>302,</v>
      </c>
      <c r="T303" s="23" t="str">
        <f t="shared" si="44"/>
        <v>30,</v>
      </c>
      <c r="U303" s="24">
        <f t="shared" si="45"/>
        <v>51</v>
      </c>
    </row>
    <row r="304" spans="1:21" x14ac:dyDescent="0.25">
      <c r="A304" s="3">
        <v>303</v>
      </c>
      <c r="B304" s="3">
        <v>51</v>
      </c>
      <c r="C304" s="3">
        <v>72</v>
      </c>
      <c r="D304" s="2">
        <f t="shared" si="37"/>
        <v>10985</v>
      </c>
      <c r="E304" s="2">
        <f t="shared" si="38"/>
        <v>5492.5</v>
      </c>
      <c r="F304" s="2">
        <v>2380</v>
      </c>
      <c r="G304" s="2">
        <f t="shared" si="39"/>
        <v>991.66666666666674</v>
      </c>
      <c r="H304" s="4">
        <f>VLOOKUP(B304,nodes!A:D,2,0)</f>
        <v>240</v>
      </c>
      <c r="I304" s="4">
        <f>VLOOKUP(B304,nodes!A:D,4,0)</f>
        <v>240</v>
      </c>
      <c r="J304" s="4">
        <f>VLOOKUP(C304,nodes!A:D,2,0)</f>
        <v>240</v>
      </c>
      <c r="K304" s="4">
        <f>VLOOKUP(C304,nodes!A:D,4,0)</f>
        <v>210</v>
      </c>
      <c r="L304" s="4">
        <f t="shared" si="40"/>
        <v>30</v>
      </c>
      <c r="N304" s="12">
        <f t="shared" si="41"/>
        <v>7437500</v>
      </c>
      <c r="O304" s="12">
        <f t="shared" si="42"/>
        <v>42840000</v>
      </c>
      <c r="P304" s="12">
        <f t="shared" si="43"/>
        <v>11900</v>
      </c>
      <c r="R304" s="23" t="s">
        <v>39</v>
      </c>
      <c r="S304" s="23" t="str">
        <f t="shared" si="44"/>
        <v>303,</v>
      </c>
      <c r="T304" s="23" t="str">
        <f t="shared" si="44"/>
        <v>51,</v>
      </c>
      <c r="U304" s="24">
        <f t="shared" si="45"/>
        <v>72</v>
      </c>
    </row>
    <row r="305" spans="1:21" x14ac:dyDescent="0.25">
      <c r="A305" s="3">
        <v>304</v>
      </c>
      <c r="B305" s="3">
        <v>72</v>
      </c>
      <c r="C305" s="3">
        <v>93</v>
      </c>
      <c r="D305" s="2">
        <f t="shared" si="37"/>
        <v>10985</v>
      </c>
      <c r="E305" s="2">
        <f t="shared" si="38"/>
        <v>5492.5</v>
      </c>
      <c r="F305" s="2">
        <v>2380</v>
      </c>
      <c r="G305" s="2">
        <f t="shared" si="39"/>
        <v>991.66666666666674</v>
      </c>
      <c r="H305" s="4">
        <f>VLOOKUP(B305,nodes!A:D,2,0)</f>
        <v>240</v>
      </c>
      <c r="I305" s="4">
        <f>VLOOKUP(B305,nodes!A:D,4,0)</f>
        <v>210</v>
      </c>
      <c r="J305" s="4">
        <f>VLOOKUP(C305,nodes!A:D,2,0)</f>
        <v>240</v>
      </c>
      <c r="K305" s="4">
        <f>VLOOKUP(C305,nodes!A:D,4,0)</f>
        <v>180</v>
      </c>
      <c r="L305" s="4">
        <f t="shared" si="40"/>
        <v>30</v>
      </c>
      <c r="N305" s="12">
        <f t="shared" si="41"/>
        <v>7437500</v>
      </c>
      <c r="O305" s="12">
        <f t="shared" si="42"/>
        <v>42840000</v>
      </c>
      <c r="P305" s="12">
        <f t="shared" si="43"/>
        <v>11900</v>
      </c>
      <c r="R305" s="23" t="s">
        <v>39</v>
      </c>
      <c r="S305" s="23" t="str">
        <f t="shared" si="44"/>
        <v>304,</v>
      </c>
      <c r="T305" s="23" t="str">
        <f t="shared" si="44"/>
        <v>72,</v>
      </c>
      <c r="U305" s="24">
        <f t="shared" si="45"/>
        <v>93</v>
      </c>
    </row>
    <row r="306" spans="1:21" x14ac:dyDescent="0.25">
      <c r="A306" s="3">
        <v>305</v>
      </c>
      <c r="B306" s="3">
        <v>93</v>
      </c>
      <c r="C306" s="3">
        <v>114</v>
      </c>
      <c r="D306" s="2">
        <f t="shared" si="37"/>
        <v>10985</v>
      </c>
      <c r="E306" s="2">
        <f t="shared" si="38"/>
        <v>5492.5</v>
      </c>
      <c r="F306" s="2">
        <v>2380</v>
      </c>
      <c r="G306" s="2">
        <f t="shared" si="39"/>
        <v>991.66666666666674</v>
      </c>
      <c r="H306" s="4">
        <f>VLOOKUP(B306,nodes!A:D,2,0)</f>
        <v>240</v>
      </c>
      <c r="I306" s="4">
        <f>VLOOKUP(B306,nodes!A:D,4,0)</f>
        <v>180</v>
      </c>
      <c r="J306" s="4">
        <f>VLOOKUP(C306,nodes!A:D,2,0)</f>
        <v>240</v>
      </c>
      <c r="K306" s="4">
        <f>VLOOKUP(C306,nodes!A:D,4,0)</f>
        <v>150</v>
      </c>
      <c r="L306" s="4">
        <f t="shared" si="40"/>
        <v>30</v>
      </c>
      <c r="N306" s="12">
        <f t="shared" si="41"/>
        <v>7437500</v>
      </c>
      <c r="O306" s="12">
        <f t="shared" si="42"/>
        <v>42840000</v>
      </c>
      <c r="P306" s="12">
        <f t="shared" si="43"/>
        <v>11900</v>
      </c>
      <c r="R306" s="23" t="s">
        <v>39</v>
      </c>
      <c r="S306" s="23" t="str">
        <f t="shared" si="44"/>
        <v>305,</v>
      </c>
      <c r="T306" s="23" t="str">
        <f t="shared" si="44"/>
        <v>93,</v>
      </c>
      <c r="U306" s="24">
        <f t="shared" si="45"/>
        <v>114</v>
      </c>
    </row>
    <row r="307" spans="1:21" x14ac:dyDescent="0.25">
      <c r="A307" s="3">
        <v>306</v>
      </c>
      <c r="B307" s="3">
        <v>114</v>
      </c>
      <c r="C307" s="3">
        <v>135</v>
      </c>
      <c r="D307" s="2">
        <f t="shared" si="37"/>
        <v>10985</v>
      </c>
      <c r="E307" s="2">
        <f t="shared" si="38"/>
        <v>5492.5</v>
      </c>
      <c r="F307" s="2">
        <v>2380</v>
      </c>
      <c r="G307" s="2">
        <f t="shared" si="39"/>
        <v>991.66666666666674</v>
      </c>
      <c r="H307" s="4">
        <f>VLOOKUP(B307,nodes!A:D,2,0)</f>
        <v>240</v>
      </c>
      <c r="I307" s="4">
        <f>VLOOKUP(B307,nodes!A:D,4,0)</f>
        <v>150</v>
      </c>
      <c r="J307" s="4">
        <f>VLOOKUP(C307,nodes!A:D,2,0)</f>
        <v>240</v>
      </c>
      <c r="K307" s="4">
        <f>VLOOKUP(C307,nodes!A:D,4,0)</f>
        <v>120</v>
      </c>
      <c r="L307" s="4">
        <f t="shared" si="40"/>
        <v>30</v>
      </c>
      <c r="N307" s="12">
        <f t="shared" si="41"/>
        <v>7437500</v>
      </c>
      <c r="O307" s="12">
        <f t="shared" si="42"/>
        <v>42840000</v>
      </c>
      <c r="P307" s="12">
        <f t="shared" si="43"/>
        <v>11900</v>
      </c>
      <c r="R307" s="23" t="s">
        <v>39</v>
      </c>
      <c r="S307" s="23" t="str">
        <f t="shared" si="44"/>
        <v>306,</v>
      </c>
      <c r="T307" s="23" t="str">
        <f t="shared" si="44"/>
        <v>114,</v>
      </c>
      <c r="U307" s="24">
        <f t="shared" si="45"/>
        <v>135</v>
      </c>
    </row>
    <row r="308" spans="1:21" x14ac:dyDescent="0.25">
      <c r="A308" s="3">
        <v>307</v>
      </c>
      <c r="B308" s="3">
        <v>135</v>
      </c>
      <c r="C308" s="3">
        <v>156</v>
      </c>
      <c r="D308" s="2">
        <f t="shared" si="37"/>
        <v>10985</v>
      </c>
      <c r="E308" s="2">
        <f t="shared" si="38"/>
        <v>5492.5</v>
      </c>
      <c r="F308" s="2">
        <v>2380</v>
      </c>
      <c r="G308" s="2">
        <f t="shared" si="39"/>
        <v>991.66666666666674</v>
      </c>
      <c r="H308" s="4">
        <f>VLOOKUP(B308,nodes!A:D,2,0)</f>
        <v>240</v>
      </c>
      <c r="I308" s="4">
        <f>VLOOKUP(B308,nodes!A:D,4,0)</f>
        <v>120</v>
      </c>
      <c r="J308" s="4">
        <f>VLOOKUP(C308,nodes!A:D,2,0)</f>
        <v>240</v>
      </c>
      <c r="K308" s="4">
        <f>VLOOKUP(C308,nodes!A:D,4,0)</f>
        <v>90</v>
      </c>
      <c r="L308" s="4">
        <f t="shared" si="40"/>
        <v>30</v>
      </c>
      <c r="N308" s="12">
        <f t="shared" si="41"/>
        <v>7437500</v>
      </c>
      <c r="O308" s="12">
        <f t="shared" si="42"/>
        <v>42840000</v>
      </c>
      <c r="P308" s="12">
        <f t="shared" si="43"/>
        <v>11900</v>
      </c>
      <c r="R308" s="23" t="s">
        <v>39</v>
      </c>
      <c r="S308" s="23" t="str">
        <f t="shared" si="44"/>
        <v>307,</v>
      </c>
      <c r="T308" s="23" t="str">
        <f t="shared" si="44"/>
        <v>135,</v>
      </c>
      <c r="U308" s="24">
        <f t="shared" si="45"/>
        <v>156</v>
      </c>
    </row>
    <row r="309" spans="1:21" x14ac:dyDescent="0.25">
      <c r="A309" s="3">
        <v>308</v>
      </c>
      <c r="B309" s="3">
        <v>156</v>
      </c>
      <c r="C309" s="3">
        <v>177</v>
      </c>
      <c r="D309" s="2">
        <f t="shared" si="37"/>
        <v>10985</v>
      </c>
      <c r="E309" s="2">
        <f t="shared" si="38"/>
        <v>5492.5</v>
      </c>
      <c r="F309" s="2">
        <v>2380</v>
      </c>
      <c r="G309" s="2">
        <f t="shared" si="39"/>
        <v>991.66666666666674</v>
      </c>
      <c r="H309" s="4">
        <f>VLOOKUP(B309,nodes!A:D,2,0)</f>
        <v>240</v>
      </c>
      <c r="I309" s="4">
        <f>VLOOKUP(B309,nodes!A:D,4,0)</f>
        <v>90</v>
      </c>
      <c r="J309" s="4">
        <f>VLOOKUP(C309,nodes!A:D,2,0)</f>
        <v>240</v>
      </c>
      <c r="K309" s="4">
        <f>VLOOKUP(C309,nodes!A:D,4,0)</f>
        <v>60</v>
      </c>
      <c r="L309" s="4">
        <f t="shared" si="40"/>
        <v>30</v>
      </c>
      <c r="N309" s="12">
        <f t="shared" si="41"/>
        <v>7437500</v>
      </c>
      <c r="O309" s="12">
        <f t="shared" si="42"/>
        <v>42840000</v>
      </c>
      <c r="P309" s="12">
        <f t="shared" si="43"/>
        <v>11900</v>
      </c>
      <c r="R309" s="23" t="s">
        <v>39</v>
      </c>
      <c r="S309" s="23" t="str">
        <f t="shared" si="44"/>
        <v>308,</v>
      </c>
      <c r="T309" s="23" t="str">
        <f t="shared" si="44"/>
        <v>156,</v>
      </c>
      <c r="U309" s="24">
        <f t="shared" si="45"/>
        <v>177</v>
      </c>
    </row>
    <row r="310" spans="1:21" x14ac:dyDescent="0.25">
      <c r="A310" s="3">
        <v>309</v>
      </c>
      <c r="B310" s="3">
        <v>177</v>
      </c>
      <c r="C310" s="3">
        <v>198</v>
      </c>
      <c r="D310" s="2">
        <f t="shared" si="37"/>
        <v>10985</v>
      </c>
      <c r="E310" s="2">
        <f t="shared" si="38"/>
        <v>5492.5</v>
      </c>
      <c r="F310" s="2">
        <v>2380</v>
      </c>
      <c r="G310" s="2">
        <f t="shared" si="39"/>
        <v>991.66666666666674</v>
      </c>
      <c r="H310" s="4">
        <f>VLOOKUP(B310,nodes!A:D,2,0)</f>
        <v>240</v>
      </c>
      <c r="I310" s="4">
        <f>VLOOKUP(B310,nodes!A:D,4,0)</f>
        <v>60</v>
      </c>
      <c r="J310" s="4">
        <f>VLOOKUP(C310,nodes!A:D,2,0)</f>
        <v>240</v>
      </c>
      <c r="K310" s="4">
        <f>VLOOKUP(C310,nodes!A:D,4,0)</f>
        <v>30</v>
      </c>
      <c r="L310" s="4">
        <f t="shared" si="40"/>
        <v>30</v>
      </c>
      <c r="N310" s="12">
        <f t="shared" si="41"/>
        <v>7437500</v>
      </c>
      <c r="O310" s="12">
        <f t="shared" si="42"/>
        <v>42840000</v>
      </c>
      <c r="P310" s="12">
        <f t="shared" si="43"/>
        <v>11900</v>
      </c>
      <c r="R310" s="23" t="s">
        <v>39</v>
      </c>
      <c r="S310" s="23" t="str">
        <f t="shared" si="44"/>
        <v>309,</v>
      </c>
      <c r="T310" s="23" t="str">
        <f t="shared" si="44"/>
        <v>177,</v>
      </c>
      <c r="U310" s="24">
        <f t="shared" si="45"/>
        <v>198</v>
      </c>
    </row>
    <row r="311" spans="1:21" x14ac:dyDescent="0.25">
      <c r="A311" s="3">
        <v>310</v>
      </c>
      <c r="B311" s="3">
        <v>198</v>
      </c>
      <c r="C311" s="3">
        <v>219</v>
      </c>
      <c r="D311" s="2">
        <f t="shared" si="37"/>
        <v>10985</v>
      </c>
      <c r="E311" s="2">
        <f t="shared" si="38"/>
        <v>5492.5</v>
      </c>
      <c r="F311" s="2">
        <v>2380</v>
      </c>
      <c r="G311" s="2">
        <f t="shared" si="39"/>
        <v>991.66666666666674</v>
      </c>
      <c r="H311" s="4">
        <f>VLOOKUP(B311,nodes!A:D,2,0)</f>
        <v>240</v>
      </c>
      <c r="I311" s="4">
        <f>VLOOKUP(B311,nodes!A:D,4,0)</f>
        <v>30</v>
      </c>
      <c r="J311" s="4">
        <f>VLOOKUP(C311,nodes!A:D,2,0)</f>
        <v>240</v>
      </c>
      <c r="K311" s="4">
        <f>VLOOKUP(C311,nodes!A:D,4,0)</f>
        <v>0</v>
      </c>
      <c r="L311" s="4">
        <f t="shared" si="40"/>
        <v>30</v>
      </c>
      <c r="N311" s="12">
        <f t="shared" si="41"/>
        <v>7437500</v>
      </c>
      <c r="O311" s="12">
        <f t="shared" si="42"/>
        <v>42840000</v>
      </c>
      <c r="P311" s="12">
        <f t="shared" si="43"/>
        <v>11900</v>
      </c>
      <c r="R311" s="23" t="s">
        <v>39</v>
      </c>
      <c r="S311" s="23" t="str">
        <f t="shared" si="44"/>
        <v>310,</v>
      </c>
      <c r="T311" s="23" t="str">
        <f t="shared" si="44"/>
        <v>198,</v>
      </c>
      <c r="U311" s="24">
        <f t="shared" si="45"/>
        <v>219</v>
      </c>
    </row>
    <row r="312" spans="1:21" x14ac:dyDescent="0.25">
      <c r="A312" s="3">
        <v>311</v>
      </c>
      <c r="B312" s="3">
        <v>10</v>
      </c>
      <c r="C312" s="3">
        <v>31</v>
      </c>
      <c r="D312" s="2">
        <f t="shared" si="37"/>
        <v>10985</v>
      </c>
      <c r="E312" s="2">
        <f t="shared" si="38"/>
        <v>5492.5</v>
      </c>
      <c r="F312" s="2">
        <v>2380</v>
      </c>
      <c r="G312" s="2">
        <f t="shared" si="39"/>
        <v>991.66666666666674</v>
      </c>
      <c r="H312" s="4">
        <f>VLOOKUP(B312,nodes!A:D,2,0)</f>
        <v>270</v>
      </c>
      <c r="I312" s="4">
        <f>VLOOKUP(B312,nodes!A:D,4,0)</f>
        <v>300</v>
      </c>
      <c r="J312" s="4">
        <f>VLOOKUP(C312,nodes!A:D,2,0)</f>
        <v>270</v>
      </c>
      <c r="K312" s="4">
        <f>VLOOKUP(C312,nodes!A:D,4,0)</f>
        <v>270</v>
      </c>
      <c r="L312" s="4">
        <f t="shared" si="40"/>
        <v>30</v>
      </c>
      <c r="N312" s="12">
        <f t="shared" si="41"/>
        <v>7437500</v>
      </c>
      <c r="O312" s="12">
        <f t="shared" si="42"/>
        <v>42840000</v>
      </c>
      <c r="P312" s="12">
        <f t="shared" si="43"/>
        <v>11900</v>
      </c>
      <c r="R312" s="23" t="s">
        <v>39</v>
      </c>
      <c r="S312" s="23" t="str">
        <f t="shared" si="44"/>
        <v>311,</v>
      </c>
      <c r="T312" s="23" t="str">
        <f t="shared" si="44"/>
        <v>10,</v>
      </c>
      <c r="U312" s="24">
        <f t="shared" si="45"/>
        <v>31</v>
      </c>
    </row>
    <row r="313" spans="1:21" x14ac:dyDescent="0.25">
      <c r="A313" s="3">
        <v>312</v>
      </c>
      <c r="B313" s="3">
        <v>31</v>
      </c>
      <c r="C313" s="3">
        <v>52</v>
      </c>
      <c r="D313" s="2">
        <f t="shared" si="37"/>
        <v>10985</v>
      </c>
      <c r="E313" s="2">
        <f t="shared" si="38"/>
        <v>5492.5</v>
      </c>
      <c r="F313" s="2">
        <v>2380</v>
      </c>
      <c r="G313" s="2">
        <f t="shared" si="39"/>
        <v>991.66666666666674</v>
      </c>
      <c r="H313" s="4">
        <f>VLOOKUP(B313,nodes!A:D,2,0)</f>
        <v>270</v>
      </c>
      <c r="I313" s="4">
        <f>VLOOKUP(B313,nodes!A:D,4,0)</f>
        <v>270</v>
      </c>
      <c r="J313" s="4">
        <f>VLOOKUP(C313,nodes!A:D,2,0)</f>
        <v>270</v>
      </c>
      <c r="K313" s="4">
        <f>VLOOKUP(C313,nodes!A:D,4,0)</f>
        <v>240</v>
      </c>
      <c r="L313" s="4">
        <f t="shared" si="40"/>
        <v>30</v>
      </c>
      <c r="N313" s="12">
        <f t="shared" si="41"/>
        <v>7437500</v>
      </c>
      <c r="O313" s="12">
        <f t="shared" si="42"/>
        <v>42840000</v>
      </c>
      <c r="P313" s="12">
        <f t="shared" si="43"/>
        <v>11900</v>
      </c>
      <c r="R313" s="23" t="s">
        <v>39</v>
      </c>
      <c r="S313" s="23" t="str">
        <f t="shared" si="44"/>
        <v>312,</v>
      </c>
      <c r="T313" s="23" t="str">
        <f t="shared" si="44"/>
        <v>31,</v>
      </c>
      <c r="U313" s="24">
        <f t="shared" si="45"/>
        <v>52</v>
      </c>
    </row>
    <row r="314" spans="1:21" x14ac:dyDescent="0.25">
      <c r="A314" s="3">
        <v>313</v>
      </c>
      <c r="B314" s="3">
        <v>52</v>
      </c>
      <c r="C314" s="3">
        <v>73</v>
      </c>
      <c r="D314" s="2">
        <f t="shared" si="37"/>
        <v>10985</v>
      </c>
      <c r="E314" s="2">
        <f t="shared" si="38"/>
        <v>5492.5</v>
      </c>
      <c r="F314" s="2">
        <v>2380</v>
      </c>
      <c r="G314" s="2">
        <f t="shared" si="39"/>
        <v>991.66666666666674</v>
      </c>
      <c r="H314" s="4">
        <f>VLOOKUP(B314,nodes!A:D,2,0)</f>
        <v>270</v>
      </c>
      <c r="I314" s="4">
        <f>VLOOKUP(B314,nodes!A:D,4,0)</f>
        <v>240</v>
      </c>
      <c r="J314" s="4">
        <f>VLOOKUP(C314,nodes!A:D,2,0)</f>
        <v>270</v>
      </c>
      <c r="K314" s="4">
        <f>VLOOKUP(C314,nodes!A:D,4,0)</f>
        <v>210</v>
      </c>
      <c r="L314" s="4">
        <f t="shared" si="40"/>
        <v>30</v>
      </c>
      <c r="N314" s="12">
        <f t="shared" si="41"/>
        <v>7437500</v>
      </c>
      <c r="O314" s="12">
        <f t="shared" si="42"/>
        <v>42840000</v>
      </c>
      <c r="P314" s="12">
        <f t="shared" si="43"/>
        <v>11900</v>
      </c>
      <c r="R314" s="23" t="s">
        <v>39</v>
      </c>
      <c r="S314" s="23" t="str">
        <f t="shared" si="44"/>
        <v>313,</v>
      </c>
      <c r="T314" s="23" t="str">
        <f t="shared" si="44"/>
        <v>52,</v>
      </c>
      <c r="U314" s="24">
        <f t="shared" si="45"/>
        <v>73</v>
      </c>
    </row>
    <row r="315" spans="1:21" x14ac:dyDescent="0.25">
      <c r="A315" s="3">
        <v>314</v>
      </c>
      <c r="B315" s="3">
        <v>73</v>
      </c>
      <c r="C315" s="3">
        <v>94</v>
      </c>
      <c r="D315" s="2">
        <f t="shared" si="37"/>
        <v>10985</v>
      </c>
      <c r="E315" s="2">
        <f t="shared" si="38"/>
        <v>5492.5</v>
      </c>
      <c r="F315" s="2">
        <v>2380</v>
      </c>
      <c r="G315" s="2">
        <f t="shared" si="39"/>
        <v>991.66666666666674</v>
      </c>
      <c r="H315" s="4">
        <f>VLOOKUP(B315,nodes!A:D,2,0)</f>
        <v>270</v>
      </c>
      <c r="I315" s="4">
        <f>VLOOKUP(B315,nodes!A:D,4,0)</f>
        <v>210</v>
      </c>
      <c r="J315" s="4">
        <f>VLOOKUP(C315,nodes!A:D,2,0)</f>
        <v>270</v>
      </c>
      <c r="K315" s="4">
        <f>VLOOKUP(C315,nodes!A:D,4,0)</f>
        <v>180</v>
      </c>
      <c r="L315" s="4">
        <f t="shared" si="40"/>
        <v>30</v>
      </c>
      <c r="N315" s="12">
        <f t="shared" si="41"/>
        <v>7437500</v>
      </c>
      <c r="O315" s="12">
        <f t="shared" si="42"/>
        <v>42840000</v>
      </c>
      <c r="P315" s="12">
        <f t="shared" si="43"/>
        <v>11900</v>
      </c>
      <c r="R315" s="23" t="s">
        <v>39</v>
      </c>
      <c r="S315" s="23" t="str">
        <f t="shared" si="44"/>
        <v>314,</v>
      </c>
      <c r="T315" s="23" t="str">
        <f t="shared" si="44"/>
        <v>73,</v>
      </c>
      <c r="U315" s="24">
        <f t="shared" si="45"/>
        <v>94</v>
      </c>
    </row>
    <row r="316" spans="1:21" x14ac:dyDescent="0.25">
      <c r="A316" s="3">
        <v>315</v>
      </c>
      <c r="B316" s="3">
        <v>94</v>
      </c>
      <c r="C316" s="3">
        <v>115</v>
      </c>
      <c r="D316" s="2">
        <f t="shared" si="37"/>
        <v>10985</v>
      </c>
      <c r="E316" s="2">
        <f t="shared" si="38"/>
        <v>5492.5</v>
      </c>
      <c r="F316" s="2">
        <v>2380</v>
      </c>
      <c r="G316" s="2">
        <f t="shared" si="39"/>
        <v>991.66666666666674</v>
      </c>
      <c r="H316" s="4">
        <f>VLOOKUP(B316,nodes!A:D,2,0)</f>
        <v>270</v>
      </c>
      <c r="I316" s="4">
        <f>VLOOKUP(B316,nodes!A:D,4,0)</f>
        <v>180</v>
      </c>
      <c r="J316" s="4">
        <f>VLOOKUP(C316,nodes!A:D,2,0)</f>
        <v>270</v>
      </c>
      <c r="K316" s="4">
        <f>VLOOKUP(C316,nodes!A:D,4,0)</f>
        <v>150</v>
      </c>
      <c r="L316" s="4">
        <f t="shared" si="40"/>
        <v>30</v>
      </c>
      <c r="N316" s="12">
        <f t="shared" si="41"/>
        <v>7437500</v>
      </c>
      <c r="O316" s="12">
        <f t="shared" si="42"/>
        <v>42840000</v>
      </c>
      <c r="P316" s="12">
        <f t="shared" si="43"/>
        <v>11900</v>
      </c>
      <c r="R316" s="23" t="s">
        <v>39</v>
      </c>
      <c r="S316" s="23" t="str">
        <f t="shared" si="44"/>
        <v>315,</v>
      </c>
      <c r="T316" s="23" t="str">
        <f t="shared" si="44"/>
        <v>94,</v>
      </c>
      <c r="U316" s="24">
        <f t="shared" si="45"/>
        <v>115</v>
      </c>
    </row>
    <row r="317" spans="1:21" x14ac:dyDescent="0.25">
      <c r="A317" s="3">
        <v>316</v>
      </c>
      <c r="B317" s="3">
        <v>115</v>
      </c>
      <c r="C317" s="3">
        <v>136</v>
      </c>
      <c r="D317" s="2">
        <f t="shared" si="37"/>
        <v>10985</v>
      </c>
      <c r="E317" s="2">
        <f t="shared" si="38"/>
        <v>5492.5</v>
      </c>
      <c r="F317" s="2">
        <v>2380</v>
      </c>
      <c r="G317" s="2">
        <f t="shared" si="39"/>
        <v>991.66666666666674</v>
      </c>
      <c r="H317" s="4">
        <f>VLOOKUP(B317,nodes!A:D,2,0)</f>
        <v>270</v>
      </c>
      <c r="I317" s="4">
        <f>VLOOKUP(B317,nodes!A:D,4,0)</f>
        <v>150</v>
      </c>
      <c r="J317" s="4">
        <f>VLOOKUP(C317,nodes!A:D,2,0)</f>
        <v>270</v>
      </c>
      <c r="K317" s="4">
        <f>VLOOKUP(C317,nodes!A:D,4,0)</f>
        <v>120</v>
      </c>
      <c r="L317" s="4">
        <f t="shared" si="40"/>
        <v>30</v>
      </c>
      <c r="N317" s="12">
        <f t="shared" si="41"/>
        <v>7437500</v>
      </c>
      <c r="O317" s="12">
        <f t="shared" si="42"/>
        <v>42840000</v>
      </c>
      <c r="P317" s="12">
        <f t="shared" si="43"/>
        <v>11900</v>
      </c>
      <c r="R317" s="23" t="s">
        <v>39</v>
      </c>
      <c r="S317" s="23" t="str">
        <f t="shared" si="44"/>
        <v>316,</v>
      </c>
      <c r="T317" s="23" t="str">
        <f t="shared" si="44"/>
        <v>115,</v>
      </c>
      <c r="U317" s="24">
        <f t="shared" si="45"/>
        <v>136</v>
      </c>
    </row>
    <row r="318" spans="1:21" x14ac:dyDescent="0.25">
      <c r="A318" s="3">
        <v>317</v>
      </c>
      <c r="B318" s="3">
        <v>136</v>
      </c>
      <c r="C318" s="3">
        <v>157</v>
      </c>
      <c r="D318" s="2">
        <f t="shared" si="37"/>
        <v>10985</v>
      </c>
      <c r="E318" s="2">
        <f t="shared" si="38"/>
        <v>5492.5</v>
      </c>
      <c r="F318" s="2">
        <v>2380</v>
      </c>
      <c r="G318" s="2">
        <f t="shared" si="39"/>
        <v>991.66666666666674</v>
      </c>
      <c r="H318" s="4">
        <f>VLOOKUP(B318,nodes!A:D,2,0)</f>
        <v>270</v>
      </c>
      <c r="I318" s="4">
        <f>VLOOKUP(B318,nodes!A:D,4,0)</f>
        <v>120</v>
      </c>
      <c r="J318" s="4">
        <f>VLOOKUP(C318,nodes!A:D,2,0)</f>
        <v>270</v>
      </c>
      <c r="K318" s="4">
        <f>VLOOKUP(C318,nodes!A:D,4,0)</f>
        <v>90</v>
      </c>
      <c r="L318" s="4">
        <f t="shared" si="40"/>
        <v>30</v>
      </c>
      <c r="N318" s="12">
        <f t="shared" si="41"/>
        <v>7437500</v>
      </c>
      <c r="O318" s="12">
        <f t="shared" si="42"/>
        <v>42840000</v>
      </c>
      <c r="P318" s="12">
        <f t="shared" si="43"/>
        <v>11900</v>
      </c>
      <c r="R318" s="23" t="s">
        <v>39</v>
      </c>
      <c r="S318" s="23" t="str">
        <f t="shared" si="44"/>
        <v>317,</v>
      </c>
      <c r="T318" s="23" t="str">
        <f t="shared" si="44"/>
        <v>136,</v>
      </c>
      <c r="U318" s="24">
        <f t="shared" si="45"/>
        <v>157</v>
      </c>
    </row>
    <row r="319" spans="1:21" x14ac:dyDescent="0.25">
      <c r="A319" s="3">
        <v>318</v>
      </c>
      <c r="B319" s="3">
        <v>157</v>
      </c>
      <c r="C319" s="3">
        <v>178</v>
      </c>
      <c r="D319" s="2">
        <f t="shared" si="37"/>
        <v>10985</v>
      </c>
      <c r="E319" s="2">
        <f t="shared" si="38"/>
        <v>5492.5</v>
      </c>
      <c r="F319" s="2">
        <v>2380</v>
      </c>
      <c r="G319" s="2">
        <f t="shared" si="39"/>
        <v>991.66666666666674</v>
      </c>
      <c r="H319" s="4">
        <f>VLOOKUP(B319,nodes!A:D,2,0)</f>
        <v>270</v>
      </c>
      <c r="I319" s="4">
        <f>VLOOKUP(B319,nodes!A:D,4,0)</f>
        <v>90</v>
      </c>
      <c r="J319" s="4">
        <f>VLOOKUP(C319,nodes!A:D,2,0)</f>
        <v>270</v>
      </c>
      <c r="K319" s="4">
        <f>VLOOKUP(C319,nodes!A:D,4,0)</f>
        <v>60</v>
      </c>
      <c r="L319" s="4">
        <f t="shared" si="40"/>
        <v>30</v>
      </c>
      <c r="N319" s="12">
        <f t="shared" si="41"/>
        <v>7437500</v>
      </c>
      <c r="O319" s="12">
        <f t="shared" si="42"/>
        <v>42840000</v>
      </c>
      <c r="P319" s="12">
        <f t="shared" si="43"/>
        <v>11900</v>
      </c>
      <c r="R319" s="23" t="s">
        <v>39</v>
      </c>
      <c r="S319" s="23" t="str">
        <f t="shared" si="44"/>
        <v>318,</v>
      </c>
      <c r="T319" s="23" t="str">
        <f t="shared" si="44"/>
        <v>157,</v>
      </c>
      <c r="U319" s="24">
        <f t="shared" si="45"/>
        <v>178</v>
      </c>
    </row>
    <row r="320" spans="1:21" x14ac:dyDescent="0.25">
      <c r="A320" s="3">
        <v>319</v>
      </c>
      <c r="B320" s="3">
        <v>178</v>
      </c>
      <c r="C320" s="3">
        <v>199</v>
      </c>
      <c r="D320" s="2">
        <f t="shared" si="37"/>
        <v>10985</v>
      </c>
      <c r="E320" s="2">
        <f t="shared" si="38"/>
        <v>5492.5</v>
      </c>
      <c r="F320" s="2">
        <v>2380</v>
      </c>
      <c r="G320" s="2">
        <f t="shared" si="39"/>
        <v>991.66666666666674</v>
      </c>
      <c r="H320" s="4">
        <f>VLOOKUP(B320,nodes!A:D,2,0)</f>
        <v>270</v>
      </c>
      <c r="I320" s="4">
        <f>VLOOKUP(B320,nodes!A:D,4,0)</f>
        <v>60</v>
      </c>
      <c r="J320" s="4">
        <f>VLOOKUP(C320,nodes!A:D,2,0)</f>
        <v>270</v>
      </c>
      <c r="K320" s="4">
        <f>VLOOKUP(C320,nodes!A:D,4,0)</f>
        <v>30</v>
      </c>
      <c r="L320" s="4">
        <f t="shared" si="40"/>
        <v>30</v>
      </c>
      <c r="N320" s="12">
        <f t="shared" si="41"/>
        <v>7437500</v>
      </c>
      <c r="O320" s="12">
        <f t="shared" si="42"/>
        <v>42840000</v>
      </c>
      <c r="P320" s="12">
        <f t="shared" si="43"/>
        <v>11900</v>
      </c>
      <c r="R320" s="23" t="s">
        <v>39</v>
      </c>
      <c r="S320" s="23" t="str">
        <f t="shared" si="44"/>
        <v>319,</v>
      </c>
      <c r="T320" s="23" t="str">
        <f t="shared" si="44"/>
        <v>178,</v>
      </c>
      <c r="U320" s="24">
        <f t="shared" si="45"/>
        <v>199</v>
      </c>
    </row>
    <row r="321" spans="1:21" x14ac:dyDescent="0.25">
      <c r="A321" s="3">
        <v>320</v>
      </c>
      <c r="B321" s="3">
        <v>199</v>
      </c>
      <c r="C321" s="3">
        <v>220</v>
      </c>
      <c r="D321" s="2">
        <f t="shared" si="37"/>
        <v>10985</v>
      </c>
      <c r="E321" s="2">
        <f t="shared" si="38"/>
        <v>5492.5</v>
      </c>
      <c r="F321" s="2">
        <v>2380</v>
      </c>
      <c r="G321" s="2">
        <f t="shared" si="39"/>
        <v>991.66666666666674</v>
      </c>
      <c r="H321" s="4">
        <f>VLOOKUP(B321,nodes!A:D,2,0)</f>
        <v>270</v>
      </c>
      <c r="I321" s="4">
        <f>VLOOKUP(B321,nodes!A:D,4,0)</f>
        <v>30</v>
      </c>
      <c r="J321" s="4">
        <f>VLOOKUP(C321,nodes!A:D,2,0)</f>
        <v>270</v>
      </c>
      <c r="K321" s="4">
        <f>VLOOKUP(C321,nodes!A:D,4,0)</f>
        <v>0</v>
      </c>
      <c r="L321" s="4">
        <f t="shared" si="40"/>
        <v>30</v>
      </c>
      <c r="N321" s="12">
        <f t="shared" si="41"/>
        <v>7437500</v>
      </c>
      <c r="O321" s="12">
        <f t="shared" si="42"/>
        <v>42840000</v>
      </c>
      <c r="P321" s="12">
        <f t="shared" si="43"/>
        <v>11900</v>
      </c>
      <c r="R321" s="23" t="s">
        <v>39</v>
      </c>
      <c r="S321" s="23" t="str">
        <f t="shared" si="44"/>
        <v>320,</v>
      </c>
      <c r="T321" s="23" t="str">
        <f t="shared" si="44"/>
        <v>199,</v>
      </c>
      <c r="U321" s="24">
        <f t="shared" si="45"/>
        <v>220</v>
      </c>
    </row>
    <row r="322" spans="1:21" x14ac:dyDescent="0.25">
      <c r="A322" s="3">
        <v>321</v>
      </c>
      <c r="B322" s="3">
        <v>11</v>
      </c>
      <c r="C322" s="3">
        <v>32</v>
      </c>
      <c r="D322" s="2">
        <f t="shared" ref="D322:D385" si="46">E322*2</f>
        <v>10985</v>
      </c>
      <c r="E322" s="2">
        <f t="shared" si="38"/>
        <v>5492.5</v>
      </c>
      <c r="F322" s="2">
        <v>2380</v>
      </c>
      <c r="G322" s="2">
        <f t="shared" si="39"/>
        <v>991.66666666666674</v>
      </c>
      <c r="H322" s="4">
        <f>VLOOKUP(B322,nodes!A:D,2,0)</f>
        <v>300</v>
      </c>
      <c r="I322" s="4">
        <f>VLOOKUP(B322,nodes!A:D,4,0)</f>
        <v>300</v>
      </c>
      <c r="J322" s="4">
        <f>VLOOKUP(C322,nodes!A:D,2,0)</f>
        <v>300</v>
      </c>
      <c r="K322" s="4">
        <f>VLOOKUP(C322,nodes!A:D,4,0)</f>
        <v>270</v>
      </c>
      <c r="L322" s="4">
        <f t="shared" si="40"/>
        <v>30</v>
      </c>
      <c r="N322" s="12">
        <f t="shared" si="41"/>
        <v>7437500</v>
      </c>
      <c r="O322" s="12">
        <f t="shared" si="42"/>
        <v>42840000</v>
      </c>
      <c r="P322" s="12">
        <f t="shared" si="43"/>
        <v>11900</v>
      </c>
      <c r="R322" s="23" t="s">
        <v>39</v>
      </c>
      <c r="S322" s="23" t="str">
        <f t="shared" si="44"/>
        <v>321,</v>
      </c>
      <c r="T322" s="23" t="str">
        <f t="shared" si="44"/>
        <v>11,</v>
      </c>
      <c r="U322" s="24">
        <f t="shared" si="45"/>
        <v>32</v>
      </c>
    </row>
    <row r="323" spans="1:21" x14ac:dyDescent="0.25">
      <c r="A323" s="3">
        <v>322</v>
      </c>
      <c r="B323" s="3">
        <v>32</v>
      </c>
      <c r="C323" s="3">
        <v>53</v>
      </c>
      <c r="D323" s="2">
        <f t="shared" si="46"/>
        <v>10985</v>
      </c>
      <c r="E323" s="2">
        <f t="shared" ref="E323:E386" si="47">(30*13^3)/12</f>
        <v>5492.5</v>
      </c>
      <c r="F323" s="2">
        <v>2380</v>
      </c>
      <c r="G323" s="2">
        <f t="shared" ref="G323:G386" si="48">F323/(2*(1+0.2))</f>
        <v>991.66666666666674</v>
      </c>
      <c r="H323" s="4">
        <f>VLOOKUP(B323,nodes!A:D,2,0)</f>
        <v>300</v>
      </c>
      <c r="I323" s="4">
        <f>VLOOKUP(B323,nodes!A:D,4,0)</f>
        <v>270</v>
      </c>
      <c r="J323" s="4">
        <f>VLOOKUP(C323,nodes!A:D,2,0)</f>
        <v>300</v>
      </c>
      <c r="K323" s="4">
        <f>VLOOKUP(C323,nodes!A:D,4,0)</f>
        <v>240</v>
      </c>
      <c r="L323" s="4">
        <f t="shared" ref="L323:L386" si="49">((J323-H323)^2+(K323-I323)^2)^0.5</f>
        <v>30</v>
      </c>
      <c r="N323" s="12">
        <f t="shared" ref="N323:N386" si="50">12*2380*60*(25^3)/(300*12)</f>
        <v>7437500</v>
      </c>
      <c r="O323" s="12">
        <f t="shared" ref="O323:O386" si="51">12*2380*25*(60^3)/(300*12)</f>
        <v>42840000</v>
      </c>
      <c r="P323" s="12">
        <f t="shared" ref="P323:P386" si="52">2380*25*60/300</f>
        <v>11900</v>
      </c>
      <c r="R323" s="23" t="s">
        <v>39</v>
      </c>
      <c r="S323" s="23" t="str">
        <f t="shared" ref="S323:T386" si="53">A323&amp;","</f>
        <v>322,</v>
      </c>
      <c r="T323" s="23" t="str">
        <f t="shared" si="53"/>
        <v>32,</v>
      </c>
      <c r="U323" s="24">
        <f t="shared" ref="U323:U386" si="54">C323</f>
        <v>53</v>
      </c>
    </row>
    <row r="324" spans="1:21" x14ac:dyDescent="0.25">
      <c r="A324" s="3">
        <v>323</v>
      </c>
      <c r="B324" s="3">
        <v>53</v>
      </c>
      <c r="C324" s="3">
        <v>74</v>
      </c>
      <c r="D324" s="2">
        <f t="shared" si="46"/>
        <v>10985</v>
      </c>
      <c r="E324" s="2">
        <f t="shared" si="47"/>
        <v>5492.5</v>
      </c>
      <c r="F324" s="2">
        <v>2380</v>
      </c>
      <c r="G324" s="2">
        <f t="shared" si="48"/>
        <v>991.66666666666674</v>
      </c>
      <c r="H324" s="4">
        <f>VLOOKUP(B324,nodes!A:D,2,0)</f>
        <v>300</v>
      </c>
      <c r="I324" s="4">
        <f>VLOOKUP(B324,nodes!A:D,4,0)</f>
        <v>240</v>
      </c>
      <c r="J324" s="4">
        <f>VLOOKUP(C324,nodes!A:D,2,0)</f>
        <v>300</v>
      </c>
      <c r="K324" s="4">
        <f>VLOOKUP(C324,nodes!A:D,4,0)</f>
        <v>210</v>
      </c>
      <c r="L324" s="4">
        <f t="shared" si="49"/>
        <v>30</v>
      </c>
      <c r="N324" s="12">
        <f t="shared" si="50"/>
        <v>7437500</v>
      </c>
      <c r="O324" s="12">
        <f t="shared" si="51"/>
        <v>42840000</v>
      </c>
      <c r="P324" s="12">
        <f t="shared" si="52"/>
        <v>11900</v>
      </c>
      <c r="R324" s="23" t="s">
        <v>39</v>
      </c>
      <c r="S324" s="23" t="str">
        <f t="shared" si="53"/>
        <v>323,</v>
      </c>
      <c r="T324" s="23" t="str">
        <f t="shared" si="53"/>
        <v>53,</v>
      </c>
      <c r="U324" s="24">
        <f t="shared" si="54"/>
        <v>74</v>
      </c>
    </row>
    <row r="325" spans="1:21" x14ac:dyDescent="0.25">
      <c r="A325" s="3">
        <v>324</v>
      </c>
      <c r="B325" s="3">
        <v>74</v>
      </c>
      <c r="C325" s="3">
        <v>95</v>
      </c>
      <c r="D325" s="2">
        <f t="shared" si="46"/>
        <v>10985</v>
      </c>
      <c r="E325" s="2">
        <f t="shared" si="47"/>
        <v>5492.5</v>
      </c>
      <c r="F325" s="2">
        <v>2380</v>
      </c>
      <c r="G325" s="2">
        <f t="shared" si="48"/>
        <v>991.66666666666674</v>
      </c>
      <c r="H325" s="4">
        <f>VLOOKUP(B325,nodes!A:D,2,0)</f>
        <v>300</v>
      </c>
      <c r="I325" s="4">
        <f>VLOOKUP(B325,nodes!A:D,4,0)</f>
        <v>210</v>
      </c>
      <c r="J325" s="4">
        <f>VLOOKUP(C325,nodes!A:D,2,0)</f>
        <v>300</v>
      </c>
      <c r="K325" s="4">
        <f>VLOOKUP(C325,nodes!A:D,4,0)</f>
        <v>180</v>
      </c>
      <c r="L325" s="4">
        <f t="shared" si="49"/>
        <v>30</v>
      </c>
      <c r="N325" s="12">
        <f t="shared" si="50"/>
        <v>7437500</v>
      </c>
      <c r="O325" s="12">
        <f t="shared" si="51"/>
        <v>42840000</v>
      </c>
      <c r="P325" s="12">
        <f t="shared" si="52"/>
        <v>11900</v>
      </c>
      <c r="R325" s="23" t="s">
        <v>39</v>
      </c>
      <c r="S325" s="23" t="str">
        <f t="shared" si="53"/>
        <v>324,</v>
      </c>
      <c r="T325" s="23" t="str">
        <f t="shared" si="53"/>
        <v>74,</v>
      </c>
      <c r="U325" s="24">
        <f t="shared" si="54"/>
        <v>95</v>
      </c>
    </row>
    <row r="326" spans="1:21" x14ac:dyDescent="0.25">
      <c r="A326" s="3">
        <v>325</v>
      </c>
      <c r="B326" s="3">
        <v>95</v>
      </c>
      <c r="C326" s="3">
        <v>116</v>
      </c>
      <c r="D326" s="2">
        <f t="shared" si="46"/>
        <v>10985</v>
      </c>
      <c r="E326" s="2">
        <f t="shared" si="47"/>
        <v>5492.5</v>
      </c>
      <c r="F326" s="2">
        <v>2380</v>
      </c>
      <c r="G326" s="2">
        <f t="shared" si="48"/>
        <v>991.66666666666674</v>
      </c>
      <c r="H326" s="4">
        <f>VLOOKUP(B326,nodes!A:D,2,0)</f>
        <v>300</v>
      </c>
      <c r="I326" s="4">
        <f>VLOOKUP(B326,nodes!A:D,4,0)</f>
        <v>180</v>
      </c>
      <c r="J326" s="4">
        <f>VLOOKUP(C326,nodes!A:D,2,0)</f>
        <v>300</v>
      </c>
      <c r="K326" s="4">
        <f>VLOOKUP(C326,nodes!A:D,4,0)</f>
        <v>150</v>
      </c>
      <c r="L326" s="4">
        <f t="shared" si="49"/>
        <v>30</v>
      </c>
      <c r="N326" s="12">
        <f t="shared" si="50"/>
        <v>7437500</v>
      </c>
      <c r="O326" s="12">
        <f t="shared" si="51"/>
        <v>42840000</v>
      </c>
      <c r="P326" s="12">
        <f t="shared" si="52"/>
        <v>11900</v>
      </c>
      <c r="R326" s="23" t="s">
        <v>39</v>
      </c>
      <c r="S326" s="23" t="str">
        <f t="shared" si="53"/>
        <v>325,</v>
      </c>
      <c r="T326" s="23" t="str">
        <f t="shared" si="53"/>
        <v>95,</v>
      </c>
      <c r="U326" s="24">
        <f t="shared" si="54"/>
        <v>116</v>
      </c>
    </row>
    <row r="327" spans="1:21" x14ac:dyDescent="0.25">
      <c r="A327" s="3">
        <v>326</v>
      </c>
      <c r="B327" s="3">
        <v>116</v>
      </c>
      <c r="C327" s="3">
        <v>137</v>
      </c>
      <c r="D327" s="2">
        <f t="shared" si="46"/>
        <v>10985</v>
      </c>
      <c r="E327" s="2">
        <f t="shared" si="47"/>
        <v>5492.5</v>
      </c>
      <c r="F327" s="2">
        <v>2380</v>
      </c>
      <c r="G327" s="2">
        <f t="shared" si="48"/>
        <v>991.66666666666674</v>
      </c>
      <c r="H327" s="4">
        <f>VLOOKUP(B327,nodes!A:D,2,0)</f>
        <v>300</v>
      </c>
      <c r="I327" s="4">
        <f>VLOOKUP(B327,nodes!A:D,4,0)</f>
        <v>150</v>
      </c>
      <c r="J327" s="4">
        <f>VLOOKUP(C327,nodes!A:D,2,0)</f>
        <v>300</v>
      </c>
      <c r="K327" s="4">
        <f>VLOOKUP(C327,nodes!A:D,4,0)</f>
        <v>120</v>
      </c>
      <c r="L327" s="4">
        <f t="shared" si="49"/>
        <v>30</v>
      </c>
      <c r="N327" s="12">
        <f t="shared" si="50"/>
        <v>7437500</v>
      </c>
      <c r="O327" s="12">
        <f t="shared" si="51"/>
        <v>42840000</v>
      </c>
      <c r="P327" s="12">
        <f t="shared" si="52"/>
        <v>11900</v>
      </c>
      <c r="R327" s="23" t="s">
        <v>39</v>
      </c>
      <c r="S327" s="23" t="str">
        <f t="shared" si="53"/>
        <v>326,</v>
      </c>
      <c r="T327" s="23" t="str">
        <f t="shared" si="53"/>
        <v>116,</v>
      </c>
      <c r="U327" s="24">
        <f t="shared" si="54"/>
        <v>137</v>
      </c>
    </row>
    <row r="328" spans="1:21" x14ac:dyDescent="0.25">
      <c r="A328" s="3">
        <v>327</v>
      </c>
      <c r="B328" s="3">
        <v>137</v>
      </c>
      <c r="C328" s="3">
        <v>158</v>
      </c>
      <c r="D328" s="2">
        <f t="shared" si="46"/>
        <v>10985</v>
      </c>
      <c r="E328" s="2">
        <f t="shared" si="47"/>
        <v>5492.5</v>
      </c>
      <c r="F328" s="2">
        <v>2380</v>
      </c>
      <c r="G328" s="2">
        <f t="shared" si="48"/>
        <v>991.66666666666674</v>
      </c>
      <c r="H328" s="4">
        <f>VLOOKUP(B328,nodes!A:D,2,0)</f>
        <v>300</v>
      </c>
      <c r="I328" s="4">
        <f>VLOOKUP(B328,nodes!A:D,4,0)</f>
        <v>120</v>
      </c>
      <c r="J328" s="4">
        <f>VLOOKUP(C328,nodes!A:D,2,0)</f>
        <v>300</v>
      </c>
      <c r="K328" s="4">
        <f>VLOOKUP(C328,nodes!A:D,4,0)</f>
        <v>90</v>
      </c>
      <c r="L328" s="4">
        <f t="shared" si="49"/>
        <v>30</v>
      </c>
      <c r="N328" s="12">
        <f t="shared" si="50"/>
        <v>7437500</v>
      </c>
      <c r="O328" s="12">
        <f t="shared" si="51"/>
        <v>42840000</v>
      </c>
      <c r="P328" s="12">
        <f t="shared" si="52"/>
        <v>11900</v>
      </c>
      <c r="R328" s="23" t="s">
        <v>39</v>
      </c>
      <c r="S328" s="23" t="str">
        <f t="shared" si="53"/>
        <v>327,</v>
      </c>
      <c r="T328" s="23" t="str">
        <f t="shared" si="53"/>
        <v>137,</v>
      </c>
      <c r="U328" s="24">
        <f t="shared" si="54"/>
        <v>158</v>
      </c>
    </row>
    <row r="329" spans="1:21" x14ac:dyDescent="0.25">
      <c r="A329" s="3">
        <v>328</v>
      </c>
      <c r="B329" s="3">
        <v>158</v>
      </c>
      <c r="C329" s="3">
        <v>179</v>
      </c>
      <c r="D329" s="2">
        <f t="shared" si="46"/>
        <v>10985</v>
      </c>
      <c r="E329" s="2">
        <f t="shared" si="47"/>
        <v>5492.5</v>
      </c>
      <c r="F329" s="2">
        <v>2380</v>
      </c>
      <c r="G329" s="2">
        <f t="shared" si="48"/>
        <v>991.66666666666674</v>
      </c>
      <c r="H329" s="4">
        <f>VLOOKUP(B329,nodes!A:D,2,0)</f>
        <v>300</v>
      </c>
      <c r="I329" s="4">
        <f>VLOOKUP(B329,nodes!A:D,4,0)</f>
        <v>90</v>
      </c>
      <c r="J329" s="4">
        <f>VLOOKUP(C329,nodes!A:D,2,0)</f>
        <v>300</v>
      </c>
      <c r="K329" s="4">
        <f>VLOOKUP(C329,nodes!A:D,4,0)</f>
        <v>60</v>
      </c>
      <c r="L329" s="4">
        <f t="shared" si="49"/>
        <v>30</v>
      </c>
      <c r="N329" s="12">
        <f t="shared" si="50"/>
        <v>7437500</v>
      </c>
      <c r="O329" s="12">
        <f t="shared" si="51"/>
        <v>42840000</v>
      </c>
      <c r="P329" s="12">
        <f t="shared" si="52"/>
        <v>11900</v>
      </c>
      <c r="R329" s="23" t="s">
        <v>39</v>
      </c>
      <c r="S329" s="23" t="str">
        <f t="shared" si="53"/>
        <v>328,</v>
      </c>
      <c r="T329" s="23" t="str">
        <f t="shared" si="53"/>
        <v>158,</v>
      </c>
      <c r="U329" s="24">
        <f t="shared" si="54"/>
        <v>179</v>
      </c>
    </row>
    <row r="330" spans="1:21" x14ac:dyDescent="0.25">
      <c r="A330" s="3">
        <v>329</v>
      </c>
      <c r="B330" s="3">
        <v>179</v>
      </c>
      <c r="C330" s="3">
        <v>200</v>
      </c>
      <c r="D330" s="2">
        <f t="shared" si="46"/>
        <v>10985</v>
      </c>
      <c r="E330" s="2">
        <f t="shared" si="47"/>
        <v>5492.5</v>
      </c>
      <c r="F330" s="2">
        <v>2380</v>
      </c>
      <c r="G330" s="2">
        <f t="shared" si="48"/>
        <v>991.66666666666674</v>
      </c>
      <c r="H330" s="4">
        <f>VLOOKUP(B330,nodes!A:D,2,0)</f>
        <v>300</v>
      </c>
      <c r="I330" s="4">
        <f>VLOOKUP(B330,nodes!A:D,4,0)</f>
        <v>60</v>
      </c>
      <c r="J330" s="4">
        <f>VLOOKUP(C330,nodes!A:D,2,0)</f>
        <v>300</v>
      </c>
      <c r="K330" s="4">
        <f>VLOOKUP(C330,nodes!A:D,4,0)</f>
        <v>30</v>
      </c>
      <c r="L330" s="4">
        <f t="shared" si="49"/>
        <v>30</v>
      </c>
      <c r="N330" s="12">
        <f t="shared" si="50"/>
        <v>7437500</v>
      </c>
      <c r="O330" s="12">
        <f t="shared" si="51"/>
        <v>42840000</v>
      </c>
      <c r="P330" s="12">
        <f t="shared" si="52"/>
        <v>11900</v>
      </c>
      <c r="R330" s="23" t="s">
        <v>39</v>
      </c>
      <c r="S330" s="23" t="str">
        <f t="shared" si="53"/>
        <v>329,</v>
      </c>
      <c r="T330" s="23" t="str">
        <f t="shared" si="53"/>
        <v>179,</v>
      </c>
      <c r="U330" s="24">
        <f t="shared" si="54"/>
        <v>200</v>
      </c>
    </row>
    <row r="331" spans="1:21" x14ac:dyDescent="0.25">
      <c r="A331" s="3">
        <v>330</v>
      </c>
      <c r="B331" s="3">
        <v>200</v>
      </c>
      <c r="C331" s="3">
        <v>221</v>
      </c>
      <c r="D331" s="2">
        <f t="shared" si="46"/>
        <v>10985</v>
      </c>
      <c r="E331" s="2">
        <f t="shared" si="47"/>
        <v>5492.5</v>
      </c>
      <c r="F331" s="2">
        <v>2380</v>
      </c>
      <c r="G331" s="2">
        <f t="shared" si="48"/>
        <v>991.66666666666674</v>
      </c>
      <c r="H331" s="4">
        <f>VLOOKUP(B331,nodes!A:D,2,0)</f>
        <v>300</v>
      </c>
      <c r="I331" s="4">
        <f>VLOOKUP(B331,nodes!A:D,4,0)</f>
        <v>30</v>
      </c>
      <c r="J331" s="4">
        <f>VLOOKUP(C331,nodes!A:D,2,0)</f>
        <v>300</v>
      </c>
      <c r="K331" s="4">
        <f>VLOOKUP(C331,nodes!A:D,4,0)</f>
        <v>0</v>
      </c>
      <c r="L331" s="4">
        <f t="shared" si="49"/>
        <v>30</v>
      </c>
      <c r="N331" s="12">
        <f t="shared" si="50"/>
        <v>7437500</v>
      </c>
      <c r="O331" s="12">
        <f t="shared" si="51"/>
        <v>42840000</v>
      </c>
      <c r="P331" s="12">
        <f t="shared" si="52"/>
        <v>11900</v>
      </c>
      <c r="R331" s="23" t="s">
        <v>39</v>
      </c>
      <c r="S331" s="23" t="str">
        <f t="shared" si="53"/>
        <v>330,</v>
      </c>
      <c r="T331" s="23" t="str">
        <f t="shared" si="53"/>
        <v>200,</v>
      </c>
      <c r="U331" s="24">
        <f t="shared" si="54"/>
        <v>221</v>
      </c>
    </row>
    <row r="332" spans="1:21" x14ac:dyDescent="0.25">
      <c r="A332" s="3">
        <v>331</v>
      </c>
      <c r="B332" s="3">
        <v>12</v>
      </c>
      <c r="C332" s="3">
        <v>33</v>
      </c>
      <c r="D332" s="2">
        <f t="shared" si="46"/>
        <v>10985</v>
      </c>
      <c r="E332" s="2">
        <f t="shared" si="47"/>
        <v>5492.5</v>
      </c>
      <c r="F332" s="2">
        <v>2380</v>
      </c>
      <c r="G332" s="2">
        <f t="shared" si="48"/>
        <v>991.66666666666674</v>
      </c>
      <c r="H332" s="4">
        <f>VLOOKUP(B332,nodes!A:D,2,0)</f>
        <v>330</v>
      </c>
      <c r="I332" s="4">
        <f>VLOOKUP(B332,nodes!A:D,4,0)</f>
        <v>300</v>
      </c>
      <c r="J332" s="4">
        <f>VLOOKUP(C332,nodes!A:D,2,0)</f>
        <v>330</v>
      </c>
      <c r="K332" s="4">
        <f>VLOOKUP(C332,nodes!A:D,4,0)</f>
        <v>270</v>
      </c>
      <c r="L332" s="4">
        <f t="shared" si="49"/>
        <v>30</v>
      </c>
      <c r="N332" s="12">
        <f t="shared" si="50"/>
        <v>7437500</v>
      </c>
      <c r="O332" s="12">
        <f t="shared" si="51"/>
        <v>42840000</v>
      </c>
      <c r="P332" s="12">
        <f t="shared" si="52"/>
        <v>11900</v>
      </c>
      <c r="R332" s="23" t="s">
        <v>39</v>
      </c>
      <c r="S332" s="23" t="str">
        <f t="shared" si="53"/>
        <v>331,</v>
      </c>
      <c r="T332" s="23" t="str">
        <f t="shared" si="53"/>
        <v>12,</v>
      </c>
      <c r="U332" s="24">
        <f t="shared" si="54"/>
        <v>33</v>
      </c>
    </row>
    <row r="333" spans="1:21" x14ac:dyDescent="0.25">
      <c r="A333" s="3">
        <v>332</v>
      </c>
      <c r="B333" s="3">
        <v>33</v>
      </c>
      <c r="C333" s="3">
        <v>54</v>
      </c>
      <c r="D333" s="2">
        <f t="shared" si="46"/>
        <v>10985</v>
      </c>
      <c r="E333" s="2">
        <f t="shared" si="47"/>
        <v>5492.5</v>
      </c>
      <c r="F333" s="2">
        <v>2380</v>
      </c>
      <c r="G333" s="2">
        <f t="shared" si="48"/>
        <v>991.66666666666674</v>
      </c>
      <c r="H333" s="4">
        <f>VLOOKUP(B333,nodes!A:D,2,0)</f>
        <v>330</v>
      </c>
      <c r="I333" s="4">
        <f>VLOOKUP(B333,nodes!A:D,4,0)</f>
        <v>270</v>
      </c>
      <c r="J333" s="4">
        <f>VLOOKUP(C333,nodes!A:D,2,0)</f>
        <v>330</v>
      </c>
      <c r="K333" s="4">
        <f>VLOOKUP(C333,nodes!A:D,4,0)</f>
        <v>240</v>
      </c>
      <c r="L333" s="4">
        <f t="shared" si="49"/>
        <v>30</v>
      </c>
      <c r="N333" s="12">
        <f t="shared" si="50"/>
        <v>7437500</v>
      </c>
      <c r="O333" s="12">
        <f t="shared" si="51"/>
        <v>42840000</v>
      </c>
      <c r="P333" s="12">
        <f t="shared" si="52"/>
        <v>11900</v>
      </c>
      <c r="R333" s="23" t="s">
        <v>39</v>
      </c>
      <c r="S333" s="23" t="str">
        <f t="shared" si="53"/>
        <v>332,</v>
      </c>
      <c r="T333" s="23" t="str">
        <f t="shared" si="53"/>
        <v>33,</v>
      </c>
      <c r="U333" s="24">
        <f t="shared" si="54"/>
        <v>54</v>
      </c>
    </row>
    <row r="334" spans="1:21" x14ac:dyDescent="0.25">
      <c r="A334" s="3">
        <v>333</v>
      </c>
      <c r="B334" s="3">
        <v>54</v>
      </c>
      <c r="C334" s="3">
        <v>75</v>
      </c>
      <c r="D334" s="2">
        <f t="shared" si="46"/>
        <v>10985</v>
      </c>
      <c r="E334" s="2">
        <f t="shared" si="47"/>
        <v>5492.5</v>
      </c>
      <c r="F334" s="2">
        <v>2380</v>
      </c>
      <c r="G334" s="2">
        <f t="shared" si="48"/>
        <v>991.66666666666674</v>
      </c>
      <c r="H334" s="4">
        <f>VLOOKUP(B334,nodes!A:D,2,0)</f>
        <v>330</v>
      </c>
      <c r="I334" s="4">
        <f>VLOOKUP(B334,nodes!A:D,4,0)</f>
        <v>240</v>
      </c>
      <c r="J334" s="4">
        <f>VLOOKUP(C334,nodes!A:D,2,0)</f>
        <v>330</v>
      </c>
      <c r="K334" s="4">
        <f>VLOOKUP(C334,nodes!A:D,4,0)</f>
        <v>210</v>
      </c>
      <c r="L334" s="4">
        <f t="shared" si="49"/>
        <v>30</v>
      </c>
      <c r="N334" s="12">
        <f t="shared" si="50"/>
        <v>7437500</v>
      </c>
      <c r="O334" s="12">
        <f t="shared" si="51"/>
        <v>42840000</v>
      </c>
      <c r="P334" s="12">
        <f t="shared" si="52"/>
        <v>11900</v>
      </c>
      <c r="R334" s="23" t="s">
        <v>39</v>
      </c>
      <c r="S334" s="23" t="str">
        <f t="shared" si="53"/>
        <v>333,</v>
      </c>
      <c r="T334" s="23" t="str">
        <f t="shared" si="53"/>
        <v>54,</v>
      </c>
      <c r="U334" s="24">
        <f t="shared" si="54"/>
        <v>75</v>
      </c>
    </row>
    <row r="335" spans="1:21" x14ac:dyDescent="0.25">
      <c r="A335" s="3">
        <v>334</v>
      </c>
      <c r="B335" s="3">
        <v>75</v>
      </c>
      <c r="C335" s="3">
        <v>96</v>
      </c>
      <c r="D335" s="2">
        <f t="shared" si="46"/>
        <v>10985</v>
      </c>
      <c r="E335" s="2">
        <f t="shared" si="47"/>
        <v>5492.5</v>
      </c>
      <c r="F335" s="2">
        <v>2380</v>
      </c>
      <c r="G335" s="2">
        <f t="shared" si="48"/>
        <v>991.66666666666674</v>
      </c>
      <c r="H335" s="4">
        <f>VLOOKUP(B335,nodes!A:D,2,0)</f>
        <v>330</v>
      </c>
      <c r="I335" s="4">
        <f>VLOOKUP(B335,nodes!A:D,4,0)</f>
        <v>210</v>
      </c>
      <c r="J335" s="4">
        <f>VLOOKUP(C335,nodes!A:D,2,0)</f>
        <v>330</v>
      </c>
      <c r="K335" s="4">
        <f>VLOOKUP(C335,nodes!A:D,4,0)</f>
        <v>180</v>
      </c>
      <c r="L335" s="4">
        <f t="shared" si="49"/>
        <v>30</v>
      </c>
      <c r="N335" s="12">
        <f t="shared" si="50"/>
        <v>7437500</v>
      </c>
      <c r="O335" s="12">
        <f t="shared" si="51"/>
        <v>42840000</v>
      </c>
      <c r="P335" s="12">
        <f t="shared" si="52"/>
        <v>11900</v>
      </c>
      <c r="R335" s="23" t="s">
        <v>39</v>
      </c>
      <c r="S335" s="23" t="str">
        <f t="shared" si="53"/>
        <v>334,</v>
      </c>
      <c r="T335" s="23" t="str">
        <f t="shared" si="53"/>
        <v>75,</v>
      </c>
      <c r="U335" s="24">
        <f t="shared" si="54"/>
        <v>96</v>
      </c>
    </row>
    <row r="336" spans="1:21" x14ac:dyDescent="0.25">
      <c r="A336" s="3">
        <v>335</v>
      </c>
      <c r="B336" s="3">
        <v>96</v>
      </c>
      <c r="C336" s="3">
        <v>117</v>
      </c>
      <c r="D336" s="2">
        <f t="shared" si="46"/>
        <v>10985</v>
      </c>
      <c r="E336" s="2">
        <f t="shared" si="47"/>
        <v>5492.5</v>
      </c>
      <c r="F336" s="2">
        <v>2380</v>
      </c>
      <c r="G336" s="2">
        <f t="shared" si="48"/>
        <v>991.66666666666674</v>
      </c>
      <c r="H336" s="4">
        <f>VLOOKUP(B336,nodes!A:D,2,0)</f>
        <v>330</v>
      </c>
      <c r="I336" s="4">
        <f>VLOOKUP(B336,nodes!A:D,4,0)</f>
        <v>180</v>
      </c>
      <c r="J336" s="4">
        <f>VLOOKUP(C336,nodes!A:D,2,0)</f>
        <v>330</v>
      </c>
      <c r="K336" s="4">
        <f>VLOOKUP(C336,nodes!A:D,4,0)</f>
        <v>150</v>
      </c>
      <c r="L336" s="4">
        <f t="shared" si="49"/>
        <v>30</v>
      </c>
      <c r="N336" s="12">
        <f t="shared" si="50"/>
        <v>7437500</v>
      </c>
      <c r="O336" s="12">
        <f t="shared" si="51"/>
        <v>42840000</v>
      </c>
      <c r="P336" s="12">
        <f t="shared" si="52"/>
        <v>11900</v>
      </c>
      <c r="R336" s="23" t="s">
        <v>39</v>
      </c>
      <c r="S336" s="23" t="str">
        <f t="shared" si="53"/>
        <v>335,</v>
      </c>
      <c r="T336" s="23" t="str">
        <f t="shared" si="53"/>
        <v>96,</v>
      </c>
      <c r="U336" s="24">
        <f t="shared" si="54"/>
        <v>117</v>
      </c>
    </row>
    <row r="337" spans="1:21" x14ac:dyDescent="0.25">
      <c r="A337" s="3">
        <v>336</v>
      </c>
      <c r="B337" s="3">
        <v>117</v>
      </c>
      <c r="C337" s="3">
        <v>138</v>
      </c>
      <c r="D337" s="2">
        <f t="shared" si="46"/>
        <v>10985</v>
      </c>
      <c r="E337" s="2">
        <f t="shared" si="47"/>
        <v>5492.5</v>
      </c>
      <c r="F337" s="2">
        <v>2380</v>
      </c>
      <c r="G337" s="2">
        <f t="shared" si="48"/>
        <v>991.66666666666674</v>
      </c>
      <c r="H337" s="4">
        <f>VLOOKUP(B337,nodes!A:D,2,0)</f>
        <v>330</v>
      </c>
      <c r="I337" s="4">
        <f>VLOOKUP(B337,nodes!A:D,4,0)</f>
        <v>150</v>
      </c>
      <c r="J337" s="4">
        <f>VLOOKUP(C337,nodes!A:D,2,0)</f>
        <v>330</v>
      </c>
      <c r="K337" s="4">
        <f>VLOOKUP(C337,nodes!A:D,4,0)</f>
        <v>120</v>
      </c>
      <c r="L337" s="4">
        <f t="shared" si="49"/>
        <v>30</v>
      </c>
      <c r="N337" s="12">
        <f t="shared" si="50"/>
        <v>7437500</v>
      </c>
      <c r="O337" s="12">
        <f t="shared" si="51"/>
        <v>42840000</v>
      </c>
      <c r="P337" s="12">
        <f t="shared" si="52"/>
        <v>11900</v>
      </c>
      <c r="R337" s="23" t="s">
        <v>39</v>
      </c>
      <c r="S337" s="23" t="str">
        <f t="shared" si="53"/>
        <v>336,</v>
      </c>
      <c r="T337" s="23" t="str">
        <f t="shared" si="53"/>
        <v>117,</v>
      </c>
      <c r="U337" s="24">
        <f t="shared" si="54"/>
        <v>138</v>
      </c>
    </row>
    <row r="338" spans="1:21" x14ac:dyDescent="0.25">
      <c r="A338" s="3">
        <v>337</v>
      </c>
      <c r="B338" s="3">
        <v>138</v>
      </c>
      <c r="C338" s="3">
        <v>159</v>
      </c>
      <c r="D338" s="2">
        <f t="shared" si="46"/>
        <v>10985</v>
      </c>
      <c r="E338" s="2">
        <f t="shared" si="47"/>
        <v>5492.5</v>
      </c>
      <c r="F338" s="2">
        <v>2380</v>
      </c>
      <c r="G338" s="2">
        <f t="shared" si="48"/>
        <v>991.66666666666674</v>
      </c>
      <c r="H338" s="4">
        <f>VLOOKUP(B338,nodes!A:D,2,0)</f>
        <v>330</v>
      </c>
      <c r="I338" s="4">
        <f>VLOOKUP(B338,nodes!A:D,4,0)</f>
        <v>120</v>
      </c>
      <c r="J338" s="4">
        <f>VLOOKUP(C338,nodes!A:D,2,0)</f>
        <v>330</v>
      </c>
      <c r="K338" s="4">
        <f>VLOOKUP(C338,nodes!A:D,4,0)</f>
        <v>90</v>
      </c>
      <c r="L338" s="4">
        <f t="shared" si="49"/>
        <v>30</v>
      </c>
      <c r="N338" s="12">
        <f t="shared" si="50"/>
        <v>7437500</v>
      </c>
      <c r="O338" s="12">
        <f t="shared" si="51"/>
        <v>42840000</v>
      </c>
      <c r="P338" s="12">
        <f t="shared" si="52"/>
        <v>11900</v>
      </c>
      <c r="R338" s="23" t="s">
        <v>39</v>
      </c>
      <c r="S338" s="23" t="str">
        <f t="shared" si="53"/>
        <v>337,</v>
      </c>
      <c r="T338" s="23" t="str">
        <f t="shared" si="53"/>
        <v>138,</v>
      </c>
      <c r="U338" s="24">
        <f t="shared" si="54"/>
        <v>159</v>
      </c>
    </row>
    <row r="339" spans="1:21" x14ac:dyDescent="0.25">
      <c r="A339" s="3">
        <v>338</v>
      </c>
      <c r="B339" s="3">
        <v>159</v>
      </c>
      <c r="C339" s="3">
        <v>180</v>
      </c>
      <c r="D339" s="2">
        <f t="shared" si="46"/>
        <v>10985</v>
      </c>
      <c r="E339" s="2">
        <f t="shared" si="47"/>
        <v>5492.5</v>
      </c>
      <c r="F339" s="2">
        <v>2380</v>
      </c>
      <c r="G339" s="2">
        <f t="shared" si="48"/>
        <v>991.66666666666674</v>
      </c>
      <c r="H339" s="4">
        <f>VLOOKUP(B339,nodes!A:D,2,0)</f>
        <v>330</v>
      </c>
      <c r="I339" s="4">
        <f>VLOOKUP(B339,nodes!A:D,4,0)</f>
        <v>90</v>
      </c>
      <c r="J339" s="4">
        <f>VLOOKUP(C339,nodes!A:D,2,0)</f>
        <v>330</v>
      </c>
      <c r="K339" s="4">
        <f>VLOOKUP(C339,nodes!A:D,4,0)</f>
        <v>60</v>
      </c>
      <c r="L339" s="4">
        <f t="shared" si="49"/>
        <v>30</v>
      </c>
      <c r="N339" s="12">
        <f t="shared" si="50"/>
        <v>7437500</v>
      </c>
      <c r="O339" s="12">
        <f t="shared" si="51"/>
        <v>42840000</v>
      </c>
      <c r="P339" s="12">
        <f t="shared" si="52"/>
        <v>11900</v>
      </c>
      <c r="R339" s="23" t="s">
        <v>39</v>
      </c>
      <c r="S339" s="23" t="str">
        <f t="shared" si="53"/>
        <v>338,</v>
      </c>
      <c r="T339" s="23" t="str">
        <f t="shared" si="53"/>
        <v>159,</v>
      </c>
      <c r="U339" s="24">
        <f t="shared" si="54"/>
        <v>180</v>
      </c>
    </row>
    <row r="340" spans="1:21" x14ac:dyDescent="0.25">
      <c r="A340" s="3">
        <v>339</v>
      </c>
      <c r="B340" s="3">
        <v>180</v>
      </c>
      <c r="C340" s="3">
        <v>201</v>
      </c>
      <c r="D340" s="2">
        <f t="shared" si="46"/>
        <v>10985</v>
      </c>
      <c r="E340" s="2">
        <f t="shared" si="47"/>
        <v>5492.5</v>
      </c>
      <c r="F340" s="2">
        <v>2380</v>
      </c>
      <c r="G340" s="2">
        <f t="shared" si="48"/>
        <v>991.66666666666674</v>
      </c>
      <c r="H340" s="4">
        <f>VLOOKUP(B340,nodes!A:D,2,0)</f>
        <v>330</v>
      </c>
      <c r="I340" s="4">
        <f>VLOOKUP(B340,nodes!A:D,4,0)</f>
        <v>60</v>
      </c>
      <c r="J340" s="4">
        <f>VLOOKUP(C340,nodes!A:D,2,0)</f>
        <v>330</v>
      </c>
      <c r="K340" s="4">
        <f>VLOOKUP(C340,nodes!A:D,4,0)</f>
        <v>30</v>
      </c>
      <c r="L340" s="4">
        <f t="shared" si="49"/>
        <v>30</v>
      </c>
      <c r="N340" s="12">
        <f t="shared" si="50"/>
        <v>7437500</v>
      </c>
      <c r="O340" s="12">
        <f t="shared" si="51"/>
        <v>42840000</v>
      </c>
      <c r="P340" s="12">
        <f t="shared" si="52"/>
        <v>11900</v>
      </c>
      <c r="R340" s="23" t="s">
        <v>39</v>
      </c>
      <c r="S340" s="23" t="str">
        <f t="shared" si="53"/>
        <v>339,</v>
      </c>
      <c r="T340" s="23" t="str">
        <f t="shared" si="53"/>
        <v>180,</v>
      </c>
      <c r="U340" s="24">
        <f t="shared" si="54"/>
        <v>201</v>
      </c>
    </row>
    <row r="341" spans="1:21" x14ac:dyDescent="0.25">
      <c r="A341" s="3">
        <v>340</v>
      </c>
      <c r="B341" s="3">
        <v>201</v>
      </c>
      <c r="C341" s="3">
        <v>222</v>
      </c>
      <c r="D341" s="2">
        <f t="shared" si="46"/>
        <v>10985</v>
      </c>
      <c r="E341" s="2">
        <f t="shared" si="47"/>
        <v>5492.5</v>
      </c>
      <c r="F341" s="2">
        <v>2380</v>
      </c>
      <c r="G341" s="2">
        <f t="shared" si="48"/>
        <v>991.66666666666674</v>
      </c>
      <c r="H341" s="4">
        <f>VLOOKUP(B341,nodes!A:D,2,0)</f>
        <v>330</v>
      </c>
      <c r="I341" s="4">
        <f>VLOOKUP(B341,nodes!A:D,4,0)</f>
        <v>30</v>
      </c>
      <c r="J341" s="4">
        <f>VLOOKUP(C341,nodes!A:D,2,0)</f>
        <v>330</v>
      </c>
      <c r="K341" s="4">
        <f>VLOOKUP(C341,nodes!A:D,4,0)</f>
        <v>0</v>
      </c>
      <c r="L341" s="4">
        <f t="shared" si="49"/>
        <v>30</v>
      </c>
      <c r="N341" s="12">
        <f t="shared" si="50"/>
        <v>7437500</v>
      </c>
      <c r="O341" s="12">
        <f t="shared" si="51"/>
        <v>42840000</v>
      </c>
      <c r="P341" s="12">
        <f t="shared" si="52"/>
        <v>11900</v>
      </c>
      <c r="R341" s="23" t="s">
        <v>39</v>
      </c>
      <c r="S341" s="23" t="str">
        <f t="shared" si="53"/>
        <v>340,</v>
      </c>
      <c r="T341" s="23" t="str">
        <f t="shared" si="53"/>
        <v>201,</v>
      </c>
      <c r="U341" s="24">
        <f t="shared" si="54"/>
        <v>222</v>
      </c>
    </row>
    <row r="342" spans="1:21" x14ac:dyDescent="0.25">
      <c r="A342" s="3">
        <v>341</v>
      </c>
      <c r="B342" s="3">
        <v>13</v>
      </c>
      <c r="C342" s="3">
        <v>34</v>
      </c>
      <c r="D342" s="2">
        <f t="shared" si="46"/>
        <v>10985</v>
      </c>
      <c r="E342" s="2">
        <f t="shared" si="47"/>
        <v>5492.5</v>
      </c>
      <c r="F342" s="2">
        <v>2380</v>
      </c>
      <c r="G342" s="2">
        <f t="shared" si="48"/>
        <v>991.66666666666674</v>
      </c>
      <c r="H342" s="4">
        <f>VLOOKUP(B342,nodes!A:D,2,0)</f>
        <v>360</v>
      </c>
      <c r="I342" s="4">
        <f>VLOOKUP(B342,nodes!A:D,4,0)</f>
        <v>300</v>
      </c>
      <c r="J342" s="4">
        <f>VLOOKUP(C342,nodes!A:D,2,0)</f>
        <v>360</v>
      </c>
      <c r="K342" s="4">
        <f>VLOOKUP(C342,nodes!A:D,4,0)</f>
        <v>270</v>
      </c>
      <c r="L342" s="4">
        <f t="shared" si="49"/>
        <v>30</v>
      </c>
      <c r="N342" s="12">
        <f t="shared" si="50"/>
        <v>7437500</v>
      </c>
      <c r="O342" s="12">
        <f t="shared" si="51"/>
        <v>42840000</v>
      </c>
      <c r="P342" s="12">
        <f t="shared" si="52"/>
        <v>11900</v>
      </c>
      <c r="R342" s="23" t="s">
        <v>39</v>
      </c>
      <c r="S342" s="23" t="str">
        <f t="shared" si="53"/>
        <v>341,</v>
      </c>
      <c r="T342" s="23" t="str">
        <f t="shared" si="53"/>
        <v>13,</v>
      </c>
      <c r="U342" s="24">
        <f t="shared" si="54"/>
        <v>34</v>
      </c>
    </row>
    <row r="343" spans="1:21" x14ac:dyDescent="0.25">
      <c r="A343" s="3">
        <v>342</v>
      </c>
      <c r="B343" s="3">
        <v>34</v>
      </c>
      <c r="C343" s="3">
        <v>55</v>
      </c>
      <c r="D343" s="2">
        <f t="shared" si="46"/>
        <v>10985</v>
      </c>
      <c r="E343" s="2">
        <f t="shared" si="47"/>
        <v>5492.5</v>
      </c>
      <c r="F343" s="2">
        <v>2380</v>
      </c>
      <c r="G343" s="2">
        <f t="shared" si="48"/>
        <v>991.66666666666674</v>
      </c>
      <c r="H343" s="4">
        <f>VLOOKUP(B343,nodes!A:D,2,0)</f>
        <v>360</v>
      </c>
      <c r="I343" s="4">
        <f>VLOOKUP(B343,nodes!A:D,4,0)</f>
        <v>270</v>
      </c>
      <c r="J343" s="4">
        <f>VLOOKUP(C343,nodes!A:D,2,0)</f>
        <v>360</v>
      </c>
      <c r="K343" s="4">
        <f>VLOOKUP(C343,nodes!A:D,4,0)</f>
        <v>240</v>
      </c>
      <c r="L343" s="4">
        <f t="shared" si="49"/>
        <v>30</v>
      </c>
      <c r="N343" s="12">
        <f t="shared" si="50"/>
        <v>7437500</v>
      </c>
      <c r="O343" s="12">
        <f t="shared" si="51"/>
        <v>42840000</v>
      </c>
      <c r="P343" s="12">
        <f t="shared" si="52"/>
        <v>11900</v>
      </c>
      <c r="R343" s="23" t="s">
        <v>39</v>
      </c>
      <c r="S343" s="23" t="str">
        <f t="shared" si="53"/>
        <v>342,</v>
      </c>
      <c r="T343" s="23" t="str">
        <f t="shared" si="53"/>
        <v>34,</v>
      </c>
      <c r="U343" s="24">
        <f t="shared" si="54"/>
        <v>55</v>
      </c>
    </row>
    <row r="344" spans="1:21" x14ac:dyDescent="0.25">
      <c r="A344" s="3">
        <v>343</v>
      </c>
      <c r="B344" s="3">
        <v>55</v>
      </c>
      <c r="C344" s="3">
        <v>76</v>
      </c>
      <c r="D344" s="2">
        <f t="shared" si="46"/>
        <v>10985</v>
      </c>
      <c r="E344" s="2">
        <f t="shared" si="47"/>
        <v>5492.5</v>
      </c>
      <c r="F344" s="2">
        <v>2380</v>
      </c>
      <c r="G344" s="2">
        <f t="shared" si="48"/>
        <v>991.66666666666674</v>
      </c>
      <c r="H344" s="4">
        <f>VLOOKUP(B344,nodes!A:D,2,0)</f>
        <v>360</v>
      </c>
      <c r="I344" s="4">
        <f>VLOOKUP(B344,nodes!A:D,4,0)</f>
        <v>240</v>
      </c>
      <c r="J344" s="4">
        <f>VLOOKUP(C344,nodes!A:D,2,0)</f>
        <v>360</v>
      </c>
      <c r="K344" s="4">
        <f>VLOOKUP(C344,nodes!A:D,4,0)</f>
        <v>210</v>
      </c>
      <c r="L344" s="4">
        <f t="shared" si="49"/>
        <v>30</v>
      </c>
      <c r="N344" s="12">
        <f t="shared" si="50"/>
        <v>7437500</v>
      </c>
      <c r="O344" s="12">
        <f t="shared" si="51"/>
        <v>42840000</v>
      </c>
      <c r="P344" s="12">
        <f t="shared" si="52"/>
        <v>11900</v>
      </c>
      <c r="R344" s="23" t="s">
        <v>39</v>
      </c>
      <c r="S344" s="23" t="str">
        <f t="shared" si="53"/>
        <v>343,</v>
      </c>
      <c r="T344" s="23" t="str">
        <f t="shared" si="53"/>
        <v>55,</v>
      </c>
      <c r="U344" s="24">
        <f t="shared" si="54"/>
        <v>76</v>
      </c>
    </row>
    <row r="345" spans="1:21" x14ac:dyDescent="0.25">
      <c r="A345" s="3">
        <v>344</v>
      </c>
      <c r="B345" s="3">
        <v>76</v>
      </c>
      <c r="C345" s="3">
        <v>97</v>
      </c>
      <c r="D345" s="2">
        <f t="shared" si="46"/>
        <v>10985</v>
      </c>
      <c r="E345" s="2">
        <f t="shared" si="47"/>
        <v>5492.5</v>
      </c>
      <c r="F345" s="2">
        <v>2380</v>
      </c>
      <c r="G345" s="2">
        <f t="shared" si="48"/>
        <v>991.66666666666674</v>
      </c>
      <c r="H345" s="4">
        <f>VLOOKUP(B345,nodes!A:D,2,0)</f>
        <v>360</v>
      </c>
      <c r="I345" s="4">
        <f>VLOOKUP(B345,nodes!A:D,4,0)</f>
        <v>210</v>
      </c>
      <c r="J345" s="4">
        <f>VLOOKUP(C345,nodes!A:D,2,0)</f>
        <v>360</v>
      </c>
      <c r="K345" s="4">
        <f>VLOOKUP(C345,nodes!A:D,4,0)</f>
        <v>180</v>
      </c>
      <c r="L345" s="4">
        <f t="shared" si="49"/>
        <v>30</v>
      </c>
      <c r="N345" s="12">
        <f t="shared" si="50"/>
        <v>7437500</v>
      </c>
      <c r="O345" s="12">
        <f t="shared" si="51"/>
        <v>42840000</v>
      </c>
      <c r="P345" s="12">
        <f t="shared" si="52"/>
        <v>11900</v>
      </c>
      <c r="R345" s="23" t="s">
        <v>39</v>
      </c>
      <c r="S345" s="23" t="str">
        <f t="shared" si="53"/>
        <v>344,</v>
      </c>
      <c r="T345" s="23" t="str">
        <f t="shared" si="53"/>
        <v>76,</v>
      </c>
      <c r="U345" s="24">
        <f t="shared" si="54"/>
        <v>97</v>
      </c>
    </row>
    <row r="346" spans="1:21" x14ac:dyDescent="0.25">
      <c r="A346" s="3">
        <v>345</v>
      </c>
      <c r="B346" s="3">
        <v>97</v>
      </c>
      <c r="C346" s="3">
        <v>118</v>
      </c>
      <c r="D346" s="2">
        <f t="shared" si="46"/>
        <v>10985</v>
      </c>
      <c r="E346" s="2">
        <f t="shared" si="47"/>
        <v>5492.5</v>
      </c>
      <c r="F346" s="2">
        <v>2380</v>
      </c>
      <c r="G346" s="2">
        <f t="shared" si="48"/>
        <v>991.66666666666674</v>
      </c>
      <c r="H346" s="4">
        <f>VLOOKUP(B346,nodes!A:D,2,0)</f>
        <v>360</v>
      </c>
      <c r="I346" s="4">
        <f>VLOOKUP(B346,nodes!A:D,4,0)</f>
        <v>180</v>
      </c>
      <c r="J346" s="4">
        <f>VLOOKUP(C346,nodes!A:D,2,0)</f>
        <v>360</v>
      </c>
      <c r="K346" s="4">
        <f>VLOOKUP(C346,nodes!A:D,4,0)</f>
        <v>150</v>
      </c>
      <c r="L346" s="4">
        <f t="shared" si="49"/>
        <v>30</v>
      </c>
      <c r="N346" s="12">
        <f t="shared" si="50"/>
        <v>7437500</v>
      </c>
      <c r="O346" s="12">
        <f t="shared" si="51"/>
        <v>42840000</v>
      </c>
      <c r="P346" s="12">
        <f t="shared" si="52"/>
        <v>11900</v>
      </c>
      <c r="R346" s="23" t="s">
        <v>39</v>
      </c>
      <c r="S346" s="23" t="str">
        <f t="shared" si="53"/>
        <v>345,</v>
      </c>
      <c r="T346" s="23" t="str">
        <f t="shared" si="53"/>
        <v>97,</v>
      </c>
      <c r="U346" s="24">
        <f t="shared" si="54"/>
        <v>118</v>
      </c>
    </row>
    <row r="347" spans="1:21" x14ac:dyDescent="0.25">
      <c r="A347" s="3">
        <v>346</v>
      </c>
      <c r="B347" s="3">
        <v>118</v>
      </c>
      <c r="C347" s="3">
        <v>139</v>
      </c>
      <c r="D347" s="2">
        <f t="shared" si="46"/>
        <v>10985</v>
      </c>
      <c r="E347" s="2">
        <f t="shared" si="47"/>
        <v>5492.5</v>
      </c>
      <c r="F347" s="2">
        <v>2380</v>
      </c>
      <c r="G347" s="2">
        <f t="shared" si="48"/>
        <v>991.66666666666674</v>
      </c>
      <c r="H347" s="4">
        <f>VLOOKUP(B347,nodes!A:D,2,0)</f>
        <v>360</v>
      </c>
      <c r="I347" s="4">
        <f>VLOOKUP(B347,nodes!A:D,4,0)</f>
        <v>150</v>
      </c>
      <c r="J347" s="4">
        <f>VLOOKUP(C347,nodes!A:D,2,0)</f>
        <v>360</v>
      </c>
      <c r="K347" s="4">
        <f>VLOOKUP(C347,nodes!A:D,4,0)</f>
        <v>120</v>
      </c>
      <c r="L347" s="4">
        <f t="shared" si="49"/>
        <v>30</v>
      </c>
      <c r="N347" s="12">
        <f t="shared" si="50"/>
        <v>7437500</v>
      </c>
      <c r="O347" s="12">
        <f t="shared" si="51"/>
        <v>42840000</v>
      </c>
      <c r="P347" s="12">
        <f t="shared" si="52"/>
        <v>11900</v>
      </c>
      <c r="R347" s="23" t="s">
        <v>39</v>
      </c>
      <c r="S347" s="23" t="str">
        <f t="shared" si="53"/>
        <v>346,</v>
      </c>
      <c r="T347" s="23" t="str">
        <f t="shared" si="53"/>
        <v>118,</v>
      </c>
      <c r="U347" s="24">
        <f t="shared" si="54"/>
        <v>139</v>
      </c>
    </row>
    <row r="348" spans="1:21" x14ac:dyDescent="0.25">
      <c r="A348" s="3">
        <v>347</v>
      </c>
      <c r="B348" s="3">
        <v>139</v>
      </c>
      <c r="C348" s="3">
        <v>160</v>
      </c>
      <c r="D348" s="2">
        <f t="shared" si="46"/>
        <v>10985</v>
      </c>
      <c r="E348" s="2">
        <f t="shared" si="47"/>
        <v>5492.5</v>
      </c>
      <c r="F348" s="2">
        <v>2380</v>
      </c>
      <c r="G348" s="2">
        <f t="shared" si="48"/>
        <v>991.66666666666674</v>
      </c>
      <c r="H348" s="4">
        <f>VLOOKUP(B348,nodes!A:D,2,0)</f>
        <v>360</v>
      </c>
      <c r="I348" s="4">
        <f>VLOOKUP(B348,nodes!A:D,4,0)</f>
        <v>120</v>
      </c>
      <c r="J348" s="4">
        <f>VLOOKUP(C348,nodes!A:D,2,0)</f>
        <v>360</v>
      </c>
      <c r="K348" s="4">
        <f>VLOOKUP(C348,nodes!A:D,4,0)</f>
        <v>90</v>
      </c>
      <c r="L348" s="4">
        <f t="shared" si="49"/>
        <v>30</v>
      </c>
      <c r="N348" s="12">
        <f t="shared" si="50"/>
        <v>7437500</v>
      </c>
      <c r="O348" s="12">
        <f t="shared" si="51"/>
        <v>42840000</v>
      </c>
      <c r="P348" s="12">
        <f t="shared" si="52"/>
        <v>11900</v>
      </c>
      <c r="R348" s="23" t="s">
        <v>39</v>
      </c>
      <c r="S348" s="23" t="str">
        <f t="shared" si="53"/>
        <v>347,</v>
      </c>
      <c r="T348" s="23" t="str">
        <f t="shared" si="53"/>
        <v>139,</v>
      </c>
      <c r="U348" s="24">
        <f t="shared" si="54"/>
        <v>160</v>
      </c>
    </row>
    <row r="349" spans="1:21" x14ac:dyDescent="0.25">
      <c r="A349" s="3">
        <v>348</v>
      </c>
      <c r="B349" s="3">
        <v>160</v>
      </c>
      <c r="C349" s="3">
        <v>181</v>
      </c>
      <c r="D349" s="2">
        <f t="shared" si="46"/>
        <v>10985</v>
      </c>
      <c r="E349" s="2">
        <f t="shared" si="47"/>
        <v>5492.5</v>
      </c>
      <c r="F349" s="2">
        <v>2380</v>
      </c>
      <c r="G349" s="2">
        <f t="shared" si="48"/>
        <v>991.66666666666674</v>
      </c>
      <c r="H349" s="4">
        <f>VLOOKUP(B349,nodes!A:D,2,0)</f>
        <v>360</v>
      </c>
      <c r="I349" s="4">
        <f>VLOOKUP(B349,nodes!A:D,4,0)</f>
        <v>90</v>
      </c>
      <c r="J349" s="4">
        <f>VLOOKUP(C349,nodes!A:D,2,0)</f>
        <v>360</v>
      </c>
      <c r="K349" s="4">
        <f>VLOOKUP(C349,nodes!A:D,4,0)</f>
        <v>60</v>
      </c>
      <c r="L349" s="4">
        <f t="shared" si="49"/>
        <v>30</v>
      </c>
      <c r="N349" s="12">
        <f t="shared" si="50"/>
        <v>7437500</v>
      </c>
      <c r="O349" s="12">
        <f t="shared" si="51"/>
        <v>42840000</v>
      </c>
      <c r="P349" s="12">
        <f t="shared" si="52"/>
        <v>11900</v>
      </c>
      <c r="R349" s="23" t="s">
        <v>39</v>
      </c>
      <c r="S349" s="23" t="str">
        <f t="shared" si="53"/>
        <v>348,</v>
      </c>
      <c r="T349" s="23" t="str">
        <f t="shared" si="53"/>
        <v>160,</v>
      </c>
      <c r="U349" s="24">
        <f t="shared" si="54"/>
        <v>181</v>
      </c>
    </row>
    <row r="350" spans="1:21" x14ac:dyDescent="0.25">
      <c r="A350" s="3">
        <v>349</v>
      </c>
      <c r="B350" s="3">
        <v>181</v>
      </c>
      <c r="C350" s="3">
        <v>202</v>
      </c>
      <c r="D350" s="2">
        <f t="shared" si="46"/>
        <v>10985</v>
      </c>
      <c r="E350" s="2">
        <f t="shared" si="47"/>
        <v>5492.5</v>
      </c>
      <c r="F350" s="2">
        <v>2380</v>
      </c>
      <c r="G350" s="2">
        <f t="shared" si="48"/>
        <v>991.66666666666674</v>
      </c>
      <c r="H350" s="4">
        <f>VLOOKUP(B350,nodes!A:D,2,0)</f>
        <v>360</v>
      </c>
      <c r="I350" s="4">
        <f>VLOOKUP(B350,nodes!A:D,4,0)</f>
        <v>60</v>
      </c>
      <c r="J350" s="4">
        <f>VLOOKUP(C350,nodes!A:D,2,0)</f>
        <v>360</v>
      </c>
      <c r="K350" s="4">
        <f>VLOOKUP(C350,nodes!A:D,4,0)</f>
        <v>30</v>
      </c>
      <c r="L350" s="4">
        <f t="shared" si="49"/>
        <v>30</v>
      </c>
      <c r="N350" s="12">
        <f t="shared" si="50"/>
        <v>7437500</v>
      </c>
      <c r="O350" s="12">
        <f t="shared" si="51"/>
        <v>42840000</v>
      </c>
      <c r="P350" s="12">
        <f t="shared" si="52"/>
        <v>11900</v>
      </c>
      <c r="R350" s="23" t="s">
        <v>39</v>
      </c>
      <c r="S350" s="23" t="str">
        <f t="shared" si="53"/>
        <v>349,</v>
      </c>
      <c r="T350" s="23" t="str">
        <f t="shared" si="53"/>
        <v>181,</v>
      </c>
      <c r="U350" s="24">
        <f t="shared" si="54"/>
        <v>202</v>
      </c>
    </row>
    <row r="351" spans="1:21" x14ac:dyDescent="0.25">
      <c r="A351" s="3">
        <v>350</v>
      </c>
      <c r="B351" s="3">
        <v>202</v>
      </c>
      <c r="C351" s="3">
        <v>223</v>
      </c>
      <c r="D351" s="2">
        <f t="shared" si="46"/>
        <v>10985</v>
      </c>
      <c r="E351" s="2">
        <f t="shared" si="47"/>
        <v>5492.5</v>
      </c>
      <c r="F351" s="2">
        <v>2380</v>
      </c>
      <c r="G351" s="2">
        <f t="shared" si="48"/>
        <v>991.66666666666674</v>
      </c>
      <c r="H351" s="4">
        <f>VLOOKUP(B351,nodes!A:D,2,0)</f>
        <v>360</v>
      </c>
      <c r="I351" s="4">
        <f>VLOOKUP(B351,nodes!A:D,4,0)</f>
        <v>30</v>
      </c>
      <c r="J351" s="4">
        <f>VLOOKUP(C351,nodes!A:D,2,0)</f>
        <v>360</v>
      </c>
      <c r="K351" s="4">
        <f>VLOOKUP(C351,nodes!A:D,4,0)</f>
        <v>0</v>
      </c>
      <c r="L351" s="4">
        <f t="shared" si="49"/>
        <v>30</v>
      </c>
      <c r="N351" s="12">
        <f t="shared" si="50"/>
        <v>7437500</v>
      </c>
      <c r="O351" s="12">
        <f t="shared" si="51"/>
        <v>42840000</v>
      </c>
      <c r="P351" s="12">
        <f t="shared" si="52"/>
        <v>11900</v>
      </c>
      <c r="R351" s="23" t="s">
        <v>39</v>
      </c>
      <c r="S351" s="23" t="str">
        <f t="shared" si="53"/>
        <v>350,</v>
      </c>
      <c r="T351" s="23" t="str">
        <f t="shared" si="53"/>
        <v>202,</v>
      </c>
      <c r="U351" s="24">
        <f t="shared" si="54"/>
        <v>223</v>
      </c>
    </row>
    <row r="352" spans="1:21" x14ac:dyDescent="0.25">
      <c r="A352" s="3">
        <v>351</v>
      </c>
      <c r="B352" s="3">
        <v>14</v>
      </c>
      <c r="C352" s="3">
        <v>35</v>
      </c>
      <c r="D352" s="2">
        <f t="shared" si="46"/>
        <v>10985</v>
      </c>
      <c r="E352" s="2">
        <f t="shared" si="47"/>
        <v>5492.5</v>
      </c>
      <c r="F352" s="2">
        <v>2380</v>
      </c>
      <c r="G352" s="2">
        <f t="shared" si="48"/>
        <v>991.66666666666674</v>
      </c>
      <c r="H352" s="4">
        <f>VLOOKUP(B352,nodes!A:D,2,0)</f>
        <v>390</v>
      </c>
      <c r="I352" s="4">
        <f>VLOOKUP(B352,nodes!A:D,4,0)</f>
        <v>300</v>
      </c>
      <c r="J352" s="4">
        <f>VLOOKUP(C352,nodes!A:D,2,0)</f>
        <v>390</v>
      </c>
      <c r="K352" s="4">
        <f>VLOOKUP(C352,nodes!A:D,4,0)</f>
        <v>270</v>
      </c>
      <c r="L352" s="4">
        <f t="shared" si="49"/>
        <v>30</v>
      </c>
      <c r="N352" s="12">
        <f t="shared" si="50"/>
        <v>7437500</v>
      </c>
      <c r="O352" s="12">
        <f t="shared" si="51"/>
        <v>42840000</v>
      </c>
      <c r="P352" s="12">
        <f t="shared" si="52"/>
        <v>11900</v>
      </c>
      <c r="R352" s="23" t="s">
        <v>39</v>
      </c>
      <c r="S352" s="23" t="str">
        <f t="shared" si="53"/>
        <v>351,</v>
      </c>
      <c r="T352" s="23" t="str">
        <f t="shared" si="53"/>
        <v>14,</v>
      </c>
      <c r="U352" s="24">
        <f t="shared" si="54"/>
        <v>35</v>
      </c>
    </row>
    <row r="353" spans="1:21" x14ac:dyDescent="0.25">
      <c r="A353" s="3">
        <v>352</v>
      </c>
      <c r="B353" s="3">
        <v>35</v>
      </c>
      <c r="C353" s="3">
        <v>56</v>
      </c>
      <c r="D353" s="2">
        <f t="shared" si="46"/>
        <v>10985</v>
      </c>
      <c r="E353" s="2">
        <f t="shared" si="47"/>
        <v>5492.5</v>
      </c>
      <c r="F353" s="2">
        <v>2380</v>
      </c>
      <c r="G353" s="2">
        <f t="shared" si="48"/>
        <v>991.66666666666674</v>
      </c>
      <c r="H353" s="4">
        <f>VLOOKUP(B353,nodes!A:D,2,0)</f>
        <v>390</v>
      </c>
      <c r="I353" s="4">
        <f>VLOOKUP(B353,nodes!A:D,4,0)</f>
        <v>270</v>
      </c>
      <c r="J353" s="4">
        <f>VLOOKUP(C353,nodes!A:D,2,0)</f>
        <v>390</v>
      </c>
      <c r="K353" s="4">
        <f>VLOOKUP(C353,nodes!A:D,4,0)</f>
        <v>240</v>
      </c>
      <c r="L353" s="4">
        <f t="shared" si="49"/>
        <v>30</v>
      </c>
      <c r="N353" s="12">
        <f t="shared" si="50"/>
        <v>7437500</v>
      </c>
      <c r="O353" s="12">
        <f t="shared" si="51"/>
        <v>42840000</v>
      </c>
      <c r="P353" s="12">
        <f t="shared" si="52"/>
        <v>11900</v>
      </c>
      <c r="R353" s="23" t="s">
        <v>39</v>
      </c>
      <c r="S353" s="23" t="str">
        <f t="shared" si="53"/>
        <v>352,</v>
      </c>
      <c r="T353" s="23" t="str">
        <f t="shared" si="53"/>
        <v>35,</v>
      </c>
      <c r="U353" s="24">
        <f t="shared" si="54"/>
        <v>56</v>
      </c>
    </row>
    <row r="354" spans="1:21" x14ac:dyDescent="0.25">
      <c r="A354" s="3">
        <v>353</v>
      </c>
      <c r="B354" s="3">
        <v>56</v>
      </c>
      <c r="C354" s="3">
        <v>77</v>
      </c>
      <c r="D354" s="2">
        <f t="shared" si="46"/>
        <v>10985</v>
      </c>
      <c r="E354" s="2">
        <f t="shared" si="47"/>
        <v>5492.5</v>
      </c>
      <c r="F354" s="2">
        <v>2380</v>
      </c>
      <c r="G354" s="2">
        <f t="shared" si="48"/>
        <v>991.66666666666674</v>
      </c>
      <c r="H354" s="4">
        <f>VLOOKUP(B354,nodes!A:D,2,0)</f>
        <v>390</v>
      </c>
      <c r="I354" s="4">
        <f>VLOOKUP(B354,nodes!A:D,4,0)</f>
        <v>240</v>
      </c>
      <c r="J354" s="4">
        <f>VLOOKUP(C354,nodes!A:D,2,0)</f>
        <v>390</v>
      </c>
      <c r="K354" s="4">
        <f>VLOOKUP(C354,nodes!A:D,4,0)</f>
        <v>210</v>
      </c>
      <c r="L354" s="4">
        <f t="shared" si="49"/>
        <v>30</v>
      </c>
      <c r="N354" s="12">
        <f t="shared" si="50"/>
        <v>7437500</v>
      </c>
      <c r="O354" s="12">
        <f t="shared" si="51"/>
        <v>42840000</v>
      </c>
      <c r="P354" s="12">
        <f t="shared" si="52"/>
        <v>11900</v>
      </c>
      <c r="R354" s="23" t="s">
        <v>39</v>
      </c>
      <c r="S354" s="23" t="str">
        <f t="shared" si="53"/>
        <v>353,</v>
      </c>
      <c r="T354" s="23" t="str">
        <f t="shared" si="53"/>
        <v>56,</v>
      </c>
      <c r="U354" s="24">
        <f t="shared" si="54"/>
        <v>77</v>
      </c>
    </row>
    <row r="355" spans="1:21" x14ac:dyDescent="0.25">
      <c r="A355" s="3">
        <v>354</v>
      </c>
      <c r="B355" s="3">
        <v>77</v>
      </c>
      <c r="C355" s="3">
        <v>98</v>
      </c>
      <c r="D355" s="2">
        <f t="shared" si="46"/>
        <v>10985</v>
      </c>
      <c r="E355" s="2">
        <f t="shared" si="47"/>
        <v>5492.5</v>
      </c>
      <c r="F355" s="2">
        <v>2380</v>
      </c>
      <c r="G355" s="2">
        <f t="shared" si="48"/>
        <v>991.66666666666674</v>
      </c>
      <c r="H355" s="4">
        <f>VLOOKUP(B355,nodes!A:D,2,0)</f>
        <v>390</v>
      </c>
      <c r="I355" s="4">
        <f>VLOOKUP(B355,nodes!A:D,4,0)</f>
        <v>210</v>
      </c>
      <c r="J355" s="4">
        <f>VLOOKUP(C355,nodes!A:D,2,0)</f>
        <v>390</v>
      </c>
      <c r="K355" s="4">
        <f>VLOOKUP(C355,nodes!A:D,4,0)</f>
        <v>180</v>
      </c>
      <c r="L355" s="4">
        <f t="shared" si="49"/>
        <v>30</v>
      </c>
      <c r="N355" s="12">
        <f t="shared" si="50"/>
        <v>7437500</v>
      </c>
      <c r="O355" s="12">
        <f t="shared" si="51"/>
        <v>42840000</v>
      </c>
      <c r="P355" s="12">
        <f t="shared" si="52"/>
        <v>11900</v>
      </c>
      <c r="R355" s="23" t="s">
        <v>39</v>
      </c>
      <c r="S355" s="23" t="str">
        <f t="shared" si="53"/>
        <v>354,</v>
      </c>
      <c r="T355" s="23" t="str">
        <f t="shared" si="53"/>
        <v>77,</v>
      </c>
      <c r="U355" s="24">
        <f t="shared" si="54"/>
        <v>98</v>
      </c>
    </row>
    <row r="356" spans="1:21" x14ac:dyDescent="0.25">
      <c r="A356" s="3">
        <v>355</v>
      </c>
      <c r="B356" s="3">
        <v>98</v>
      </c>
      <c r="C356" s="3">
        <v>119</v>
      </c>
      <c r="D356" s="2">
        <f t="shared" si="46"/>
        <v>10985</v>
      </c>
      <c r="E356" s="2">
        <f t="shared" si="47"/>
        <v>5492.5</v>
      </c>
      <c r="F356" s="2">
        <v>2380</v>
      </c>
      <c r="G356" s="2">
        <f t="shared" si="48"/>
        <v>991.66666666666674</v>
      </c>
      <c r="H356" s="4">
        <f>VLOOKUP(B356,nodes!A:D,2,0)</f>
        <v>390</v>
      </c>
      <c r="I356" s="4">
        <f>VLOOKUP(B356,nodes!A:D,4,0)</f>
        <v>180</v>
      </c>
      <c r="J356" s="4">
        <f>VLOOKUP(C356,nodes!A:D,2,0)</f>
        <v>390</v>
      </c>
      <c r="K356" s="4">
        <f>VLOOKUP(C356,nodes!A:D,4,0)</f>
        <v>150</v>
      </c>
      <c r="L356" s="4">
        <f t="shared" si="49"/>
        <v>30</v>
      </c>
      <c r="N356" s="12">
        <f t="shared" si="50"/>
        <v>7437500</v>
      </c>
      <c r="O356" s="12">
        <f t="shared" si="51"/>
        <v>42840000</v>
      </c>
      <c r="P356" s="12">
        <f t="shared" si="52"/>
        <v>11900</v>
      </c>
      <c r="R356" s="23" t="s">
        <v>39</v>
      </c>
      <c r="S356" s="23" t="str">
        <f t="shared" si="53"/>
        <v>355,</v>
      </c>
      <c r="T356" s="23" t="str">
        <f t="shared" si="53"/>
        <v>98,</v>
      </c>
      <c r="U356" s="24">
        <f t="shared" si="54"/>
        <v>119</v>
      </c>
    </row>
    <row r="357" spans="1:21" x14ac:dyDescent="0.25">
      <c r="A357" s="3">
        <v>356</v>
      </c>
      <c r="B357" s="3">
        <v>119</v>
      </c>
      <c r="C357" s="3">
        <v>140</v>
      </c>
      <c r="D357" s="2">
        <f t="shared" si="46"/>
        <v>10985</v>
      </c>
      <c r="E357" s="2">
        <f t="shared" si="47"/>
        <v>5492.5</v>
      </c>
      <c r="F357" s="2">
        <v>2380</v>
      </c>
      <c r="G357" s="2">
        <f t="shared" si="48"/>
        <v>991.66666666666674</v>
      </c>
      <c r="H357" s="4">
        <f>VLOOKUP(B357,nodes!A:D,2,0)</f>
        <v>390</v>
      </c>
      <c r="I357" s="4">
        <f>VLOOKUP(B357,nodes!A:D,4,0)</f>
        <v>150</v>
      </c>
      <c r="J357" s="4">
        <f>VLOOKUP(C357,nodes!A:D,2,0)</f>
        <v>390</v>
      </c>
      <c r="K357" s="4">
        <f>VLOOKUP(C357,nodes!A:D,4,0)</f>
        <v>120</v>
      </c>
      <c r="L357" s="4">
        <f t="shared" si="49"/>
        <v>30</v>
      </c>
      <c r="N357" s="12">
        <f t="shared" si="50"/>
        <v>7437500</v>
      </c>
      <c r="O357" s="12">
        <f t="shared" si="51"/>
        <v>42840000</v>
      </c>
      <c r="P357" s="12">
        <f t="shared" si="52"/>
        <v>11900</v>
      </c>
      <c r="R357" s="23" t="s">
        <v>39</v>
      </c>
      <c r="S357" s="23" t="str">
        <f t="shared" si="53"/>
        <v>356,</v>
      </c>
      <c r="T357" s="23" t="str">
        <f t="shared" si="53"/>
        <v>119,</v>
      </c>
      <c r="U357" s="24">
        <f t="shared" si="54"/>
        <v>140</v>
      </c>
    </row>
    <row r="358" spans="1:21" x14ac:dyDescent="0.25">
      <c r="A358" s="3">
        <v>357</v>
      </c>
      <c r="B358" s="3">
        <v>140</v>
      </c>
      <c r="C358" s="3">
        <v>161</v>
      </c>
      <c r="D358" s="2">
        <f t="shared" si="46"/>
        <v>10985</v>
      </c>
      <c r="E358" s="2">
        <f t="shared" si="47"/>
        <v>5492.5</v>
      </c>
      <c r="F358" s="2">
        <v>2380</v>
      </c>
      <c r="G358" s="2">
        <f t="shared" si="48"/>
        <v>991.66666666666674</v>
      </c>
      <c r="H358" s="4">
        <f>VLOOKUP(B358,nodes!A:D,2,0)</f>
        <v>390</v>
      </c>
      <c r="I358" s="4">
        <f>VLOOKUP(B358,nodes!A:D,4,0)</f>
        <v>120</v>
      </c>
      <c r="J358" s="4">
        <f>VLOOKUP(C358,nodes!A:D,2,0)</f>
        <v>390</v>
      </c>
      <c r="K358" s="4">
        <f>VLOOKUP(C358,nodes!A:D,4,0)</f>
        <v>90</v>
      </c>
      <c r="L358" s="4">
        <f t="shared" si="49"/>
        <v>30</v>
      </c>
      <c r="N358" s="12">
        <f t="shared" si="50"/>
        <v>7437500</v>
      </c>
      <c r="O358" s="12">
        <f t="shared" si="51"/>
        <v>42840000</v>
      </c>
      <c r="P358" s="12">
        <f t="shared" si="52"/>
        <v>11900</v>
      </c>
      <c r="R358" s="23" t="s">
        <v>39</v>
      </c>
      <c r="S358" s="23" t="str">
        <f t="shared" si="53"/>
        <v>357,</v>
      </c>
      <c r="T358" s="23" t="str">
        <f t="shared" si="53"/>
        <v>140,</v>
      </c>
      <c r="U358" s="24">
        <f t="shared" si="54"/>
        <v>161</v>
      </c>
    </row>
    <row r="359" spans="1:21" x14ac:dyDescent="0.25">
      <c r="A359" s="3">
        <v>358</v>
      </c>
      <c r="B359" s="3">
        <v>161</v>
      </c>
      <c r="C359" s="3">
        <v>182</v>
      </c>
      <c r="D359" s="2">
        <f t="shared" si="46"/>
        <v>10985</v>
      </c>
      <c r="E359" s="2">
        <f t="shared" si="47"/>
        <v>5492.5</v>
      </c>
      <c r="F359" s="2">
        <v>2380</v>
      </c>
      <c r="G359" s="2">
        <f t="shared" si="48"/>
        <v>991.66666666666674</v>
      </c>
      <c r="H359" s="4">
        <f>VLOOKUP(B359,nodes!A:D,2,0)</f>
        <v>390</v>
      </c>
      <c r="I359" s="4">
        <f>VLOOKUP(B359,nodes!A:D,4,0)</f>
        <v>90</v>
      </c>
      <c r="J359" s="4">
        <f>VLOOKUP(C359,nodes!A:D,2,0)</f>
        <v>390</v>
      </c>
      <c r="K359" s="4">
        <f>VLOOKUP(C359,nodes!A:D,4,0)</f>
        <v>60</v>
      </c>
      <c r="L359" s="4">
        <f t="shared" si="49"/>
        <v>30</v>
      </c>
      <c r="N359" s="12">
        <f t="shared" si="50"/>
        <v>7437500</v>
      </c>
      <c r="O359" s="12">
        <f t="shared" si="51"/>
        <v>42840000</v>
      </c>
      <c r="P359" s="12">
        <f t="shared" si="52"/>
        <v>11900</v>
      </c>
      <c r="R359" s="23" t="s">
        <v>39</v>
      </c>
      <c r="S359" s="23" t="str">
        <f t="shared" si="53"/>
        <v>358,</v>
      </c>
      <c r="T359" s="23" t="str">
        <f t="shared" si="53"/>
        <v>161,</v>
      </c>
      <c r="U359" s="24">
        <f t="shared" si="54"/>
        <v>182</v>
      </c>
    </row>
    <row r="360" spans="1:21" x14ac:dyDescent="0.25">
      <c r="A360" s="3">
        <v>359</v>
      </c>
      <c r="B360" s="3">
        <v>182</v>
      </c>
      <c r="C360" s="3">
        <v>203</v>
      </c>
      <c r="D360" s="2">
        <f t="shared" si="46"/>
        <v>10985</v>
      </c>
      <c r="E360" s="2">
        <f t="shared" si="47"/>
        <v>5492.5</v>
      </c>
      <c r="F360" s="2">
        <v>2380</v>
      </c>
      <c r="G360" s="2">
        <f t="shared" si="48"/>
        <v>991.66666666666674</v>
      </c>
      <c r="H360" s="4">
        <f>VLOOKUP(B360,nodes!A:D,2,0)</f>
        <v>390</v>
      </c>
      <c r="I360" s="4">
        <f>VLOOKUP(B360,nodes!A:D,4,0)</f>
        <v>60</v>
      </c>
      <c r="J360" s="4">
        <f>VLOOKUP(C360,nodes!A:D,2,0)</f>
        <v>390</v>
      </c>
      <c r="K360" s="4">
        <f>VLOOKUP(C360,nodes!A:D,4,0)</f>
        <v>30</v>
      </c>
      <c r="L360" s="4">
        <f t="shared" si="49"/>
        <v>30</v>
      </c>
      <c r="N360" s="12">
        <f t="shared" si="50"/>
        <v>7437500</v>
      </c>
      <c r="O360" s="12">
        <f t="shared" si="51"/>
        <v>42840000</v>
      </c>
      <c r="P360" s="12">
        <f t="shared" si="52"/>
        <v>11900</v>
      </c>
      <c r="R360" s="23" t="s">
        <v>39</v>
      </c>
      <c r="S360" s="23" t="str">
        <f t="shared" si="53"/>
        <v>359,</v>
      </c>
      <c r="T360" s="23" t="str">
        <f t="shared" si="53"/>
        <v>182,</v>
      </c>
      <c r="U360" s="24">
        <f t="shared" si="54"/>
        <v>203</v>
      </c>
    </row>
    <row r="361" spans="1:21" x14ac:dyDescent="0.25">
      <c r="A361" s="3">
        <v>360</v>
      </c>
      <c r="B361" s="3">
        <v>203</v>
      </c>
      <c r="C361" s="3">
        <v>224</v>
      </c>
      <c r="D361" s="2">
        <f t="shared" si="46"/>
        <v>10985</v>
      </c>
      <c r="E361" s="2">
        <f t="shared" si="47"/>
        <v>5492.5</v>
      </c>
      <c r="F361" s="2">
        <v>2380</v>
      </c>
      <c r="G361" s="2">
        <f t="shared" si="48"/>
        <v>991.66666666666674</v>
      </c>
      <c r="H361" s="4">
        <f>VLOOKUP(B361,nodes!A:D,2,0)</f>
        <v>390</v>
      </c>
      <c r="I361" s="4">
        <f>VLOOKUP(B361,nodes!A:D,4,0)</f>
        <v>30</v>
      </c>
      <c r="J361" s="4">
        <f>VLOOKUP(C361,nodes!A:D,2,0)</f>
        <v>390</v>
      </c>
      <c r="K361" s="4">
        <f>VLOOKUP(C361,nodes!A:D,4,0)</f>
        <v>0</v>
      </c>
      <c r="L361" s="4">
        <f t="shared" si="49"/>
        <v>30</v>
      </c>
      <c r="N361" s="12">
        <f t="shared" si="50"/>
        <v>7437500</v>
      </c>
      <c r="O361" s="12">
        <f t="shared" si="51"/>
        <v>42840000</v>
      </c>
      <c r="P361" s="12">
        <f t="shared" si="52"/>
        <v>11900</v>
      </c>
      <c r="R361" s="23" t="s">
        <v>39</v>
      </c>
      <c r="S361" s="23" t="str">
        <f t="shared" si="53"/>
        <v>360,</v>
      </c>
      <c r="T361" s="23" t="str">
        <f t="shared" si="53"/>
        <v>203,</v>
      </c>
      <c r="U361" s="24">
        <f t="shared" si="54"/>
        <v>224</v>
      </c>
    </row>
    <row r="362" spans="1:21" x14ac:dyDescent="0.25">
      <c r="A362" s="3">
        <v>361</v>
      </c>
      <c r="B362" s="3">
        <v>15</v>
      </c>
      <c r="C362" s="3">
        <v>36</v>
      </c>
      <c r="D362" s="2">
        <f t="shared" si="46"/>
        <v>10985</v>
      </c>
      <c r="E362" s="2">
        <f t="shared" si="47"/>
        <v>5492.5</v>
      </c>
      <c r="F362" s="2">
        <v>2380</v>
      </c>
      <c r="G362" s="2">
        <f t="shared" si="48"/>
        <v>991.66666666666674</v>
      </c>
      <c r="H362" s="4">
        <f>VLOOKUP(B362,nodes!A:D,2,0)</f>
        <v>420</v>
      </c>
      <c r="I362" s="4">
        <f>VLOOKUP(B362,nodes!A:D,4,0)</f>
        <v>300</v>
      </c>
      <c r="J362" s="4">
        <f>VLOOKUP(C362,nodes!A:D,2,0)</f>
        <v>420</v>
      </c>
      <c r="K362" s="4">
        <f>VLOOKUP(C362,nodes!A:D,4,0)</f>
        <v>270</v>
      </c>
      <c r="L362" s="4">
        <f t="shared" si="49"/>
        <v>30</v>
      </c>
      <c r="N362" s="12">
        <f t="shared" si="50"/>
        <v>7437500</v>
      </c>
      <c r="O362" s="12">
        <f t="shared" si="51"/>
        <v>42840000</v>
      </c>
      <c r="P362" s="12">
        <f t="shared" si="52"/>
        <v>11900</v>
      </c>
      <c r="R362" s="23" t="s">
        <v>39</v>
      </c>
      <c r="S362" s="23" t="str">
        <f t="shared" si="53"/>
        <v>361,</v>
      </c>
      <c r="T362" s="23" t="str">
        <f t="shared" si="53"/>
        <v>15,</v>
      </c>
      <c r="U362" s="24">
        <f t="shared" si="54"/>
        <v>36</v>
      </c>
    </row>
    <row r="363" spans="1:21" x14ac:dyDescent="0.25">
      <c r="A363" s="3">
        <v>362</v>
      </c>
      <c r="B363" s="3">
        <v>36</v>
      </c>
      <c r="C363" s="3">
        <v>57</v>
      </c>
      <c r="D363" s="2">
        <f t="shared" si="46"/>
        <v>10985</v>
      </c>
      <c r="E363" s="2">
        <f t="shared" si="47"/>
        <v>5492.5</v>
      </c>
      <c r="F363" s="2">
        <v>2380</v>
      </c>
      <c r="G363" s="2">
        <f t="shared" si="48"/>
        <v>991.66666666666674</v>
      </c>
      <c r="H363" s="4">
        <f>VLOOKUP(B363,nodes!A:D,2,0)</f>
        <v>420</v>
      </c>
      <c r="I363" s="4">
        <f>VLOOKUP(B363,nodes!A:D,4,0)</f>
        <v>270</v>
      </c>
      <c r="J363" s="4">
        <f>VLOOKUP(C363,nodes!A:D,2,0)</f>
        <v>420</v>
      </c>
      <c r="K363" s="4">
        <f>VLOOKUP(C363,nodes!A:D,4,0)</f>
        <v>240</v>
      </c>
      <c r="L363" s="4">
        <f t="shared" si="49"/>
        <v>30</v>
      </c>
      <c r="N363" s="12">
        <f t="shared" si="50"/>
        <v>7437500</v>
      </c>
      <c r="O363" s="12">
        <f t="shared" si="51"/>
        <v>42840000</v>
      </c>
      <c r="P363" s="12">
        <f t="shared" si="52"/>
        <v>11900</v>
      </c>
      <c r="R363" s="23" t="s">
        <v>39</v>
      </c>
      <c r="S363" s="23" t="str">
        <f t="shared" si="53"/>
        <v>362,</v>
      </c>
      <c r="T363" s="23" t="str">
        <f t="shared" si="53"/>
        <v>36,</v>
      </c>
      <c r="U363" s="24">
        <f t="shared" si="54"/>
        <v>57</v>
      </c>
    </row>
    <row r="364" spans="1:21" x14ac:dyDescent="0.25">
      <c r="A364" s="3">
        <v>363</v>
      </c>
      <c r="B364" s="3">
        <v>57</v>
      </c>
      <c r="C364" s="3">
        <v>78</v>
      </c>
      <c r="D364" s="2">
        <f t="shared" si="46"/>
        <v>10985</v>
      </c>
      <c r="E364" s="2">
        <f t="shared" si="47"/>
        <v>5492.5</v>
      </c>
      <c r="F364" s="2">
        <v>2380</v>
      </c>
      <c r="G364" s="2">
        <f t="shared" si="48"/>
        <v>991.66666666666674</v>
      </c>
      <c r="H364" s="4">
        <f>VLOOKUP(B364,nodes!A:D,2,0)</f>
        <v>420</v>
      </c>
      <c r="I364" s="4">
        <f>VLOOKUP(B364,nodes!A:D,4,0)</f>
        <v>240</v>
      </c>
      <c r="J364" s="4">
        <f>VLOOKUP(C364,nodes!A:D,2,0)</f>
        <v>420</v>
      </c>
      <c r="K364" s="4">
        <f>VLOOKUP(C364,nodes!A:D,4,0)</f>
        <v>210</v>
      </c>
      <c r="L364" s="4">
        <f t="shared" si="49"/>
        <v>30</v>
      </c>
      <c r="N364" s="12">
        <f t="shared" si="50"/>
        <v>7437500</v>
      </c>
      <c r="O364" s="12">
        <f t="shared" si="51"/>
        <v>42840000</v>
      </c>
      <c r="P364" s="12">
        <f t="shared" si="52"/>
        <v>11900</v>
      </c>
      <c r="R364" s="23" t="s">
        <v>39</v>
      </c>
      <c r="S364" s="23" t="str">
        <f t="shared" si="53"/>
        <v>363,</v>
      </c>
      <c r="T364" s="23" t="str">
        <f t="shared" si="53"/>
        <v>57,</v>
      </c>
      <c r="U364" s="24">
        <f t="shared" si="54"/>
        <v>78</v>
      </c>
    </row>
    <row r="365" spans="1:21" x14ac:dyDescent="0.25">
      <c r="A365" s="3">
        <v>364</v>
      </c>
      <c r="B365" s="3">
        <v>78</v>
      </c>
      <c r="C365" s="3">
        <v>99</v>
      </c>
      <c r="D365" s="2">
        <f t="shared" si="46"/>
        <v>10985</v>
      </c>
      <c r="E365" s="2">
        <f t="shared" si="47"/>
        <v>5492.5</v>
      </c>
      <c r="F365" s="2">
        <v>2380</v>
      </c>
      <c r="G365" s="2">
        <f t="shared" si="48"/>
        <v>991.66666666666674</v>
      </c>
      <c r="H365" s="4">
        <f>VLOOKUP(B365,nodes!A:D,2,0)</f>
        <v>420</v>
      </c>
      <c r="I365" s="4">
        <f>VLOOKUP(B365,nodes!A:D,4,0)</f>
        <v>210</v>
      </c>
      <c r="J365" s="4">
        <f>VLOOKUP(C365,nodes!A:D,2,0)</f>
        <v>420</v>
      </c>
      <c r="K365" s="4">
        <f>VLOOKUP(C365,nodes!A:D,4,0)</f>
        <v>180</v>
      </c>
      <c r="L365" s="4">
        <f t="shared" si="49"/>
        <v>30</v>
      </c>
      <c r="N365" s="12">
        <f t="shared" si="50"/>
        <v>7437500</v>
      </c>
      <c r="O365" s="12">
        <f t="shared" si="51"/>
        <v>42840000</v>
      </c>
      <c r="P365" s="12">
        <f t="shared" si="52"/>
        <v>11900</v>
      </c>
      <c r="R365" s="23" t="s">
        <v>39</v>
      </c>
      <c r="S365" s="23" t="str">
        <f t="shared" si="53"/>
        <v>364,</v>
      </c>
      <c r="T365" s="23" t="str">
        <f t="shared" si="53"/>
        <v>78,</v>
      </c>
      <c r="U365" s="24">
        <f t="shared" si="54"/>
        <v>99</v>
      </c>
    </row>
    <row r="366" spans="1:21" x14ac:dyDescent="0.25">
      <c r="A366" s="3">
        <v>365</v>
      </c>
      <c r="B366" s="3">
        <v>99</v>
      </c>
      <c r="C366" s="3">
        <v>120</v>
      </c>
      <c r="D366" s="2">
        <f t="shared" si="46"/>
        <v>10985</v>
      </c>
      <c r="E366" s="2">
        <f t="shared" si="47"/>
        <v>5492.5</v>
      </c>
      <c r="F366" s="2">
        <v>2380</v>
      </c>
      <c r="G366" s="2">
        <f t="shared" si="48"/>
        <v>991.66666666666674</v>
      </c>
      <c r="H366" s="4">
        <f>VLOOKUP(B366,nodes!A:D,2,0)</f>
        <v>420</v>
      </c>
      <c r="I366" s="4">
        <f>VLOOKUP(B366,nodes!A:D,4,0)</f>
        <v>180</v>
      </c>
      <c r="J366" s="4">
        <f>VLOOKUP(C366,nodes!A:D,2,0)</f>
        <v>420</v>
      </c>
      <c r="K366" s="4">
        <f>VLOOKUP(C366,nodes!A:D,4,0)</f>
        <v>150</v>
      </c>
      <c r="L366" s="4">
        <f t="shared" si="49"/>
        <v>30</v>
      </c>
      <c r="N366" s="12">
        <f t="shared" si="50"/>
        <v>7437500</v>
      </c>
      <c r="O366" s="12">
        <f t="shared" si="51"/>
        <v>42840000</v>
      </c>
      <c r="P366" s="12">
        <f t="shared" si="52"/>
        <v>11900</v>
      </c>
      <c r="R366" s="23" t="s">
        <v>39</v>
      </c>
      <c r="S366" s="23" t="str">
        <f t="shared" si="53"/>
        <v>365,</v>
      </c>
      <c r="T366" s="23" t="str">
        <f t="shared" si="53"/>
        <v>99,</v>
      </c>
      <c r="U366" s="24">
        <f t="shared" si="54"/>
        <v>120</v>
      </c>
    </row>
    <row r="367" spans="1:21" x14ac:dyDescent="0.25">
      <c r="A367" s="3">
        <v>366</v>
      </c>
      <c r="B367" s="3">
        <v>120</v>
      </c>
      <c r="C367" s="3">
        <v>141</v>
      </c>
      <c r="D367" s="2">
        <f t="shared" si="46"/>
        <v>10985</v>
      </c>
      <c r="E367" s="2">
        <f t="shared" si="47"/>
        <v>5492.5</v>
      </c>
      <c r="F367" s="2">
        <v>2380</v>
      </c>
      <c r="G367" s="2">
        <f t="shared" si="48"/>
        <v>991.66666666666674</v>
      </c>
      <c r="H367" s="4">
        <f>VLOOKUP(B367,nodes!A:D,2,0)</f>
        <v>420</v>
      </c>
      <c r="I367" s="4">
        <f>VLOOKUP(B367,nodes!A:D,4,0)</f>
        <v>150</v>
      </c>
      <c r="J367" s="4">
        <f>VLOOKUP(C367,nodes!A:D,2,0)</f>
        <v>420</v>
      </c>
      <c r="K367" s="4">
        <f>VLOOKUP(C367,nodes!A:D,4,0)</f>
        <v>120</v>
      </c>
      <c r="L367" s="4">
        <f t="shared" si="49"/>
        <v>30</v>
      </c>
      <c r="N367" s="12">
        <f t="shared" si="50"/>
        <v>7437500</v>
      </c>
      <c r="O367" s="12">
        <f t="shared" si="51"/>
        <v>42840000</v>
      </c>
      <c r="P367" s="12">
        <f t="shared" si="52"/>
        <v>11900</v>
      </c>
      <c r="R367" s="23" t="s">
        <v>39</v>
      </c>
      <c r="S367" s="23" t="str">
        <f t="shared" si="53"/>
        <v>366,</v>
      </c>
      <c r="T367" s="23" t="str">
        <f t="shared" si="53"/>
        <v>120,</v>
      </c>
      <c r="U367" s="24">
        <f t="shared" si="54"/>
        <v>141</v>
      </c>
    </row>
    <row r="368" spans="1:21" x14ac:dyDescent="0.25">
      <c r="A368" s="3">
        <v>367</v>
      </c>
      <c r="B368" s="3">
        <v>141</v>
      </c>
      <c r="C368" s="3">
        <v>162</v>
      </c>
      <c r="D368" s="2">
        <f t="shared" si="46"/>
        <v>10985</v>
      </c>
      <c r="E368" s="2">
        <f t="shared" si="47"/>
        <v>5492.5</v>
      </c>
      <c r="F368" s="2">
        <v>2380</v>
      </c>
      <c r="G368" s="2">
        <f t="shared" si="48"/>
        <v>991.66666666666674</v>
      </c>
      <c r="H368" s="4">
        <f>VLOOKUP(B368,nodes!A:D,2,0)</f>
        <v>420</v>
      </c>
      <c r="I368" s="4">
        <f>VLOOKUP(B368,nodes!A:D,4,0)</f>
        <v>120</v>
      </c>
      <c r="J368" s="4">
        <f>VLOOKUP(C368,nodes!A:D,2,0)</f>
        <v>420</v>
      </c>
      <c r="K368" s="4">
        <f>VLOOKUP(C368,nodes!A:D,4,0)</f>
        <v>90</v>
      </c>
      <c r="L368" s="4">
        <f t="shared" si="49"/>
        <v>30</v>
      </c>
      <c r="N368" s="12">
        <f t="shared" si="50"/>
        <v>7437500</v>
      </c>
      <c r="O368" s="12">
        <f t="shared" si="51"/>
        <v>42840000</v>
      </c>
      <c r="P368" s="12">
        <f t="shared" si="52"/>
        <v>11900</v>
      </c>
      <c r="R368" s="23" t="s">
        <v>39</v>
      </c>
      <c r="S368" s="23" t="str">
        <f t="shared" si="53"/>
        <v>367,</v>
      </c>
      <c r="T368" s="23" t="str">
        <f t="shared" si="53"/>
        <v>141,</v>
      </c>
      <c r="U368" s="24">
        <f t="shared" si="54"/>
        <v>162</v>
      </c>
    </row>
    <row r="369" spans="1:21" x14ac:dyDescent="0.25">
      <c r="A369" s="3">
        <v>368</v>
      </c>
      <c r="B369" s="3">
        <v>162</v>
      </c>
      <c r="C369" s="3">
        <v>183</v>
      </c>
      <c r="D369" s="2">
        <f t="shared" si="46"/>
        <v>10985</v>
      </c>
      <c r="E369" s="2">
        <f t="shared" si="47"/>
        <v>5492.5</v>
      </c>
      <c r="F369" s="2">
        <v>2380</v>
      </c>
      <c r="G369" s="2">
        <f t="shared" si="48"/>
        <v>991.66666666666674</v>
      </c>
      <c r="H369" s="4">
        <f>VLOOKUP(B369,nodes!A:D,2,0)</f>
        <v>420</v>
      </c>
      <c r="I369" s="4">
        <f>VLOOKUP(B369,nodes!A:D,4,0)</f>
        <v>90</v>
      </c>
      <c r="J369" s="4">
        <f>VLOOKUP(C369,nodes!A:D,2,0)</f>
        <v>420</v>
      </c>
      <c r="K369" s="4">
        <f>VLOOKUP(C369,nodes!A:D,4,0)</f>
        <v>60</v>
      </c>
      <c r="L369" s="4">
        <f t="shared" si="49"/>
        <v>30</v>
      </c>
      <c r="N369" s="12">
        <f t="shared" si="50"/>
        <v>7437500</v>
      </c>
      <c r="O369" s="12">
        <f t="shared" si="51"/>
        <v>42840000</v>
      </c>
      <c r="P369" s="12">
        <f t="shared" si="52"/>
        <v>11900</v>
      </c>
      <c r="R369" s="23" t="s">
        <v>39</v>
      </c>
      <c r="S369" s="23" t="str">
        <f t="shared" si="53"/>
        <v>368,</v>
      </c>
      <c r="T369" s="23" t="str">
        <f t="shared" si="53"/>
        <v>162,</v>
      </c>
      <c r="U369" s="24">
        <f t="shared" si="54"/>
        <v>183</v>
      </c>
    </row>
    <row r="370" spans="1:21" x14ac:dyDescent="0.25">
      <c r="A370" s="3">
        <v>369</v>
      </c>
      <c r="B370" s="3">
        <v>183</v>
      </c>
      <c r="C370" s="3">
        <v>204</v>
      </c>
      <c r="D370" s="2">
        <f t="shared" si="46"/>
        <v>10985</v>
      </c>
      <c r="E370" s="2">
        <f t="shared" si="47"/>
        <v>5492.5</v>
      </c>
      <c r="F370" s="2">
        <v>2380</v>
      </c>
      <c r="G370" s="2">
        <f t="shared" si="48"/>
        <v>991.66666666666674</v>
      </c>
      <c r="H370" s="4">
        <f>VLOOKUP(B370,nodes!A:D,2,0)</f>
        <v>420</v>
      </c>
      <c r="I370" s="4">
        <f>VLOOKUP(B370,nodes!A:D,4,0)</f>
        <v>60</v>
      </c>
      <c r="J370" s="4">
        <f>VLOOKUP(C370,nodes!A:D,2,0)</f>
        <v>420</v>
      </c>
      <c r="K370" s="4">
        <f>VLOOKUP(C370,nodes!A:D,4,0)</f>
        <v>30</v>
      </c>
      <c r="L370" s="4">
        <f t="shared" si="49"/>
        <v>30</v>
      </c>
      <c r="N370" s="12">
        <f t="shared" si="50"/>
        <v>7437500</v>
      </c>
      <c r="O370" s="12">
        <f t="shared" si="51"/>
        <v>42840000</v>
      </c>
      <c r="P370" s="12">
        <f t="shared" si="52"/>
        <v>11900</v>
      </c>
      <c r="R370" s="23" t="s">
        <v>39</v>
      </c>
      <c r="S370" s="23" t="str">
        <f t="shared" si="53"/>
        <v>369,</v>
      </c>
      <c r="T370" s="23" t="str">
        <f t="shared" si="53"/>
        <v>183,</v>
      </c>
      <c r="U370" s="24">
        <f t="shared" si="54"/>
        <v>204</v>
      </c>
    </row>
    <row r="371" spans="1:21" x14ac:dyDescent="0.25">
      <c r="A371" s="3">
        <v>370</v>
      </c>
      <c r="B371" s="3">
        <v>204</v>
      </c>
      <c r="C371" s="3">
        <v>225</v>
      </c>
      <c r="D371" s="2">
        <f t="shared" si="46"/>
        <v>10985</v>
      </c>
      <c r="E371" s="2">
        <f t="shared" si="47"/>
        <v>5492.5</v>
      </c>
      <c r="F371" s="2">
        <v>2380</v>
      </c>
      <c r="G371" s="2">
        <f t="shared" si="48"/>
        <v>991.66666666666674</v>
      </c>
      <c r="H371" s="4">
        <f>VLOOKUP(B371,nodes!A:D,2,0)</f>
        <v>420</v>
      </c>
      <c r="I371" s="4">
        <f>VLOOKUP(B371,nodes!A:D,4,0)</f>
        <v>30</v>
      </c>
      <c r="J371" s="4">
        <f>VLOOKUP(C371,nodes!A:D,2,0)</f>
        <v>420</v>
      </c>
      <c r="K371" s="4">
        <f>VLOOKUP(C371,nodes!A:D,4,0)</f>
        <v>0</v>
      </c>
      <c r="L371" s="4">
        <f t="shared" si="49"/>
        <v>30</v>
      </c>
      <c r="N371" s="12">
        <f t="shared" si="50"/>
        <v>7437500</v>
      </c>
      <c r="O371" s="12">
        <f t="shared" si="51"/>
        <v>42840000</v>
      </c>
      <c r="P371" s="12">
        <f t="shared" si="52"/>
        <v>11900</v>
      </c>
      <c r="R371" s="23" t="s">
        <v>39</v>
      </c>
      <c r="S371" s="23" t="str">
        <f t="shared" si="53"/>
        <v>370,</v>
      </c>
      <c r="T371" s="23" t="str">
        <f t="shared" si="53"/>
        <v>204,</v>
      </c>
      <c r="U371" s="24">
        <f t="shared" si="54"/>
        <v>225</v>
      </c>
    </row>
    <row r="372" spans="1:21" x14ac:dyDescent="0.25">
      <c r="A372" s="3">
        <v>371</v>
      </c>
      <c r="B372" s="3">
        <v>16</v>
      </c>
      <c r="C372" s="3">
        <v>37</v>
      </c>
      <c r="D372" s="2">
        <f t="shared" si="46"/>
        <v>10985</v>
      </c>
      <c r="E372" s="2">
        <f t="shared" si="47"/>
        <v>5492.5</v>
      </c>
      <c r="F372" s="2">
        <v>2380</v>
      </c>
      <c r="G372" s="2">
        <f t="shared" si="48"/>
        <v>991.66666666666674</v>
      </c>
      <c r="H372" s="4">
        <f>VLOOKUP(B372,nodes!A:D,2,0)</f>
        <v>450</v>
      </c>
      <c r="I372" s="4">
        <f>VLOOKUP(B372,nodes!A:D,4,0)</f>
        <v>300</v>
      </c>
      <c r="J372" s="4">
        <f>VLOOKUP(C372,nodes!A:D,2,0)</f>
        <v>450</v>
      </c>
      <c r="K372" s="4">
        <f>VLOOKUP(C372,nodes!A:D,4,0)</f>
        <v>270</v>
      </c>
      <c r="L372" s="4">
        <f t="shared" si="49"/>
        <v>30</v>
      </c>
      <c r="N372" s="12">
        <f t="shared" si="50"/>
        <v>7437500</v>
      </c>
      <c r="O372" s="12">
        <f t="shared" si="51"/>
        <v>42840000</v>
      </c>
      <c r="P372" s="12">
        <f t="shared" si="52"/>
        <v>11900</v>
      </c>
      <c r="R372" s="23" t="s">
        <v>39</v>
      </c>
      <c r="S372" s="23" t="str">
        <f t="shared" si="53"/>
        <v>371,</v>
      </c>
      <c r="T372" s="23" t="str">
        <f t="shared" si="53"/>
        <v>16,</v>
      </c>
      <c r="U372" s="24">
        <f t="shared" si="54"/>
        <v>37</v>
      </c>
    </row>
    <row r="373" spans="1:21" x14ac:dyDescent="0.25">
      <c r="A373" s="3">
        <v>372</v>
      </c>
      <c r="B373" s="3">
        <v>37</v>
      </c>
      <c r="C373" s="3">
        <v>58</v>
      </c>
      <c r="D373" s="2">
        <f t="shared" si="46"/>
        <v>10985</v>
      </c>
      <c r="E373" s="2">
        <f t="shared" si="47"/>
        <v>5492.5</v>
      </c>
      <c r="F373" s="2">
        <v>2380</v>
      </c>
      <c r="G373" s="2">
        <f t="shared" si="48"/>
        <v>991.66666666666674</v>
      </c>
      <c r="H373" s="4">
        <f>VLOOKUP(B373,nodes!A:D,2,0)</f>
        <v>450</v>
      </c>
      <c r="I373" s="4">
        <f>VLOOKUP(B373,nodes!A:D,4,0)</f>
        <v>270</v>
      </c>
      <c r="J373" s="4">
        <f>VLOOKUP(C373,nodes!A:D,2,0)</f>
        <v>450</v>
      </c>
      <c r="K373" s="4">
        <f>VLOOKUP(C373,nodes!A:D,4,0)</f>
        <v>240</v>
      </c>
      <c r="L373" s="4">
        <f t="shared" si="49"/>
        <v>30</v>
      </c>
      <c r="N373" s="12">
        <f t="shared" si="50"/>
        <v>7437500</v>
      </c>
      <c r="O373" s="12">
        <f t="shared" si="51"/>
        <v>42840000</v>
      </c>
      <c r="P373" s="12">
        <f t="shared" si="52"/>
        <v>11900</v>
      </c>
      <c r="R373" s="23" t="s">
        <v>39</v>
      </c>
      <c r="S373" s="23" t="str">
        <f t="shared" si="53"/>
        <v>372,</v>
      </c>
      <c r="T373" s="23" t="str">
        <f t="shared" si="53"/>
        <v>37,</v>
      </c>
      <c r="U373" s="24">
        <f t="shared" si="54"/>
        <v>58</v>
      </c>
    </row>
    <row r="374" spans="1:21" x14ac:dyDescent="0.25">
      <c r="A374" s="3">
        <v>373</v>
      </c>
      <c r="B374" s="3">
        <v>58</v>
      </c>
      <c r="C374" s="3">
        <v>79</v>
      </c>
      <c r="D374" s="2">
        <f t="shared" si="46"/>
        <v>10985</v>
      </c>
      <c r="E374" s="2">
        <f t="shared" si="47"/>
        <v>5492.5</v>
      </c>
      <c r="F374" s="2">
        <v>2380</v>
      </c>
      <c r="G374" s="2">
        <f t="shared" si="48"/>
        <v>991.66666666666674</v>
      </c>
      <c r="H374" s="4">
        <f>VLOOKUP(B374,nodes!A:D,2,0)</f>
        <v>450</v>
      </c>
      <c r="I374" s="4">
        <f>VLOOKUP(B374,nodes!A:D,4,0)</f>
        <v>240</v>
      </c>
      <c r="J374" s="4">
        <f>VLOOKUP(C374,nodes!A:D,2,0)</f>
        <v>450</v>
      </c>
      <c r="K374" s="4">
        <f>VLOOKUP(C374,nodes!A:D,4,0)</f>
        <v>210</v>
      </c>
      <c r="L374" s="4">
        <f t="shared" si="49"/>
        <v>30</v>
      </c>
      <c r="N374" s="12">
        <f t="shared" si="50"/>
        <v>7437500</v>
      </c>
      <c r="O374" s="12">
        <f t="shared" si="51"/>
        <v>42840000</v>
      </c>
      <c r="P374" s="12">
        <f t="shared" si="52"/>
        <v>11900</v>
      </c>
      <c r="R374" s="23" t="s">
        <v>39</v>
      </c>
      <c r="S374" s="23" t="str">
        <f t="shared" si="53"/>
        <v>373,</v>
      </c>
      <c r="T374" s="23" t="str">
        <f t="shared" si="53"/>
        <v>58,</v>
      </c>
      <c r="U374" s="24">
        <f t="shared" si="54"/>
        <v>79</v>
      </c>
    </row>
    <row r="375" spans="1:21" x14ac:dyDescent="0.25">
      <c r="A375" s="3">
        <v>374</v>
      </c>
      <c r="B375" s="3">
        <v>79</v>
      </c>
      <c r="C375" s="3">
        <v>100</v>
      </c>
      <c r="D375" s="2">
        <f t="shared" si="46"/>
        <v>10985</v>
      </c>
      <c r="E375" s="2">
        <f t="shared" si="47"/>
        <v>5492.5</v>
      </c>
      <c r="F375" s="2">
        <v>2380</v>
      </c>
      <c r="G375" s="2">
        <f t="shared" si="48"/>
        <v>991.66666666666674</v>
      </c>
      <c r="H375" s="4">
        <f>VLOOKUP(B375,nodes!A:D,2,0)</f>
        <v>450</v>
      </c>
      <c r="I375" s="4">
        <f>VLOOKUP(B375,nodes!A:D,4,0)</f>
        <v>210</v>
      </c>
      <c r="J375" s="4">
        <f>VLOOKUP(C375,nodes!A:D,2,0)</f>
        <v>450</v>
      </c>
      <c r="K375" s="4">
        <f>VLOOKUP(C375,nodes!A:D,4,0)</f>
        <v>180</v>
      </c>
      <c r="L375" s="4">
        <f t="shared" si="49"/>
        <v>30</v>
      </c>
      <c r="N375" s="12">
        <f t="shared" si="50"/>
        <v>7437500</v>
      </c>
      <c r="O375" s="12">
        <f t="shared" si="51"/>
        <v>42840000</v>
      </c>
      <c r="P375" s="12">
        <f t="shared" si="52"/>
        <v>11900</v>
      </c>
      <c r="R375" s="23" t="s">
        <v>39</v>
      </c>
      <c r="S375" s="23" t="str">
        <f t="shared" si="53"/>
        <v>374,</v>
      </c>
      <c r="T375" s="23" t="str">
        <f t="shared" si="53"/>
        <v>79,</v>
      </c>
      <c r="U375" s="24">
        <f t="shared" si="54"/>
        <v>100</v>
      </c>
    </row>
    <row r="376" spans="1:21" x14ac:dyDescent="0.25">
      <c r="A376" s="3">
        <v>375</v>
      </c>
      <c r="B376" s="3">
        <v>100</v>
      </c>
      <c r="C376" s="3">
        <v>121</v>
      </c>
      <c r="D376" s="2">
        <f t="shared" si="46"/>
        <v>10985</v>
      </c>
      <c r="E376" s="2">
        <f t="shared" si="47"/>
        <v>5492.5</v>
      </c>
      <c r="F376" s="2">
        <v>2380</v>
      </c>
      <c r="G376" s="2">
        <f t="shared" si="48"/>
        <v>991.66666666666674</v>
      </c>
      <c r="H376" s="4">
        <f>VLOOKUP(B376,nodes!A:D,2,0)</f>
        <v>450</v>
      </c>
      <c r="I376" s="4">
        <f>VLOOKUP(B376,nodes!A:D,4,0)</f>
        <v>180</v>
      </c>
      <c r="J376" s="4">
        <f>VLOOKUP(C376,nodes!A:D,2,0)</f>
        <v>450</v>
      </c>
      <c r="K376" s="4">
        <f>VLOOKUP(C376,nodes!A:D,4,0)</f>
        <v>150</v>
      </c>
      <c r="L376" s="4">
        <f t="shared" si="49"/>
        <v>30</v>
      </c>
      <c r="N376" s="12">
        <f t="shared" si="50"/>
        <v>7437500</v>
      </c>
      <c r="O376" s="12">
        <f t="shared" si="51"/>
        <v>42840000</v>
      </c>
      <c r="P376" s="12">
        <f t="shared" si="52"/>
        <v>11900</v>
      </c>
      <c r="R376" s="23" t="s">
        <v>39</v>
      </c>
      <c r="S376" s="23" t="str">
        <f t="shared" si="53"/>
        <v>375,</v>
      </c>
      <c r="T376" s="23" t="str">
        <f t="shared" si="53"/>
        <v>100,</v>
      </c>
      <c r="U376" s="24">
        <f t="shared" si="54"/>
        <v>121</v>
      </c>
    </row>
    <row r="377" spans="1:21" x14ac:dyDescent="0.25">
      <c r="A377" s="3">
        <v>376</v>
      </c>
      <c r="B377" s="3">
        <v>121</v>
      </c>
      <c r="C377" s="3">
        <v>142</v>
      </c>
      <c r="D377" s="2">
        <f t="shared" si="46"/>
        <v>10985</v>
      </c>
      <c r="E377" s="2">
        <f t="shared" si="47"/>
        <v>5492.5</v>
      </c>
      <c r="F377" s="2">
        <v>2380</v>
      </c>
      <c r="G377" s="2">
        <f t="shared" si="48"/>
        <v>991.66666666666674</v>
      </c>
      <c r="H377" s="4">
        <f>VLOOKUP(B377,nodes!A:D,2,0)</f>
        <v>450</v>
      </c>
      <c r="I377" s="4">
        <f>VLOOKUP(B377,nodes!A:D,4,0)</f>
        <v>150</v>
      </c>
      <c r="J377" s="4">
        <f>VLOOKUP(C377,nodes!A:D,2,0)</f>
        <v>450</v>
      </c>
      <c r="K377" s="4">
        <f>VLOOKUP(C377,nodes!A:D,4,0)</f>
        <v>120</v>
      </c>
      <c r="L377" s="4">
        <f t="shared" si="49"/>
        <v>30</v>
      </c>
      <c r="N377" s="12">
        <f t="shared" si="50"/>
        <v>7437500</v>
      </c>
      <c r="O377" s="12">
        <f t="shared" si="51"/>
        <v>42840000</v>
      </c>
      <c r="P377" s="12">
        <f t="shared" si="52"/>
        <v>11900</v>
      </c>
      <c r="R377" s="23" t="s">
        <v>39</v>
      </c>
      <c r="S377" s="23" t="str">
        <f t="shared" si="53"/>
        <v>376,</v>
      </c>
      <c r="T377" s="23" t="str">
        <f t="shared" si="53"/>
        <v>121,</v>
      </c>
      <c r="U377" s="24">
        <f t="shared" si="54"/>
        <v>142</v>
      </c>
    </row>
    <row r="378" spans="1:21" x14ac:dyDescent="0.25">
      <c r="A378" s="3">
        <v>377</v>
      </c>
      <c r="B378" s="3">
        <v>142</v>
      </c>
      <c r="C378" s="3">
        <v>163</v>
      </c>
      <c r="D378" s="2">
        <f t="shared" si="46"/>
        <v>10985</v>
      </c>
      <c r="E378" s="2">
        <f t="shared" si="47"/>
        <v>5492.5</v>
      </c>
      <c r="F378" s="2">
        <v>2380</v>
      </c>
      <c r="G378" s="2">
        <f t="shared" si="48"/>
        <v>991.66666666666674</v>
      </c>
      <c r="H378" s="4">
        <f>VLOOKUP(B378,nodes!A:D,2,0)</f>
        <v>450</v>
      </c>
      <c r="I378" s="4">
        <f>VLOOKUP(B378,nodes!A:D,4,0)</f>
        <v>120</v>
      </c>
      <c r="J378" s="4">
        <f>VLOOKUP(C378,nodes!A:D,2,0)</f>
        <v>450</v>
      </c>
      <c r="K378" s="4">
        <f>VLOOKUP(C378,nodes!A:D,4,0)</f>
        <v>90</v>
      </c>
      <c r="L378" s="4">
        <f t="shared" si="49"/>
        <v>30</v>
      </c>
      <c r="N378" s="12">
        <f t="shared" si="50"/>
        <v>7437500</v>
      </c>
      <c r="O378" s="12">
        <f t="shared" si="51"/>
        <v>42840000</v>
      </c>
      <c r="P378" s="12">
        <f t="shared" si="52"/>
        <v>11900</v>
      </c>
      <c r="R378" s="23" t="s">
        <v>39</v>
      </c>
      <c r="S378" s="23" t="str">
        <f t="shared" si="53"/>
        <v>377,</v>
      </c>
      <c r="T378" s="23" t="str">
        <f t="shared" si="53"/>
        <v>142,</v>
      </c>
      <c r="U378" s="24">
        <f t="shared" si="54"/>
        <v>163</v>
      </c>
    </row>
    <row r="379" spans="1:21" x14ac:dyDescent="0.25">
      <c r="A379" s="3">
        <v>378</v>
      </c>
      <c r="B379" s="3">
        <v>163</v>
      </c>
      <c r="C379" s="3">
        <v>184</v>
      </c>
      <c r="D379" s="2">
        <f t="shared" si="46"/>
        <v>10985</v>
      </c>
      <c r="E379" s="2">
        <f t="shared" si="47"/>
        <v>5492.5</v>
      </c>
      <c r="F379" s="2">
        <v>2380</v>
      </c>
      <c r="G379" s="2">
        <f t="shared" si="48"/>
        <v>991.66666666666674</v>
      </c>
      <c r="H379" s="4">
        <f>VLOOKUP(B379,nodes!A:D,2,0)</f>
        <v>450</v>
      </c>
      <c r="I379" s="4">
        <f>VLOOKUP(B379,nodes!A:D,4,0)</f>
        <v>90</v>
      </c>
      <c r="J379" s="4">
        <f>VLOOKUP(C379,nodes!A:D,2,0)</f>
        <v>450</v>
      </c>
      <c r="K379" s="4">
        <f>VLOOKUP(C379,nodes!A:D,4,0)</f>
        <v>60</v>
      </c>
      <c r="L379" s="4">
        <f t="shared" si="49"/>
        <v>30</v>
      </c>
      <c r="N379" s="12">
        <f t="shared" si="50"/>
        <v>7437500</v>
      </c>
      <c r="O379" s="12">
        <f t="shared" si="51"/>
        <v>42840000</v>
      </c>
      <c r="P379" s="12">
        <f t="shared" si="52"/>
        <v>11900</v>
      </c>
      <c r="R379" s="23" t="s">
        <v>39</v>
      </c>
      <c r="S379" s="23" t="str">
        <f t="shared" si="53"/>
        <v>378,</v>
      </c>
      <c r="T379" s="23" t="str">
        <f t="shared" si="53"/>
        <v>163,</v>
      </c>
      <c r="U379" s="24">
        <f t="shared" si="54"/>
        <v>184</v>
      </c>
    </row>
    <row r="380" spans="1:21" x14ac:dyDescent="0.25">
      <c r="A380" s="3">
        <v>379</v>
      </c>
      <c r="B380" s="3">
        <v>184</v>
      </c>
      <c r="C380" s="3">
        <v>205</v>
      </c>
      <c r="D380" s="2">
        <f t="shared" si="46"/>
        <v>10985</v>
      </c>
      <c r="E380" s="2">
        <f t="shared" si="47"/>
        <v>5492.5</v>
      </c>
      <c r="F380" s="2">
        <v>2380</v>
      </c>
      <c r="G380" s="2">
        <f t="shared" si="48"/>
        <v>991.66666666666674</v>
      </c>
      <c r="H380" s="4">
        <f>VLOOKUP(B380,nodes!A:D,2,0)</f>
        <v>450</v>
      </c>
      <c r="I380" s="4">
        <f>VLOOKUP(B380,nodes!A:D,4,0)</f>
        <v>60</v>
      </c>
      <c r="J380" s="4">
        <f>VLOOKUP(C380,nodes!A:D,2,0)</f>
        <v>450</v>
      </c>
      <c r="K380" s="4">
        <f>VLOOKUP(C380,nodes!A:D,4,0)</f>
        <v>30</v>
      </c>
      <c r="L380" s="4">
        <f t="shared" si="49"/>
        <v>30</v>
      </c>
      <c r="N380" s="12">
        <f t="shared" si="50"/>
        <v>7437500</v>
      </c>
      <c r="O380" s="12">
        <f t="shared" si="51"/>
        <v>42840000</v>
      </c>
      <c r="P380" s="12">
        <f t="shared" si="52"/>
        <v>11900</v>
      </c>
      <c r="R380" s="23" t="s">
        <v>39</v>
      </c>
      <c r="S380" s="23" t="str">
        <f t="shared" si="53"/>
        <v>379,</v>
      </c>
      <c r="T380" s="23" t="str">
        <f t="shared" si="53"/>
        <v>184,</v>
      </c>
      <c r="U380" s="24">
        <f t="shared" si="54"/>
        <v>205</v>
      </c>
    </row>
    <row r="381" spans="1:21" x14ac:dyDescent="0.25">
      <c r="A381" s="3">
        <v>380</v>
      </c>
      <c r="B381" s="3">
        <v>205</v>
      </c>
      <c r="C381" s="3">
        <v>226</v>
      </c>
      <c r="D381" s="2">
        <f t="shared" si="46"/>
        <v>10985</v>
      </c>
      <c r="E381" s="2">
        <f t="shared" si="47"/>
        <v>5492.5</v>
      </c>
      <c r="F381" s="2">
        <v>2380</v>
      </c>
      <c r="G381" s="2">
        <f t="shared" si="48"/>
        <v>991.66666666666674</v>
      </c>
      <c r="H381" s="4">
        <f>VLOOKUP(B381,nodes!A:D,2,0)</f>
        <v>450</v>
      </c>
      <c r="I381" s="4">
        <f>VLOOKUP(B381,nodes!A:D,4,0)</f>
        <v>30</v>
      </c>
      <c r="J381" s="4">
        <f>VLOOKUP(C381,nodes!A:D,2,0)</f>
        <v>450</v>
      </c>
      <c r="K381" s="4">
        <f>VLOOKUP(C381,nodes!A:D,4,0)</f>
        <v>0</v>
      </c>
      <c r="L381" s="4">
        <f t="shared" si="49"/>
        <v>30</v>
      </c>
      <c r="N381" s="12">
        <f t="shared" si="50"/>
        <v>7437500</v>
      </c>
      <c r="O381" s="12">
        <f t="shared" si="51"/>
        <v>42840000</v>
      </c>
      <c r="P381" s="12">
        <f t="shared" si="52"/>
        <v>11900</v>
      </c>
      <c r="R381" s="23" t="s">
        <v>39</v>
      </c>
      <c r="S381" s="23" t="str">
        <f t="shared" si="53"/>
        <v>380,</v>
      </c>
      <c r="T381" s="23" t="str">
        <f t="shared" si="53"/>
        <v>205,</v>
      </c>
      <c r="U381" s="24">
        <f t="shared" si="54"/>
        <v>226</v>
      </c>
    </row>
    <row r="382" spans="1:21" x14ac:dyDescent="0.25">
      <c r="A382" s="3">
        <v>381</v>
      </c>
      <c r="B382" s="3">
        <v>17</v>
      </c>
      <c r="C382" s="3">
        <v>38</v>
      </c>
      <c r="D382" s="2">
        <f t="shared" si="46"/>
        <v>10985</v>
      </c>
      <c r="E382" s="2">
        <f t="shared" si="47"/>
        <v>5492.5</v>
      </c>
      <c r="F382" s="2">
        <v>2380</v>
      </c>
      <c r="G382" s="2">
        <f t="shared" si="48"/>
        <v>991.66666666666674</v>
      </c>
      <c r="H382" s="4">
        <f>VLOOKUP(B382,nodes!A:D,2,0)</f>
        <v>480</v>
      </c>
      <c r="I382" s="4">
        <f>VLOOKUP(B382,nodes!A:D,4,0)</f>
        <v>300</v>
      </c>
      <c r="J382" s="4">
        <f>VLOOKUP(C382,nodes!A:D,2,0)</f>
        <v>480</v>
      </c>
      <c r="K382" s="4">
        <f>VLOOKUP(C382,nodes!A:D,4,0)</f>
        <v>270</v>
      </c>
      <c r="L382" s="4">
        <f t="shared" si="49"/>
        <v>30</v>
      </c>
      <c r="N382" s="12">
        <f t="shared" si="50"/>
        <v>7437500</v>
      </c>
      <c r="O382" s="12">
        <f t="shared" si="51"/>
        <v>42840000</v>
      </c>
      <c r="P382" s="12">
        <f t="shared" si="52"/>
        <v>11900</v>
      </c>
      <c r="R382" s="23" t="s">
        <v>39</v>
      </c>
      <c r="S382" s="23" t="str">
        <f t="shared" si="53"/>
        <v>381,</v>
      </c>
      <c r="T382" s="23" t="str">
        <f t="shared" si="53"/>
        <v>17,</v>
      </c>
      <c r="U382" s="24">
        <f t="shared" si="54"/>
        <v>38</v>
      </c>
    </row>
    <row r="383" spans="1:21" x14ac:dyDescent="0.25">
      <c r="A383" s="3">
        <v>382</v>
      </c>
      <c r="B383" s="3">
        <v>38</v>
      </c>
      <c r="C383" s="3">
        <v>59</v>
      </c>
      <c r="D383" s="2">
        <f t="shared" si="46"/>
        <v>10985</v>
      </c>
      <c r="E383" s="2">
        <f t="shared" si="47"/>
        <v>5492.5</v>
      </c>
      <c r="F383" s="2">
        <v>2380</v>
      </c>
      <c r="G383" s="2">
        <f t="shared" si="48"/>
        <v>991.66666666666674</v>
      </c>
      <c r="H383" s="4">
        <f>VLOOKUP(B383,nodes!A:D,2,0)</f>
        <v>480</v>
      </c>
      <c r="I383" s="4">
        <f>VLOOKUP(B383,nodes!A:D,4,0)</f>
        <v>270</v>
      </c>
      <c r="J383" s="4">
        <f>VLOOKUP(C383,nodes!A:D,2,0)</f>
        <v>480</v>
      </c>
      <c r="K383" s="4">
        <f>VLOOKUP(C383,nodes!A:D,4,0)</f>
        <v>240</v>
      </c>
      <c r="L383" s="4">
        <f t="shared" si="49"/>
        <v>30</v>
      </c>
      <c r="N383" s="12">
        <f t="shared" si="50"/>
        <v>7437500</v>
      </c>
      <c r="O383" s="12">
        <f t="shared" si="51"/>
        <v>42840000</v>
      </c>
      <c r="P383" s="12">
        <f t="shared" si="52"/>
        <v>11900</v>
      </c>
      <c r="R383" s="23" t="s">
        <v>39</v>
      </c>
      <c r="S383" s="23" t="str">
        <f t="shared" si="53"/>
        <v>382,</v>
      </c>
      <c r="T383" s="23" t="str">
        <f t="shared" si="53"/>
        <v>38,</v>
      </c>
      <c r="U383" s="24">
        <f t="shared" si="54"/>
        <v>59</v>
      </c>
    </row>
    <row r="384" spans="1:21" x14ac:dyDescent="0.25">
      <c r="A384" s="3">
        <v>383</v>
      </c>
      <c r="B384" s="3">
        <v>59</v>
      </c>
      <c r="C384" s="3">
        <v>80</v>
      </c>
      <c r="D384" s="2">
        <f t="shared" si="46"/>
        <v>10985</v>
      </c>
      <c r="E384" s="2">
        <f t="shared" si="47"/>
        <v>5492.5</v>
      </c>
      <c r="F384" s="2">
        <v>2380</v>
      </c>
      <c r="G384" s="2">
        <f t="shared" si="48"/>
        <v>991.66666666666674</v>
      </c>
      <c r="H384" s="4">
        <f>VLOOKUP(B384,nodes!A:D,2,0)</f>
        <v>480</v>
      </c>
      <c r="I384" s="4">
        <f>VLOOKUP(B384,nodes!A:D,4,0)</f>
        <v>240</v>
      </c>
      <c r="J384" s="4">
        <f>VLOOKUP(C384,nodes!A:D,2,0)</f>
        <v>480</v>
      </c>
      <c r="K384" s="4">
        <f>VLOOKUP(C384,nodes!A:D,4,0)</f>
        <v>210</v>
      </c>
      <c r="L384" s="4">
        <f t="shared" si="49"/>
        <v>30</v>
      </c>
      <c r="N384" s="12">
        <f t="shared" si="50"/>
        <v>7437500</v>
      </c>
      <c r="O384" s="12">
        <f t="shared" si="51"/>
        <v>42840000</v>
      </c>
      <c r="P384" s="12">
        <f t="shared" si="52"/>
        <v>11900</v>
      </c>
      <c r="R384" s="23" t="s">
        <v>39</v>
      </c>
      <c r="S384" s="23" t="str">
        <f t="shared" si="53"/>
        <v>383,</v>
      </c>
      <c r="T384" s="23" t="str">
        <f t="shared" si="53"/>
        <v>59,</v>
      </c>
      <c r="U384" s="24">
        <f t="shared" si="54"/>
        <v>80</v>
      </c>
    </row>
    <row r="385" spans="1:21" x14ac:dyDescent="0.25">
      <c r="A385" s="3">
        <v>384</v>
      </c>
      <c r="B385" s="3">
        <v>80</v>
      </c>
      <c r="C385" s="3">
        <v>101</v>
      </c>
      <c r="D385" s="2">
        <f t="shared" si="46"/>
        <v>10985</v>
      </c>
      <c r="E385" s="2">
        <f t="shared" si="47"/>
        <v>5492.5</v>
      </c>
      <c r="F385" s="2">
        <v>2380</v>
      </c>
      <c r="G385" s="2">
        <f t="shared" si="48"/>
        <v>991.66666666666674</v>
      </c>
      <c r="H385" s="4">
        <f>VLOOKUP(B385,nodes!A:D,2,0)</f>
        <v>480</v>
      </c>
      <c r="I385" s="4">
        <f>VLOOKUP(B385,nodes!A:D,4,0)</f>
        <v>210</v>
      </c>
      <c r="J385" s="4">
        <f>VLOOKUP(C385,nodes!A:D,2,0)</f>
        <v>480</v>
      </c>
      <c r="K385" s="4">
        <f>VLOOKUP(C385,nodes!A:D,4,0)</f>
        <v>180</v>
      </c>
      <c r="L385" s="4">
        <f t="shared" si="49"/>
        <v>30</v>
      </c>
      <c r="N385" s="12">
        <f t="shared" si="50"/>
        <v>7437500</v>
      </c>
      <c r="O385" s="12">
        <f t="shared" si="51"/>
        <v>42840000</v>
      </c>
      <c r="P385" s="12">
        <f t="shared" si="52"/>
        <v>11900</v>
      </c>
      <c r="R385" s="23" t="s">
        <v>39</v>
      </c>
      <c r="S385" s="23" t="str">
        <f t="shared" si="53"/>
        <v>384,</v>
      </c>
      <c r="T385" s="23" t="str">
        <f t="shared" si="53"/>
        <v>80,</v>
      </c>
      <c r="U385" s="24">
        <f t="shared" si="54"/>
        <v>101</v>
      </c>
    </row>
    <row r="386" spans="1:21" x14ac:dyDescent="0.25">
      <c r="A386" s="3">
        <v>385</v>
      </c>
      <c r="B386" s="3">
        <v>101</v>
      </c>
      <c r="C386" s="3">
        <v>122</v>
      </c>
      <c r="D386" s="2">
        <f t="shared" ref="D386:D431" si="55">E386*2</f>
        <v>10985</v>
      </c>
      <c r="E386" s="2">
        <f t="shared" si="47"/>
        <v>5492.5</v>
      </c>
      <c r="F386" s="2">
        <v>2380</v>
      </c>
      <c r="G386" s="2">
        <f t="shared" si="48"/>
        <v>991.66666666666674</v>
      </c>
      <c r="H386" s="4">
        <f>VLOOKUP(B386,nodes!A:D,2,0)</f>
        <v>480</v>
      </c>
      <c r="I386" s="4">
        <f>VLOOKUP(B386,nodes!A:D,4,0)</f>
        <v>180</v>
      </c>
      <c r="J386" s="4">
        <f>VLOOKUP(C386,nodes!A:D,2,0)</f>
        <v>480</v>
      </c>
      <c r="K386" s="4">
        <f>VLOOKUP(C386,nodes!A:D,4,0)</f>
        <v>150</v>
      </c>
      <c r="L386" s="4">
        <f t="shared" si="49"/>
        <v>30</v>
      </c>
      <c r="N386" s="12">
        <f t="shared" si="50"/>
        <v>7437500</v>
      </c>
      <c r="O386" s="12">
        <f t="shared" si="51"/>
        <v>42840000</v>
      </c>
      <c r="P386" s="12">
        <f t="shared" si="52"/>
        <v>11900</v>
      </c>
      <c r="R386" s="23" t="s">
        <v>39</v>
      </c>
      <c r="S386" s="23" t="str">
        <f t="shared" si="53"/>
        <v>385,</v>
      </c>
      <c r="T386" s="23" t="str">
        <f t="shared" si="53"/>
        <v>101,</v>
      </c>
      <c r="U386" s="24">
        <f t="shared" si="54"/>
        <v>122</v>
      </c>
    </row>
    <row r="387" spans="1:21" x14ac:dyDescent="0.25">
      <c r="A387" s="3">
        <v>386</v>
      </c>
      <c r="B387" s="3">
        <v>122</v>
      </c>
      <c r="C387" s="3">
        <v>143</v>
      </c>
      <c r="D387" s="2">
        <f t="shared" si="55"/>
        <v>10985</v>
      </c>
      <c r="E387" s="2">
        <f t="shared" ref="E387:E431" si="56">(30*13^3)/12</f>
        <v>5492.5</v>
      </c>
      <c r="F387" s="2">
        <v>2380</v>
      </c>
      <c r="G387" s="2">
        <f t="shared" ref="G387:G431" si="57">F387/(2*(1+0.2))</f>
        <v>991.66666666666674</v>
      </c>
      <c r="H387" s="4">
        <f>VLOOKUP(B387,nodes!A:D,2,0)</f>
        <v>480</v>
      </c>
      <c r="I387" s="4">
        <f>VLOOKUP(B387,nodes!A:D,4,0)</f>
        <v>150</v>
      </c>
      <c r="J387" s="4">
        <f>VLOOKUP(C387,nodes!A:D,2,0)</f>
        <v>480</v>
      </c>
      <c r="K387" s="4">
        <f>VLOOKUP(C387,nodes!A:D,4,0)</f>
        <v>120</v>
      </c>
      <c r="L387" s="4">
        <f t="shared" ref="L387:L431" si="58">((J387-H387)^2+(K387-I387)^2)^0.5</f>
        <v>30</v>
      </c>
      <c r="N387" s="12">
        <f t="shared" ref="N387:N431" si="59">12*2380*60*(25^3)/(300*12)</f>
        <v>7437500</v>
      </c>
      <c r="O387" s="12">
        <f t="shared" ref="O387:O431" si="60">12*2380*25*(60^3)/(300*12)</f>
        <v>42840000</v>
      </c>
      <c r="P387" s="12">
        <f t="shared" ref="P387:P431" si="61">2380*25*60/300</f>
        <v>11900</v>
      </c>
      <c r="R387" s="23" t="s">
        <v>39</v>
      </c>
      <c r="S387" s="23" t="str">
        <f t="shared" ref="S387:T431" si="62">A387&amp;","</f>
        <v>386,</v>
      </c>
      <c r="T387" s="23" t="str">
        <f t="shared" si="62"/>
        <v>122,</v>
      </c>
      <c r="U387" s="24">
        <f t="shared" ref="U387:U431" si="63">C387</f>
        <v>143</v>
      </c>
    </row>
    <row r="388" spans="1:21" x14ac:dyDescent="0.25">
      <c r="A388" s="3">
        <v>387</v>
      </c>
      <c r="B388" s="3">
        <v>143</v>
      </c>
      <c r="C388" s="3">
        <v>164</v>
      </c>
      <c r="D388" s="2">
        <f t="shared" si="55"/>
        <v>10985</v>
      </c>
      <c r="E388" s="2">
        <f t="shared" si="56"/>
        <v>5492.5</v>
      </c>
      <c r="F388" s="2">
        <v>2380</v>
      </c>
      <c r="G388" s="2">
        <f t="shared" si="57"/>
        <v>991.66666666666674</v>
      </c>
      <c r="H388" s="4">
        <f>VLOOKUP(B388,nodes!A:D,2,0)</f>
        <v>480</v>
      </c>
      <c r="I388" s="4">
        <f>VLOOKUP(B388,nodes!A:D,4,0)</f>
        <v>120</v>
      </c>
      <c r="J388" s="4">
        <f>VLOOKUP(C388,nodes!A:D,2,0)</f>
        <v>480</v>
      </c>
      <c r="K388" s="4">
        <f>VLOOKUP(C388,nodes!A:D,4,0)</f>
        <v>90</v>
      </c>
      <c r="L388" s="4">
        <f t="shared" si="58"/>
        <v>30</v>
      </c>
      <c r="N388" s="12">
        <f t="shared" si="59"/>
        <v>7437500</v>
      </c>
      <c r="O388" s="12">
        <f t="shared" si="60"/>
        <v>42840000</v>
      </c>
      <c r="P388" s="12">
        <f t="shared" si="61"/>
        <v>11900</v>
      </c>
      <c r="R388" s="23" t="s">
        <v>39</v>
      </c>
      <c r="S388" s="23" t="str">
        <f t="shared" si="62"/>
        <v>387,</v>
      </c>
      <c r="T388" s="23" t="str">
        <f t="shared" si="62"/>
        <v>143,</v>
      </c>
      <c r="U388" s="24">
        <f t="shared" si="63"/>
        <v>164</v>
      </c>
    </row>
    <row r="389" spans="1:21" x14ac:dyDescent="0.25">
      <c r="A389" s="3">
        <v>388</v>
      </c>
      <c r="B389" s="3">
        <v>164</v>
      </c>
      <c r="C389" s="3">
        <v>185</v>
      </c>
      <c r="D389" s="2">
        <f t="shared" si="55"/>
        <v>10985</v>
      </c>
      <c r="E389" s="2">
        <f t="shared" si="56"/>
        <v>5492.5</v>
      </c>
      <c r="F389" s="2">
        <v>2380</v>
      </c>
      <c r="G389" s="2">
        <f t="shared" si="57"/>
        <v>991.66666666666674</v>
      </c>
      <c r="H389" s="4">
        <f>VLOOKUP(B389,nodes!A:D,2,0)</f>
        <v>480</v>
      </c>
      <c r="I389" s="4">
        <f>VLOOKUP(B389,nodes!A:D,4,0)</f>
        <v>90</v>
      </c>
      <c r="J389" s="4">
        <f>VLOOKUP(C389,nodes!A:D,2,0)</f>
        <v>480</v>
      </c>
      <c r="K389" s="4">
        <f>VLOOKUP(C389,nodes!A:D,4,0)</f>
        <v>60</v>
      </c>
      <c r="L389" s="4">
        <f t="shared" si="58"/>
        <v>30</v>
      </c>
      <c r="N389" s="12">
        <f t="shared" si="59"/>
        <v>7437500</v>
      </c>
      <c r="O389" s="12">
        <f t="shared" si="60"/>
        <v>42840000</v>
      </c>
      <c r="P389" s="12">
        <f t="shared" si="61"/>
        <v>11900</v>
      </c>
      <c r="R389" s="23" t="s">
        <v>39</v>
      </c>
      <c r="S389" s="23" t="str">
        <f t="shared" si="62"/>
        <v>388,</v>
      </c>
      <c r="T389" s="23" t="str">
        <f t="shared" si="62"/>
        <v>164,</v>
      </c>
      <c r="U389" s="24">
        <f t="shared" si="63"/>
        <v>185</v>
      </c>
    </row>
    <row r="390" spans="1:21" x14ac:dyDescent="0.25">
      <c r="A390" s="3">
        <v>389</v>
      </c>
      <c r="B390" s="3">
        <v>185</v>
      </c>
      <c r="C390" s="3">
        <v>206</v>
      </c>
      <c r="D390" s="2">
        <f t="shared" si="55"/>
        <v>10985</v>
      </c>
      <c r="E390" s="2">
        <f t="shared" si="56"/>
        <v>5492.5</v>
      </c>
      <c r="F390" s="2">
        <v>2380</v>
      </c>
      <c r="G390" s="2">
        <f t="shared" si="57"/>
        <v>991.66666666666674</v>
      </c>
      <c r="H390" s="4">
        <f>VLOOKUP(B390,nodes!A:D,2,0)</f>
        <v>480</v>
      </c>
      <c r="I390" s="4">
        <f>VLOOKUP(B390,nodes!A:D,4,0)</f>
        <v>60</v>
      </c>
      <c r="J390" s="4">
        <f>VLOOKUP(C390,nodes!A:D,2,0)</f>
        <v>480</v>
      </c>
      <c r="K390" s="4">
        <f>VLOOKUP(C390,nodes!A:D,4,0)</f>
        <v>30</v>
      </c>
      <c r="L390" s="4">
        <f t="shared" si="58"/>
        <v>30</v>
      </c>
      <c r="N390" s="12">
        <f t="shared" si="59"/>
        <v>7437500</v>
      </c>
      <c r="O390" s="12">
        <f t="shared" si="60"/>
        <v>42840000</v>
      </c>
      <c r="P390" s="12">
        <f t="shared" si="61"/>
        <v>11900</v>
      </c>
      <c r="R390" s="23" t="s">
        <v>39</v>
      </c>
      <c r="S390" s="23" t="str">
        <f t="shared" si="62"/>
        <v>389,</v>
      </c>
      <c r="T390" s="23" t="str">
        <f t="shared" si="62"/>
        <v>185,</v>
      </c>
      <c r="U390" s="24">
        <f t="shared" si="63"/>
        <v>206</v>
      </c>
    </row>
    <row r="391" spans="1:21" x14ac:dyDescent="0.25">
      <c r="A391" s="3">
        <v>390</v>
      </c>
      <c r="B391" s="3">
        <v>206</v>
      </c>
      <c r="C391" s="3">
        <v>227</v>
      </c>
      <c r="D391" s="2">
        <f t="shared" si="55"/>
        <v>10985</v>
      </c>
      <c r="E391" s="2">
        <f t="shared" si="56"/>
        <v>5492.5</v>
      </c>
      <c r="F391" s="2">
        <v>2380</v>
      </c>
      <c r="G391" s="2">
        <f t="shared" si="57"/>
        <v>991.66666666666674</v>
      </c>
      <c r="H391" s="4">
        <f>VLOOKUP(B391,nodes!A:D,2,0)</f>
        <v>480</v>
      </c>
      <c r="I391" s="4">
        <f>VLOOKUP(B391,nodes!A:D,4,0)</f>
        <v>30</v>
      </c>
      <c r="J391" s="4">
        <f>VLOOKUP(C391,nodes!A:D,2,0)</f>
        <v>480</v>
      </c>
      <c r="K391" s="4">
        <f>VLOOKUP(C391,nodes!A:D,4,0)</f>
        <v>0</v>
      </c>
      <c r="L391" s="4">
        <f t="shared" si="58"/>
        <v>30</v>
      </c>
      <c r="N391" s="12">
        <f t="shared" si="59"/>
        <v>7437500</v>
      </c>
      <c r="O391" s="12">
        <f t="shared" si="60"/>
        <v>42840000</v>
      </c>
      <c r="P391" s="12">
        <f t="shared" si="61"/>
        <v>11900</v>
      </c>
      <c r="R391" s="23" t="s">
        <v>39</v>
      </c>
      <c r="S391" s="23" t="str">
        <f t="shared" si="62"/>
        <v>390,</v>
      </c>
      <c r="T391" s="23" t="str">
        <f t="shared" si="62"/>
        <v>206,</v>
      </c>
      <c r="U391" s="24">
        <f t="shared" si="63"/>
        <v>227</v>
      </c>
    </row>
    <row r="392" spans="1:21" x14ac:dyDescent="0.25">
      <c r="A392" s="3">
        <v>391</v>
      </c>
      <c r="B392" s="3">
        <v>18</v>
      </c>
      <c r="C392" s="3">
        <v>39</v>
      </c>
      <c r="D392" s="2">
        <f t="shared" si="55"/>
        <v>10985</v>
      </c>
      <c r="E392" s="2">
        <f t="shared" si="56"/>
        <v>5492.5</v>
      </c>
      <c r="F392" s="2">
        <v>2380</v>
      </c>
      <c r="G392" s="2">
        <f t="shared" si="57"/>
        <v>991.66666666666674</v>
      </c>
      <c r="H392" s="4">
        <f>VLOOKUP(B392,nodes!A:D,2,0)</f>
        <v>509.99999999999994</v>
      </c>
      <c r="I392" s="4">
        <f>VLOOKUP(B392,nodes!A:D,4,0)</f>
        <v>300</v>
      </c>
      <c r="J392" s="4">
        <f>VLOOKUP(C392,nodes!A:D,2,0)</f>
        <v>509.99999999999994</v>
      </c>
      <c r="K392" s="4">
        <f>VLOOKUP(C392,nodes!A:D,4,0)</f>
        <v>270</v>
      </c>
      <c r="L392" s="4">
        <f t="shared" si="58"/>
        <v>30</v>
      </c>
      <c r="N392" s="12">
        <f t="shared" si="59"/>
        <v>7437500</v>
      </c>
      <c r="O392" s="12">
        <f t="shared" si="60"/>
        <v>42840000</v>
      </c>
      <c r="P392" s="12">
        <f t="shared" si="61"/>
        <v>11900</v>
      </c>
      <c r="R392" s="23" t="s">
        <v>39</v>
      </c>
      <c r="S392" s="23" t="str">
        <f t="shared" si="62"/>
        <v>391,</v>
      </c>
      <c r="T392" s="23" t="str">
        <f t="shared" si="62"/>
        <v>18,</v>
      </c>
      <c r="U392" s="24">
        <f t="shared" si="63"/>
        <v>39</v>
      </c>
    </row>
    <row r="393" spans="1:21" x14ac:dyDescent="0.25">
      <c r="A393" s="3">
        <v>392</v>
      </c>
      <c r="B393" s="3">
        <v>39</v>
      </c>
      <c r="C393" s="3">
        <v>60</v>
      </c>
      <c r="D393" s="2">
        <f t="shared" si="55"/>
        <v>10985</v>
      </c>
      <c r="E393" s="2">
        <f t="shared" si="56"/>
        <v>5492.5</v>
      </c>
      <c r="F393" s="2">
        <v>2380</v>
      </c>
      <c r="G393" s="2">
        <f t="shared" si="57"/>
        <v>991.66666666666674</v>
      </c>
      <c r="H393" s="4">
        <f>VLOOKUP(B393,nodes!A:D,2,0)</f>
        <v>509.99999999999994</v>
      </c>
      <c r="I393" s="4">
        <f>VLOOKUP(B393,nodes!A:D,4,0)</f>
        <v>270</v>
      </c>
      <c r="J393" s="4">
        <f>VLOOKUP(C393,nodes!A:D,2,0)</f>
        <v>509.99999999999994</v>
      </c>
      <c r="K393" s="4">
        <f>VLOOKUP(C393,nodes!A:D,4,0)</f>
        <v>240</v>
      </c>
      <c r="L393" s="4">
        <f t="shared" si="58"/>
        <v>30</v>
      </c>
      <c r="N393" s="12">
        <f t="shared" si="59"/>
        <v>7437500</v>
      </c>
      <c r="O393" s="12">
        <f t="shared" si="60"/>
        <v>42840000</v>
      </c>
      <c r="P393" s="12">
        <f t="shared" si="61"/>
        <v>11900</v>
      </c>
      <c r="R393" s="23" t="s">
        <v>39</v>
      </c>
      <c r="S393" s="23" t="str">
        <f t="shared" si="62"/>
        <v>392,</v>
      </c>
      <c r="T393" s="23" t="str">
        <f t="shared" si="62"/>
        <v>39,</v>
      </c>
      <c r="U393" s="24">
        <f t="shared" si="63"/>
        <v>60</v>
      </c>
    </row>
    <row r="394" spans="1:21" x14ac:dyDescent="0.25">
      <c r="A394" s="3">
        <v>393</v>
      </c>
      <c r="B394" s="3">
        <v>60</v>
      </c>
      <c r="C394" s="3">
        <v>81</v>
      </c>
      <c r="D394" s="2">
        <f t="shared" si="55"/>
        <v>10985</v>
      </c>
      <c r="E394" s="2">
        <f t="shared" si="56"/>
        <v>5492.5</v>
      </c>
      <c r="F394" s="2">
        <v>2380</v>
      </c>
      <c r="G394" s="2">
        <f t="shared" si="57"/>
        <v>991.66666666666674</v>
      </c>
      <c r="H394" s="4">
        <f>VLOOKUP(B394,nodes!A:D,2,0)</f>
        <v>509.99999999999994</v>
      </c>
      <c r="I394" s="4">
        <f>VLOOKUP(B394,nodes!A:D,4,0)</f>
        <v>240</v>
      </c>
      <c r="J394" s="4">
        <f>VLOOKUP(C394,nodes!A:D,2,0)</f>
        <v>509.99999999999994</v>
      </c>
      <c r="K394" s="4">
        <f>VLOOKUP(C394,nodes!A:D,4,0)</f>
        <v>210</v>
      </c>
      <c r="L394" s="4">
        <f t="shared" si="58"/>
        <v>30</v>
      </c>
      <c r="N394" s="12">
        <f t="shared" si="59"/>
        <v>7437500</v>
      </c>
      <c r="O394" s="12">
        <f t="shared" si="60"/>
        <v>42840000</v>
      </c>
      <c r="P394" s="12">
        <f t="shared" si="61"/>
        <v>11900</v>
      </c>
      <c r="R394" s="23" t="s">
        <v>39</v>
      </c>
      <c r="S394" s="23" t="str">
        <f t="shared" si="62"/>
        <v>393,</v>
      </c>
      <c r="T394" s="23" t="str">
        <f t="shared" si="62"/>
        <v>60,</v>
      </c>
      <c r="U394" s="24">
        <f t="shared" si="63"/>
        <v>81</v>
      </c>
    </row>
    <row r="395" spans="1:21" x14ac:dyDescent="0.25">
      <c r="A395" s="3">
        <v>394</v>
      </c>
      <c r="B395" s="3">
        <v>81</v>
      </c>
      <c r="C395" s="3">
        <v>102</v>
      </c>
      <c r="D395" s="2">
        <f t="shared" si="55"/>
        <v>10985</v>
      </c>
      <c r="E395" s="2">
        <f t="shared" si="56"/>
        <v>5492.5</v>
      </c>
      <c r="F395" s="2">
        <v>2380</v>
      </c>
      <c r="G395" s="2">
        <f t="shared" si="57"/>
        <v>991.66666666666674</v>
      </c>
      <c r="H395" s="4">
        <f>VLOOKUP(B395,nodes!A:D,2,0)</f>
        <v>509.99999999999994</v>
      </c>
      <c r="I395" s="4">
        <f>VLOOKUP(B395,nodes!A:D,4,0)</f>
        <v>210</v>
      </c>
      <c r="J395" s="4">
        <f>VLOOKUP(C395,nodes!A:D,2,0)</f>
        <v>509.99999999999994</v>
      </c>
      <c r="K395" s="4">
        <f>VLOOKUP(C395,nodes!A:D,4,0)</f>
        <v>180</v>
      </c>
      <c r="L395" s="4">
        <f t="shared" si="58"/>
        <v>30</v>
      </c>
      <c r="N395" s="12">
        <f t="shared" si="59"/>
        <v>7437500</v>
      </c>
      <c r="O395" s="12">
        <f t="shared" si="60"/>
        <v>42840000</v>
      </c>
      <c r="P395" s="12">
        <f t="shared" si="61"/>
        <v>11900</v>
      </c>
      <c r="R395" s="23" t="s">
        <v>39</v>
      </c>
      <c r="S395" s="23" t="str">
        <f t="shared" si="62"/>
        <v>394,</v>
      </c>
      <c r="T395" s="23" t="str">
        <f t="shared" si="62"/>
        <v>81,</v>
      </c>
      <c r="U395" s="24">
        <f t="shared" si="63"/>
        <v>102</v>
      </c>
    </row>
    <row r="396" spans="1:21" x14ac:dyDescent="0.25">
      <c r="A396" s="3">
        <v>395</v>
      </c>
      <c r="B396" s="3">
        <v>102</v>
      </c>
      <c r="C396" s="3">
        <v>123</v>
      </c>
      <c r="D396" s="2">
        <f t="shared" si="55"/>
        <v>10985</v>
      </c>
      <c r="E396" s="2">
        <f t="shared" si="56"/>
        <v>5492.5</v>
      </c>
      <c r="F396" s="2">
        <v>2380</v>
      </c>
      <c r="G396" s="2">
        <f t="shared" si="57"/>
        <v>991.66666666666674</v>
      </c>
      <c r="H396" s="4">
        <f>VLOOKUP(B396,nodes!A:D,2,0)</f>
        <v>509.99999999999994</v>
      </c>
      <c r="I396" s="4">
        <f>VLOOKUP(B396,nodes!A:D,4,0)</f>
        <v>180</v>
      </c>
      <c r="J396" s="4">
        <f>VLOOKUP(C396,nodes!A:D,2,0)</f>
        <v>509.99999999999994</v>
      </c>
      <c r="K396" s="4">
        <f>VLOOKUP(C396,nodes!A:D,4,0)</f>
        <v>150</v>
      </c>
      <c r="L396" s="4">
        <f t="shared" si="58"/>
        <v>30</v>
      </c>
      <c r="N396" s="12">
        <f t="shared" si="59"/>
        <v>7437500</v>
      </c>
      <c r="O396" s="12">
        <f t="shared" si="60"/>
        <v>42840000</v>
      </c>
      <c r="P396" s="12">
        <f t="shared" si="61"/>
        <v>11900</v>
      </c>
      <c r="R396" s="23" t="s">
        <v>39</v>
      </c>
      <c r="S396" s="23" t="str">
        <f t="shared" si="62"/>
        <v>395,</v>
      </c>
      <c r="T396" s="23" t="str">
        <f t="shared" si="62"/>
        <v>102,</v>
      </c>
      <c r="U396" s="24">
        <f t="shared" si="63"/>
        <v>123</v>
      </c>
    </row>
    <row r="397" spans="1:21" x14ac:dyDescent="0.25">
      <c r="A397" s="3">
        <v>396</v>
      </c>
      <c r="B397" s="3">
        <v>123</v>
      </c>
      <c r="C397" s="3">
        <v>144</v>
      </c>
      <c r="D397" s="2">
        <f t="shared" si="55"/>
        <v>10985</v>
      </c>
      <c r="E397" s="2">
        <f t="shared" si="56"/>
        <v>5492.5</v>
      </c>
      <c r="F397" s="2">
        <v>2380</v>
      </c>
      <c r="G397" s="2">
        <f t="shared" si="57"/>
        <v>991.66666666666674</v>
      </c>
      <c r="H397" s="4">
        <f>VLOOKUP(B397,nodes!A:D,2,0)</f>
        <v>509.99999999999994</v>
      </c>
      <c r="I397" s="4">
        <f>VLOOKUP(B397,nodes!A:D,4,0)</f>
        <v>150</v>
      </c>
      <c r="J397" s="4">
        <f>VLOOKUP(C397,nodes!A:D,2,0)</f>
        <v>509.99999999999994</v>
      </c>
      <c r="K397" s="4">
        <f>VLOOKUP(C397,nodes!A:D,4,0)</f>
        <v>120</v>
      </c>
      <c r="L397" s="4">
        <f t="shared" si="58"/>
        <v>30</v>
      </c>
      <c r="N397" s="12">
        <f t="shared" si="59"/>
        <v>7437500</v>
      </c>
      <c r="O397" s="12">
        <f t="shared" si="60"/>
        <v>42840000</v>
      </c>
      <c r="P397" s="12">
        <f t="shared" si="61"/>
        <v>11900</v>
      </c>
      <c r="R397" s="23" t="s">
        <v>39</v>
      </c>
      <c r="S397" s="23" t="str">
        <f t="shared" si="62"/>
        <v>396,</v>
      </c>
      <c r="T397" s="23" t="str">
        <f t="shared" si="62"/>
        <v>123,</v>
      </c>
      <c r="U397" s="24">
        <f t="shared" si="63"/>
        <v>144</v>
      </c>
    </row>
    <row r="398" spans="1:21" x14ac:dyDescent="0.25">
      <c r="A398" s="3">
        <v>397</v>
      </c>
      <c r="B398" s="3">
        <v>144</v>
      </c>
      <c r="C398" s="3">
        <v>165</v>
      </c>
      <c r="D398" s="2">
        <f t="shared" si="55"/>
        <v>10985</v>
      </c>
      <c r="E398" s="2">
        <f t="shared" si="56"/>
        <v>5492.5</v>
      </c>
      <c r="F398" s="2">
        <v>2380</v>
      </c>
      <c r="G398" s="2">
        <f t="shared" si="57"/>
        <v>991.66666666666674</v>
      </c>
      <c r="H398" s="4">
        <f>VLOOKUP(B398,nodes!A:D,2,0)</f>
        <v>509.99999999999994</v>
      </c>
      <c r="I398" s="4">
        <f>VLOOKUP(B398,nodes!A:D,4,0)</f>
        <v>120</v>
      </c>
      <c r="J398" s="4">
        <f>VLOOKUP(C398,nodes!A:D,2,0)</f>
        <v>509.99999999999994</v>
      </c>
      <c r="K398" s="4">
        <f>VLOOKUP(C398,nodes!A:D,4,0)</f>
        <v>90</v>
      </c>
      <c r="L398" s="4">
        <f t="shared" si="58"/>
        <v>30</v>
      </c>
      <c r="N398" s="12">
        <f t="shared" si="59"/>
        <v>7437500</v>
      </c>
      <c r="O398" s="12">
        <f t="shared" si="60"/>
        <v>42840000</v>
      </c>
      <c r="P398" s="12">
        <f t="shared" si="61"/>
        <v>11900</v>
      </c>
      <c r="R398" s="23" t="s">
        <v>39</v>
      </c>
      <c r="S398" s="23" t="str">
        <f t="shared" si="62"/>
        <v>397,</v>
      </c>
      <c r="T398" s="23" t="str">
        <f t="shared" si="62"/>
        <v>144,</v>
      </c>
      <c r="U398" s="24">
        <f t="shared" si="63"/>
        <v>165</v>
      </c>
    </row>
    <row r="399" spans="1:21" x14ac:dyDescent="0.25">
      <c r="A399" s="3">
        <v>398</v>
      </c>
      <c r="B399" s="3">
        <v>165</v>
      </c>
      <c r="C399" s="3">
        <v>186</v>
      </c>
      <c r="D399" s="2">
        <f t="shared" si="55"/>
        <v>10985</v>
      </c>
      <c r="E399" s="2">
        <f t="shared" si="56"/>
        <v>5492.5</v>
      </c>
      <c r="F399" s="2">
        <v>2380</v>
      </c>
      <c r="G399" s="2">
        <f t="shared" si="57"/>
        <v>991.66666666666674</v>
      </c>
      <c r="H399" s="4">
        <f>VLOOKUP(B399,nodes!A:D,2,0)</f>
        <v>509.99999999999994</v>
      </c>
      <c r="I399" s="4">
        <f>VLOOKUP(B399,nodes!A:D,4,0)</f>
        <v>90</v>
      </c>
      <c r="J399" s="4">
        <f>VLOOKUP(C399,nodes!A:D,2,0)</f>
        <v>509.99999999999994</v>
      </c>
      <c r="K399" s="4">
        <f>VLOOKUP(C399,nodes!A:D,4,0)</f>
        <v>60</v>
      </c>
      <c r="L399" s="4">
        <f t="shared" si="58"/>
        <v>30</v>
      </c>
      <c r="N399" s="12">
        <f t="shared" si="59"/>
        <v>7437500</v>
      </c>
      <c r="O399" s="12">
        <f t="shared" si="60"/>
        <v>42840000</v>
      </c>
      <c r="P399" s="12">
        <f t="shared" si="61"/>
        <v>11900</v>
      </c>
      <c r="R399" s="23" t="s">
        <v>39</v>
      </c>
      <c r="S399" s="23" t="str">
        <f t="shared" si="62"/>
        <v>398,</v>
      </c>
      <c r="T399" s="23" t="str">
        <f t="shared" si="62"/>
        <v>165,</v>
      </c>
      <c r="U399" s="24">
        <f t="shared" si="63"/>
        <v>186</v>
      </c>
    </row>
    <row r="400" spans="1:21" x14ac:dyDescent="0.25">
      <c r="A400" s="3">
        <v>399</v>
      </c>
      <c r="B400" s="3">
        <v>186</v>
      </c>
      <c r="C400" s="3">
        <v>207</v>
      </c>
      <c r="D400" s="2">
        <f t="shared" si="55"/>
        <v>10985</v>
      </c>
      <c r="E400" s="2">
        <f t="shared" si="56"/>
        <v>5492.5</v>
      </c>
      <c r="F400" s="2">
        <v>2380</v>
      </c>
      <c r="G400" s="2">
        <f t="shared" si="57"/>
        <v>991.66666666666674</v>
      </c>
      <c r="H400" s="4">
        <f>VLOOKUP(B400,nodes!A:D,2,0)</f>
        <v>509.99999999999994</v>
      </c>
      <c r="I400" s="4">
        <f>VLOOKUP(B400,nodes!A:D,4,0)</f>
        <v>60</v>
      </c>
      <c r="J400" s="4">
        <f>VLOOKUP(C400,nodes!A:D,2,0)</f>
        <v>509.99999999999994</v>
      </c>
      <c r="K400" s="4">
        <f>VLOOKUP(C400,nodes!A:D,4,0)</f>
        <v>30</v>
      </c>
      <c r="L400" s="4">
        <f t="shared" si="58"/>
        <v>30</v>
      </c>
      <c r="N400" s="12">
        <f t="shared" si="59"/>
        <v>7437500</v>
      </c>
      <c r="O400" s="12">
        <f t="shared" si="60"/>
        <v>42840000</v>
      </c>
      <c r="P400" s="12">
        <f t="shared" si="61"/>
        <v>11900</v>
      </c>
      <c r="R400" s="23" t="s">
        <v>39</v>
      </c>
      <c r="S400" s="23" t="str">
        <f t="shared" si="62"/>
        <v>399,</v>
      </c>
      <c r="T400" s="23" t="str">
        <f t="shared" si="62"/>
        <v>186,</v>
      </c>
      <c r="U400" s="24">
        <f t="shared" si="63"/>
        <v>207</v>
      </c>
    </row>
    <row r="401" spans="1:21" x14ac:dyDescent="0.25">
      <c r="A401" s="3">
        <v>400</v>
      </c>
      <c r="B401" s="3">
        <v>207</v>
      </c>
      <c r="C401" s="3">
        <v>228</v>
      </c>
      <c r="D401" s="2">
        <f t="shared" si="55"/>
        <v>10985</v>
      </c>
      <c r="E401" s="2">
        <f t="shared" si="56"/>
        <v>5492.5</v>
      </c>
      <c r="F401" s="2">
        <v>2380</v>
      </c>
      <c r="G401" s="2">
        <f t="shared" si="57"/>
        <v>991.66666666666674</v>
      </c>
      <c r="H401" s="4">
        <f>VLOOKUP(B401,nodes!A:D,2,0)</f>
        <v>509.99999999999994</v>
      </c>
      <c r="I401" s="4">
        <f>VLOOKUP(B401,nodes!A:D,4,0)</f>
        <v>30</v>
      </c>
      <c r="J401" s="4">
        <f>VLOOKUP(C401,nodes!A:D,2,0)</f>
        <v>509.99999999999994</v>
      </c>
      <c r="K401" s="4">
        <f>VLOOKUP(C401,nodes!A:D,4,0)</f>
        <v>0</v>
      </c>
      <c r="L401" s="4">
        <f t="shared" si="58"/>
        <v>30</v>
      </c>
      <c r="N401" s="12">
        <f t="shared" si="59"/>
        <v>7437500</v>
      </c>
      <c r="O401" s="12">
        <f t="shared" si="60"/>
        <v>42840000</v>
      </c>
      <c r="P401" s="12">
        <f t="shared" si="61"/>
        <v>11900</v>
      </c>
      <c r="R401" s="23" t="s">
        <v>39</v>
      </c>
      <c r="S401" s="23" t="str">
        <f t="shared" si="62"/>
        <v>400,</v>
      </c>
      <c r="T401" s="23" t="str">
        <f t="shared" si="62"/>
        <v>207,</v>
      </c>
      <c r="U401" s="24">
        <f t="shared" si="63"/>
        <v>228</v>
      </c>
    </row>
    <row r="402" spans="1:21" x14ac:dyDescent="0.25">
      <c r="A402" s="3">
        <v>401</v>
      </c>
      <c r="B402" s="3">
        <v>19</v>
      </c>
      <c r="C402" s="3">
        <v>40</v>
      </c>
      <c r="D402" s="2">
        <f t="shared" si="55"/>
        <v>10985</v>
      </c>
      <c r="E402" s="2">
        <f t="shared" si="56"/>
        <v>5492.5</v>
      </c>
      <c r="F402" s="2">
        <v>2380</v>
      </c>
      <c r="G402" s="2">
        <f t="shared" si="57"/>
        <v>991.66666666666674</v>
      </c>
      <c r="H402" s="4">
        <f>VLOOKUP(B402,nodes!A:D,2,0)</f>
        <v>540</v>
      </c>
      <c r="I402" s="4">
        <f>VLOOKUP(B402,nodes!A:D,4,0)</f>
        <v>300</v>
      </c>
      <c r="J402" s="4">
        <f>VLOOKUP(C402,nodes!A:D,2,0)</f>
        <v>540</v>
      </c>
      <c r="K402" s="4">
        <f>VLOOKUP(C402,nodes!A:D,4,0)</f>
        <v>270</v>
      </c>
      <c r="L402" s="4">
        <f t="shared" si="58"/>
        <v>30</v>
      </c>
      <c r="N402" s="12">
        <f t="shared" si="59"/>
        <v>7437500</v>
      </c>
      <c r="O402" s="12">
        <f t="shared" si="60"/>
        <v>42840000</v>
      </c>
      <c r="P402" s="12">
        <f t="shared" si="61"/>
        <v>11900</v>
      </c>
      <c r="R402" s="23" t="s">
        <v>39</v>
      </c>
      <c r="S402" s="23" t="str">
        <f t="shared" si="62"/>
        <v>401,</v>
      </c>
      <c r="T402" s="23" t="str">
        <f t="shared" si="62"/>
        <v>19,</v>
      </c>
      <c r="U402" s="24">
        <f t="shared" si="63"/>
        <v>40</v>
      </c>
    </row>
    <row r="403" spans="1:21" x14ac:dyDescent="0.25">
      <c r="A403" s="3">
        <v>402</v>
      </c>
      <c r="B403" s="3">
        <v>40</v>
      </c>
      <c r="C403" s="3">
        <v>61</v>
      </c>
      <c r="D403" s="2">
        <f t="shared" si="55"/>
        <v>10985</v>
      </c>
      <c r="E403" s="2">
        <f t="shared" si="56"/>
        <v>5492.5</v>
      </c>
      <c r="F403" s="2">
        <v>2380</v>
      </c>
      <c r="G403" s="2">
        <f t="shared" si="57"/>
        <v>991.66666666666674</v>
      </c>
      <c r="H403" s="4">
        <f>VLOOKUP(B403,nodes!A:D,2,0)</f>
        <v>540</v>
      </c>
      <c r="I403" s="4">
        <f>VLOOKUP(B403,nodes!A:D,4,0)</f>
        <v>270</v>
      </c>
      <c r="J403" s="4">
        <f>VLOOKUP(C403,nodes!A:D,2,0)</f>
        <v>540</v>
      </c>
      <c r="K403" s="4">
        <f>VLOOKUP(C403,nodes!A:D,4,0)</f>
        <v>240</v>
      </c>
      <c r="L403" s="4">
        <f t="shared" si="58"/>
        <v>30</v>
      </c>
      <c r="N403" s="12">
        <f t="shared" si="59"/>
        <v>7437500</v>
      </c>
      <c r="O403" s="12">
        <f t="shared" si="60"/>
        <v>42840000</v>
      </c>
      <c r="P403" s="12">
        <f t="shared" si="61"/>
        <v>11900</v>
      </c>
      <c r="R403" s="23" t="s">
        <v>39</v>
      </c>
      <c r="S403" s="23" t="str">
        <f t="shared" si="62"/>
        <v>402,</v>
      </c>
      <c r="T403" s="23" t="str">
        <f t="shared" si="62"/>
        <v>40,</v>
      </c>
      <c r="U403" s="24">
        <f t="shared" si="63"/>
        <v>61</v>
      </c>
    </row>
    <row r="404" spans="1:21" x14ac:dyDescent="0.25">
      <c r="A404" s="3">
        <v>403</v>
      </c>
      <c r="B404" s="3">
        <v>61</v>
      </c>
      <c r="C404" s="3">
        <v>82</v>
      </c>
      <c r="D404" s="2">
        <f t="shared" si="55"/>
        <v>10985</v>
      </c>
      <c r="E404" s="2">
        <f t="shared" si="56"/>
        <v>5492.5</v>
      </c>
      <c r="F404" s="2">
        <v>2380</v>
      </c>
      <c r="G404" s="2">
        <f t="shared" si="57"/>
        <v>991.66666666666674</v>
      </c>
      <c r="H404" s="4">
        <f>VLOOKUP(B404,nodes!A:D,2,0)</f>
        <v>540</v>
      </c>
      <c r="I404" s="4">
        <f>VLOOKUP(B404,nodes!A:D,4,0)</f>
        <v>240</v>
      </c>
      <c r="J404" s="4">
        <f>VLOOKUP(C404,nodes!A:D,2,0)</f>
        <v>540</v>
      </c>
      <c r="K404" s="4">
        <f>VLOOKUP(C404,nodes!A:D,4,0)</f>
        <v>210</v>
      </c>
      <c r="L404" s="4">
        <f t="shared" si="58"/>
        <v>30</v>
      </c>
      <c r="N404" s="12">
        <f t="shared" si="59"/>
        <v>7437500</v>
      </c>
      <c r="O404" s="12">
        <f t="shared" si="60"/>
        <v>42840000</v>
      </c>
      <c r="P404" s="12">
        <f t="shared" si="61"/>
        <v>11900</v>
      </c>
      <c r="R404" s="23" t="s">
        <v>39</v>
      </c>
      <c r="S404" s="23" t="str">
        <f t="shared" si="62"/>
        <v>403,</v>
      </c>
      <c r="T404" s="23" t="str">
        <f t="shared" si="62"/>
        <v>61,</v>
      </c>
      <c r="U404" s="24">
        <f t="shared" si="63"/>
        <v>82</v>
      </c>
    </row>
    <row r="405" spans="1:21" x14ac:dyDescent="0.25">
      <c r="A405" s="3">
        <v>404</v>
      </c>
      <c r="B405" s="3">
        <v>82</v>
      </c>
      <c r="C405" s="3">
        <v>103</v>
      </c>
      <c r="D405" s="2">
        <f t="shared" si="55"/>
        <v>10985</v>
      </c>
      <c r="E405" s="2">
        <f t="shared" si="56"/>
        <v>5492.5</v>
      </c>
      <c r="F405" s="2">
        <v>2380</v>
      </c>
      <c r="G405" s="2">
        <f t="shared" si="57"/>
        <v>991.66666666666674</v>
      </c>
      <c r="H405" s="4">
        <f>VLOOKUP(B405,nodes!A:D,2,0)</f>
        <v>540</v>
      </c>
      <c r="I405" s="4">
        <f>VLOOKUP(B405,nodes!A:D,4,0)</f>
        <v>210</v>
      </c>
      <c r="J405" s="4">
        <f>VLOOKUP(C405,nodes!A:D,2,0)</f>
        <v>540</v>
      </c>
      <c r="K405" s="4">
        <f>VLOOKUP(C405,nodes!A:D,4,0)</f>
        <v>180</v>
      </c>
      <c r="L405" s="4">
        <f t="shared" si="58"/>
        <v>30</v>
      </c>
      <c r="N405" s="12">
        <f t="shared" si="59"/>
        <v>7437500</v>
      </c>
      <c r="O405" s="12">
        <f t="shared" si="60"/>
        <v>42840000</v>
      </c>
      <c r="P405" s="12">
        <f t="shared" si="61"/>
        <v>11900</v>
      </c>
      <c r="R405" s="23" t="s">
        <v>39</v>
      </c>
      <c r="S405" s="23" t="str">
        <f t="shared" si="62"/>
        <v>404,</v>
      </c>
      <c r="T405" s="23" t="str">
        <f t="shared" si="62"/>
        <v>82,</v>
      </c>
      <c r="U405" s="24">
        <f t="shared" si="63"/>
        <v>103</v>
      </c>
    </row>
    <row r="406" spans="1:21" x14ac:dyDescent="0.25">
      <c r="A406" s="3">
        <v>405</v>
      </c>
      <c r="B406" s="3">
        <v>103</v>
      </c>
      <c r="C406" s="3">
        <v>124</v>
      </c>
      <c r="D406" s="2">
        <f t="shared" si="55"/>
        <v>10985</v>
      </c>
      <c r="E406" s="2">
        <f t="shared" si="56"/>
        <v>5492.5</v>
      </c>
      <c r="F406" s="2">
        <v>2380</v>
      </c>
      <c r="G406" s="2">
        <f t="shared" si="57"/>
        <v>991.66666666666674</v>
      </c>
      <c r="H406" s="4">
        <f>VLOOKUP(B406,nodes!A:D,2,0)</f>
        <v>540</v>
      </c>
      <c r="I406" s="4">
        <f>VLOOKUP(B406,nodes!A:D,4,0)</f>
        <v>180</v>
      </c>
      <c r="J406" s="4">
        <f>VLOOKUP(C406,nodes!A:D,2,0)</f>
        <v>540</v>
      </c>
      <c r="K406" s="4">
        <f>VLOOKUP(C406,nodes!A:D,4,0)</f>
        <v>150</v>
      </c>
      <c r="L406" s="4">
        <f t="shared" si="58"/>
        <v>30</v>
      </c>
      <c r="N406" s="12">
        <f t="shared" si="59"/>
        <v>7437500</v>
      </c>
      <c r="O406" s="12">
        <f t="shared" si="60"/>
        <v>42840000</v>
      </c>
      <c r="P406" s="12">
        <f t="shared" si="61"/>
        <v>11900</v>
      </c>
      <c r="R406" s="23" t="s">
        <v>39</v>
      </c>
      <c r="S406" s="23" t="str">
        <f t="shared" si="62"/>
        <v>405,</v>
      </c>
      <c r="T406" s="23" t="str">
        <f t="shared" si="62"/>
        <v>103,</v>
      </c>
      <c r="U406" s="24">
        <f t="shared" si="63"/>
        <v>124</v>
      </c>
    </row>
    <row r="407" spans="1:21" x14ac:dyDescent="0.25">
      <c r="A407" s="3">
        <v>406</v>
      </c>
      <c r="B407" s="3">
        <v>124</v>
      </c>
      <c r="C407" s="3">
        <v>145</v>
      </c>
      <c r="D407" s="2">
        <f t="shared" si="55"/>
        <v>10985</v>
      </c>
      <c r="E407" s="2">
        <f t="shared" si="56"/>
        <v>5492.5</v>
      </c>
      <c r="F407" s="2">
        <v>2380</v>
      </c>
      <c r="G407" s="2">
        <f t="shared" si="57"/>
        <v>991.66666666666674</v>
      </c>
      <c r="H407" s="4">
        <f>VLOOKUP(B407,nodes!A:D,2,0)</f>
        <v>540</v>
      </c>
      <c r="I407" s="4">
        <f>VLOOKUP(B407,nodes!A:D,4,0)</f>
        <v>150</v>
      </c>
      <c r="J407" s="4">
        <f>VLOOKUP(C407,nodes!A:D,2,0)</f>
        <v>540</v>
      </c>
      <c r="K407" s="4">
        <f>VLOOKUP(C407,nodes!A:D,4,0)</f>
        <v>120</v>
      </c>
      <c r="L407" s="4">
        <f t="shared" si="58"/>
        <v>30</v>
      </c>
      <c r="N407" s="12">
        <f t="shared" si="59"/>
        <v>7437500</v>
      </c>
      <c r="O407" s="12">
        <f t="shared" si="60"/>
        <v>42840000</v>
      </c>
      <c r="P407" s="12">
        <f t="shared" si="61"/>
        <v>11900</v>
      </c>
      <c r="R407" s="23" t="s">
        <v>39</v>
      </c>
      <c r="S407" s="23" t="str">
        <f t="shared" si="62"/>
        <v>406,</v>
      </c>
      <c r="T407" s="23" t="str">
        <f t="shared" si="62"/>
        <v>124,</v>
      </c>
      <c r="U407" s="24">
        <f t="shared" si="63"/>
        <v>145</v>
      </c>
    </row>
    <row r="408" spans="1:21" x14ac:dyDescent="0.25">
      <c r="A408" s="3">
        <v>407</v>
      </c>
      <c r="B408" s="3">
        <v>145</v>
      </c>
      <c r="C408" s="3">
        <v>166</v>
      </c>
      <c r="D408" s="2">
        <f t="shared" si="55"/>
        <v>10985</v>
      </c>
      <c r="E408" s="2">
        <f t="shared" si="56"/>
        <v>5492.5</v>
      </c>
      <c r="F408" s="2">
        <v>2380</v>
      </c>
      <c r="G408" s="2">
        <f t="shared" si="57"/>
        <v>991.66666666666674</v>
      </c>
      <c r="H408" s="4">
        <f>VLOOKUP(B408,nodes!A:D,2,0)</f>
        <v>540</v>
      </c>
      <c r="I408" s="4">
        <f>VLOOKUP(B408,nodes!A:D,4,0)</f>
        <v>120</v>
      </c>
      <c r="J408" s="4">
        <f>VLOOKUP(C408,nodes!A:D,2,0)</f>
        <v>540</v>
      </c>
      <c r="K408" s="4">
        <f>VLOOKUP(C408,nodes!A:D,4,0)</f>
        <v>90</v>
      </c>
      <c r="L408" s="4">
        <f t="shared" si="58"/>
        <v>30</v>
      </c>
      <c r="N408" s="12">
        <f t="shared" si="59"/>
        <v>7437500</v>
      </c>
      <c r="O408" s="12">
        <f t="shared" si="60"/>
        <v>42840000</v>
      </c>
      <c r="P408" s="12">
        <f t="shared" si="61"/>
        <v>11900</v>
      </c>
      <c r="R408" s="23" t="s">
        <v>39</v>
      </c>
      <c r="S408" s="23" t="str">
        <f t="shared" si="62"/>
        <v>407,</v>
      </c>
      <c r="T408" s="23" t="str">
        <f t="shared" si="62"/>
        <v>145,</v>
      </c>
      <c r="U408" s="24">
        <f t="shared" si="63"/>
        <v>166</v>
      </c>
    </row>
    <row r="409" spans="1:21" x14ac:dyDescent="0.25">
      <c r="A409" s="3">
        <v>408</v>
      </c>
      <c r="B409" s="3">
        <v>166</v>
      </c>
      <c r="C409" s="3">
        <v>187</v>
      </c>
      <c r="D409" s="2">
        <f t="shared" si="55"/>
        <v>10985</v>
      </c>
      <c r="E409" s="2">
        <f t="shared" si="56"/>
        <v>5492.5</v>
      </c>
      <c r="F409" s="2">
        <v>2380</v>
      </c>
      <c r="G409" s="2">
        <f t="shared" si="57"/>
        <v>991.66666666666674</v>
      </c>
      <c r="H409" s="4">
        <f>VLOOKUP(B409,nodes!A:D,2,0)</f>
        <v>540</v>
      </c>
      <c r="I409" s="4">
        <f>VLOOKUP(B409,nodes!A:D,4,0)</f>
        <v>90</v>
      </c>
      <c r="J409" s="4">
        <f>VLOOKUP(C409,nodes!A:D,2,0)</f>
        <v>540</v>
      </c>
      <c r="K409" s="4">
        <f>VLOOKUP(C409,nodes!A:D,4,0)</f>
        <v>60</v>
      </c>
      <c r="L409" s="4">
        <f t="shared" si="58"/>
        <v>30</v>
      </c>
      <c r="N409" s="12">
        <f t="shared" si="59"/>
        <v>7437500</v>
      </c>
      <c r="O409" s="12">
        <f t="shared" si="60"/>
        <v>42840000</v>
      </c>
      <c r="P409" s="12">
        <f t="shared" si="61"/>
        <v>11900</v>
      </c>
      <c r="R409" s="23" t="s">
        <v>39</v>
      </c>
      <c r="S409" s="23" t="str">
        <f t="shared" si="62"/>
        <v>408,</v>
      </c>
      <c r="T409" s="23" t="str">
        <f t="shared" si="62"/>
        <v>166,</v>
      </c>
      <c r="U409" s="24">
        <f t="shared" si="63"/>
        <v>187</v>
      </c>
    </row>
    <row r="410" spans="1:21" x14ac:dyDescent="0.25">
      <c r="A410" s="3">
        <v>409</v>
      </c>
      <c r="B410" s="3">
        <v>187</v>
      </c>
      <c r="C410" s="3">
        <v>208</v>
      </c>
      <c r="D410" s="2">
        <f t="shared" si="55"/>
        <v>10985</v>
      </c>
      <c r="E410" s="2">
        <f t="shared" si="56"/>
        <v>5492.5</v>
      </c>
      <c r="F410" s="2">
        <v>2380</v>
      </c>
      <c r="G410" s="2">
        <f t="shared" si="57"/>
        <v>991.66666666666674</v>
      </c>
      <c r="H410" s="4">
        <f>VLOOKUP(B410,nodes!A:D,2,0)</f>
        <v>540</v>
      </c>
      <c r="I410" s="4">
        <f>VLOOKUP(B410,nodes!A:D,4,0)</f>
        <v>60</v>
      </c>
      <c r="J410" s="4">
        <f>VLOOKUP(C410,nodes!A:D,2,0)</f>
        <v>540</v>
      </c>
      <c r="K410" s="4">
        <f>VLOOKUP(C410,nodes!A:D,4,0)</f>
        <v>30</v>
      </c>
      <c r="L410" s="4">
        <f t="shared" si="58"/>
        <v>30</v>
      </c>
      <c r="N410" s="12">
        <f t="shared" si="59"/>
        <v>7437500</v>
      </c>
      <c r="O410" s="12">
        <f t="shared" si="60"/>
        <v>42840000</v>
      </c>
      <c r="P410" s="12">
        <f t="shared" si="61"/>
        <v>11900</v>
      </c>
      <c r="R410" s="23" t="s">
        <v>39</v>
      </c>
      <c r="S410" s="23" t="str">
        <f t="shared" si="62"/>
        <v>409,</v>
      </c>
      <c r="T410" s="23" t="str">
        <f t="shared" si="62"/>
        <v>187,</v>
      </c>
      <c r="U410" s="24">
        <f t="shared" si="63"/>
        <v>208</v>
      </c>
    </row>
    <row r="411" spans="1:21" x14ac:dyDescent="0.25">
      <c r="A411" s="3">
        <v>410</v>
      </c>
      <c r="B411" s="3">
        <v>208</v>
      </c>
      <c r="C411" s="3">
        <v>229</v>
      </c>
      <c r="D411" s="2">
        <f t="shared" si="55"/>
        <v>10985</v>
      </c>
      <c r="E411" s="2">
        <f t="shared" si="56"/>
        <v>5492.5</v>
      </c>
      <c r="F411" s="2">
        <v>2380</v>
      </c>
      <c r="G411" s="2">
        <f t="shared" si="57"/>
        <v>991.66666666666674</v>
      </c>
      <c r="H411" s="4">
        <f>VLOOKUP(B411,nodes!A:D,2,0)</f>
        <v>540</v>
      </c>
      <c r="I411" s="4">
        <f>VLOOKUP(B411,nodes!A:D,4,0)</f>
        <v>30</v>
      </c>
      <c r="J411" s="4">
        <f>VLOOKUP(C411,nodes!A:D,2,0)</f>
        <v>540</v>
      </c>
      <c r="K411" s="4">
        <f>VLOOKUP(C411,nodes!A:D,4,0)</f>
        <v>0</v>
      </c>
      <c r="L411" s="4">
        <f t="shared" si="58"/>
        <v>30</v>
      </c>
      <c r="N411" s="12">
        <f t="shared" si="59"/>
        <v>7437500</v>
      </c>
      <c r="O411" s="12">
        <f t="shared" si="60"/>
        <v>42840000</v>
      </c>
      <c r="P411" s="12">
        <f t="shared" si="61"/>
        <v>11900</v>
      </c>
      <c r="R411" s="23" t="s">
        <v>39</v>
      </c>
      <c r="S411" s="23" t="str">
        <f t="shared" si="62"/>
        <v>410,</v>
      </c>
      <c r="T411" s="23" t="str">
        <f t="shared" si="62"/>
        <v>208,</v>
      </c>
      <c r="U411" s="24">
        <f t="shared" si="63"/>
        <v>229</v>
      </c>
    </row>
    <row r="412" spans="1:21" x14ac:dyDescent="0.25">
      <c r="A412" s="3">
        <v>411</v>
      </c>
      <c r="B412" s="3">
        <v>20</v>
      </c>
      <c r="C412" s="3">
        <v>41</v>
      </c>
      <c r="D412" s="2">
        <f t="shared" si="55"/>
        <v>10985</v>
      </c>
      <c r="E412" s="2">
        <f t="shared" si="56"/>
        <v>5492.5</v>
      </c>
      <c r="F412" s="2">
        <v>2380</v>
      </c>
      <c r="G412" s="2">
        <f t="shared" si="57"/>
        <v>991.66666666666674</v>
      </c>
      <c r="H412" s="4">
        <f>VLOOKUP(B412,nodes!A:D,2,0)</f>
        <v>570</v>
      </c>
      <c r="I412" s="4">
        <f>VLOOKUP(B412,nodes!A:D,4,0)</f>
        <v>300</v>
      </c>
      <c r="J412" s="4">
        <f>VLOOKUP(C412,nodes!A:D,2,0)</f>
        <v>570</v>
      </c>
      <c r="K412" s="4">
        <f>VLOOKUP(C412,nodes!A:D,4,0)</f>
        <v>270</v>
      </c>
      <c r="L412" s="4">
        <f t="shared" si="58"/>
        <v>30</v>
      </c>
      <c r="N412" s="12">
        <f t="shared" si="59"/>
        <v>7437500</v>
      </c>
      <c r="O412" s="12">
        <f t="shared" si="60"/>
        <v>42840000</v>
      </c>
      <c r="P412" s="12">
        <f t="shared" si="61"/>
        <v>11900</v>
      </c>
      <c r="R412" s="23" t="s">
        <v>39</v>
      </c>
      <c r="S412" s="23" t="str">
        <f t="shared" si="62"/>
        <v>411,</v>
      </c>
      <c r="T412" s="23" t="str">
        <f t="shared" si="62"/>
        <v>20,</v>
      </c>
      <c r="U412" s="24">
        <f t="shared" si="63"/>
        <v>41</v>
      </c>
    </row>
    <row r="413" spans="1:21" x14ac:dyDescent="0.25">
      <c r="A413" s="3">
        <v>412</v>
      </c>
      <c r="B413" s="3">
        <v>41</v>
      </c>
      <c r="C413" s="3">
        <v>62</v>
      </c>
      <c r="D413" s="2">
        <f t="shared" si="55"/>
        <v>10985</v>
      </c>
      <c r="E413" s="2">
        <f t="shared" si="56"/>
        <v>5492.5</v>
      </c>
      <c r="F413" s="2">
        <v>2380</v>
      </c>
      <c r="G413" s="2">
        <f t="shared" si="57"/>
        <v>991.66666666666674</v>
      </c>
      <c r="H413" s="4">
        <f>VLOOKUP(B413,nodes!A:D,2,0)</f>
        <v>570</v>
      </c>
      <c r="I413" s="4">
        <f>VLOOKUP(B413,nodes!A:D,4,0)</f>
        <v>270</v>
      </c>
      <c r="J413" s="4">
        <f>VLOOKUP(C413,nodes!A:D,2,0)</f>
        <v>570</v>
      </c>
      <c r="K413" s="4">
        <f>VLOOKUP(C413,nodes!A:D,4,0)</f>
        <v>240</v>
      </c>
      <c r="L413" s="4">
        <f t="shared" si="58"/>
        <v>30</v>
      </c>
      <c r="N413" s="12">
        <f t="shared" si="59"/>
        <v>7437500</v>
      </c>
      <c r="O413" s="12">
        <f t="shared" si="60"/>
        <v>42840000</v>
      </c>
      <c r="P413" s="12">
        <f t="shared" si="61"/>
        <v>11900</v>
      </c>
      <c r="R413" s="23" t="s">
        <v>39</v>
      </c>
      <c r="S413" s="23" t="str">
        <f t="shared" si="62"/>
        <v>412,</v>
      </c>
      <c r="T413" s="23" t="str">
        <f t="shared" si="62"/>
        <v>41,</v>
      </c>
      <c r="U413" s="24">
        <f t="shared" si="63"/>
        <v>62</v>
      </c>
    </row>
    <row r="414" spans="1:21" x14ac:dyDescent="0.25">
      <c r="A414" s="3">
        <v>413</v>
      </c>
      <c r="B414" s="3">
        <v>62</v>
      </c>
      <c r="C414" s="3">
        <v>83</v>
      </c>
      <c r="D414" s="2">
        <f t="shared" si="55"/>
        <v>10985</v>
      </c>
      <c r="E414" s="2">
        <f t="shared" si="56"/>
        <v>5492.5</v>
      </c>
      <c r="F414" s="2">
        <v>2380</v>
      </c>
      <c r="G414" s="2">
        <f t="shared" si="57"/>
        <v>991.66666666666674</v>
      </c>
      <c r="H414" s="4">
        <f>VLOOKUP(B414,nodes!A:D,2,0)</f>
        <v>570</v>
      </c>
      <c r="I414" s="4">
        <f>VLOOKUP(B414,nodes!A:D,4,0)</f>
        <v>240</v>
      </c>
      <c r="J414" s="4">
        <f>VLOOKUP(C414,nodes!A:D,2,0)</f>
        <v>570</v>
      </c>
      <c r="K414" s="4">
        <f>VLOOKUP(C414,nodes!A:D,4,0)</f>
        <v>210</v>
      </c>
      <c r="L414" s="4">
        <f t="shared" si="58"/>
        <v>30</v>
      </c>
      <c r="N414" s="12">
        <f t="shared" si="59"/>
        <v>7437500</v>
      </c>
      <c r="O414" s="12">
        <f t="shared" si="60"/>
        <v>42840000</v>
      </c>
      <c r="P414" s="12">
        <f t="shared" si="61"/>
        <v>11900</v>
      </c>
      <c r="R414" s="23" t="s">
        <v>39</v>
      </c>
      <c r="S414" s="23" t="str">
        <f t="shared" si="62"/>
        <v>413,</v>
      </c>
      <c r="T414" s="23" t="str">
        <f t="shared" si="62"/>
        <v>62,</v>
      </c>
      <c r="U414" s="24">
        <f t="shared" si="63"/>
        <v>83</v>
      </c>
    </row>
    <row r="415" spans="1:21" x14ac:dyDescent="0.25">
      <c r="A415" s="3">
        <v>414</v>
      </c>
      <c r="B415" s="3">
        <v>83</v>
      </c>
      <c r="C415" s="3">
        <v>104</v>
      </c>
      <c r="D415" s="2">
        <f t="shared" si="55"/>
        <v>10985</v>
      </c>
      <c r="E415" s="2">
        <f t="shared" si="56"/>
        <v>5492.5</v>
      </c>
      <c r="F415" s="2">
        <v>2380</v>
      </c>
      <c r="G415" s="2">
        <f t="shared" si="57"/>
        <v>991.66666666666674</v>
      </c>
      <c r="H415" s="4">
        <f>VLOOKUP(B415,nodes!A:D,2,0)</f>
        <v>570</v>
      </c>
      <c r="I415" s="4">
        <f>VLOOKUP(B415,nodes!A:D,4,0)</f>
        <v>210</v>
      </c>
      <c r="J415" s="4">
        <f>VLOOKUP(C415,nodes!A:D,2,0)</f>
        <v>570</v>
      </c>
      <c r="K415" s="4">
        <f>VLOOKUP(C415,nodes!A:D,4,0)</f>
        <v>180</v>
      </c>
      <c r="L415" s="4">
        <f t="shared" si="58"/>
        <v>30</v>
      </c>
      <c r="N415" s="12">
        <f t="shared" si="59"/>
        <v>7437500</v>
      </c>
      <c r="O415" s="12">
        <f t="shared" si="60"/>
        <v>42840000</v>
      </c>
      <c r="P415" s="12">
        <f t="shared" si="61"/>
        <v>11900</v>
      </c>
      <c r="R415" s="23" t="s">
        <v>39</v>
      </c>
      <c r="S415" s="23" t="str">
        <f t="shared" si="62"/>
        <v>414,</v>
      </c>
      <c r="T415" s="23" t="str">
        <f t="shared" si="62"/>
        <v>83,</v>
      </c>
      <c r="U415" s="24">
        <f t="shared" si="63"/>
        <v>104</v>
      </c>
    </row>
    <row r="416" spans="1:21" x14ac:dyDescent="0.25">
      <c r="A416" s="3">
        <v>415</v>
      </c>
      <c r="B416" s="3">
        <v>104</v>
      </c>
      <c r="C416" s="3">
        <v>125</v>
      </c>
      <c r="D416" s="2">
        <f t="shared" si="55"/>
        <v>10985</v>
      </c>
      <c r="E416" s="2">
        <f t="shared" si="56"/>
        <v>5492.5</v>
      </c>
      <c r="F416" s="2">
        <v>2380</v>
      </c>
      <c r="G416" s="2">
        <f t="shared" si="57"/>
        <v>991.66666666666674</v>
      </c>
      <c r="H416" s="4">
        <f>VLOOKUP(B416,nodes!A:D,2,0)</f>
        <v>570</v>
      </c>
      <c r="I416" s="4">
        <f>VLOOKUP(B416,nodes!A:D,4,0)</f>
        <v>180</v>
      </c>
      <c r="J416" s="4">
        <f>VLOOKUP(C416,nodes!A:D,2,0)</f>
        <v>570</v>
      </c>
      <c r="K416" s="4">
        <f>VLOOKUP(C416,nodes!A:D,4,0)</f>
        <v>150</v>
      </c>
      <c r="L416" s="4">
        <f t="shared" si="58"/>
        <v>30</v>
      </c>
      <c r="N416" s="12">
        <f t="shared" si="59"/>
        <v>7437500</v>
      </c>
      <c r="O416" s="12">
        <f t="shared" si="60"/>
        <v>42840000</v>
      </c>
      <c r="P416" s="12">
        <f t="shared" si="61"/>
        <v>11900</v>
      </c>
      <c r="R416" s="23" t="s">
        <v>39</v>
      </c>
      <c r="S416" s="23" t="str">
        <f t="shared" si="62"/>
        <v>415,</v>
      </c>
      <c r="T416" s="23" t="str">
        <f t="shared" si="62"/>
        <v>104,</v>
      </c>
      <c r="U416" s="24">
        <f t="shared" si="63"/>
        <v>125</v>
      </c>
    </row>
    <row r="417" spans="1:21" x14ac:dyDescent="0.25">
      <c r="A417" s="3">
        <v>416</v>
      </c>
      <c r="B417" s="3">
        <v>125</v>
      </c>
      <c r="C417" s="3">
        <v>146</v>
      </c>
      <c r="D417" s="2">
        <f t="shared" si="55"/>
        <v>10985</v>
      </c>
      <c r="E417" s="2">
        <f t="shared" si="56"/>
        <v>5492.5</v>
      </c>
      <c r="F417" s="2">
        <v>2380</v>
      </c>
      <c r="G417" s="2">
        <f t="shared" si="57"/>
        <v>991.66666666666674</v>
      </c>
      <c r="H417" s="4">
        <f>VLOOKUP(B417,nodes!A:D,2,0)</f>
        <v>570</v>
      </c>
      <c r="I417" s="4">
        <f>VLOOKUP(B417,nodes!A:D,4,0)</f>
        <v>150</v>
      </c>
      <c r="J417" s="4">
        <f>VLOOKUP(C417,nodes!A:D,2,0)</f>
        <v>570</v>
      </c>
      <c r="K417" s="4">
        <f>VLOOKUP(C417,nodes!A:D,4,0)</f>
        <v>120</v>
      </c>
      <c r="L417" s="4">
        <f t="shared" si="58"/>
        <v>30</v>
      </c>
      <c r="N417" s="12">
        <f t="shared" si="59"/>
        <v>7437500</v>
      </c>
      <c r="O417" s="12">
        <f t="shared" si="60"/>
        <v>42840000</v>
      </c>
      <c r="P417" s="12">
        <f t="shared" si="61"/>
        <v>11900</v>
      </c>
      <c r="R417" s="23" t="s">
        <v>39</v>
      </c>
      <c r="S417" s="23" t="str">
        <f t="shared" si="62"/>
        <v>416,</v>
      </c>
      <c r="T417" s="23" t="str">
        <f t="shared" si="62"/>
        <v>125,</v>
      </c>
      <c r="U417" s="24">
        <f t="shared" si="63"/>
        <v>146</v>
      </c>
    </row>
    <row r="418" spans="1:21" x14ac:dyDescent="0.25">
      <c r="A418" s="3">
        <v>417</v>
      </c>
      <c r="B418" s="3">
        <v>146</v>
      </c>
      <c r="C418" s="3">
        <v>167</v>
      </c>
      <c r="D418" s="2">
        <f t="shared" si="55"/>
        <v>10985</v>
      </c>
      <c r="E418" s="2">
        <f t="shared" si="56"/>
        <v>5492.5</v>
      </c>
      <c r="F418" s="2">
        <v>2380</v>
      </c>
      <c r="G418" s="2">
        <f t="shared" si="57"/>
        <v>991.66666666666674</v>
      </c>
      <c r="H418" s="4">
        <f>VLOOKUP(B418,nodes!A:D,2,0)</f>
        <v>570</v>
      </c>
      <c r="I418" s="4">
        <f>VLOOKUP(B418,nodes!A:D,4,0)</f>
        <v>120</v>
      </c>
      <c r="J418" s="4">
        <f>VLOOKUP(C418,nodes!A:D,2,0)</f>
        <v>570</v>
      </c>
      <c r="K418" s="4">
        <f>VLOOKUP(C418,nodes!A:D,4,0)</f>
        <v>90</v>
      </c>
      <c r="L418" s="4">
        <f t="shared" si="58"/>
        <v>30</v>
      </c>
      <c r="N418" s="12">
        <f t="shared" si="59"/>
        <v>7437500</v>
      </c>
      <c r="O418" s="12">
        <f t="shared" si="60"/>
        <v>42840000</v>
      </c>
      <c r="P418" s="12">
        <f t="shared" si="61"/>
        <v>11900</v>
      </c>
      <c r="R418" s="23" t="s">
        <v>39</v>
      </c>
      <c r="S418" s="23" t="str">
        <f t="shared" si="62"/>
        <v>417,</v>
      </c>
      <c r="T418" s="23" t="str">
        <f t="shared" si="62"/>
        <v>146,</v>
      </c>
      <c r="U418" s="24">
        <f t="shared" si="63"/>
        <v>167</v>
      </c>
    </row>
    <row r="419" spans="1:21" x14ac:dyDescent="0.25">
      <c r="A419" s="3">
        <v>418</v>
      </c>
      <c r="B419" s="3">
        <v>167</v>
      </c>
      <c r="C419" s="3">
        <v>188</v>
      </c>
      <c r="D419" s="2">
        <f t="shared" si="55"/>
        <v>10985</v>
      </c>
      <c r="E419" s="2">
        <f t="shared" si="56"/>
        <v>5492.5</v>
      </c>
      <c r="F419" s="2">
        <v>2380</v>
      </c>
      <c r="G419" s="2">
        <f t="shared" si="57"/>
        <v>991.66666666666674</v>
      </c>
      <c r="H419" s="4">
        <f>VLOOKUP(B419,nodes!A:D,2,0)</f>
        <v>570</v>
      </c>
      <c r="I419" s="4">
        <f>VLOOKUP(B419,nodes!A:D,4,0)</f>
        <v>90</v>
      </c>
      <c r="J419" s="4">
        <f>VLOOKUP(C419,nodes!A:D,2,0)</f>
        <v>570</v>
      </c>
      <c r="K419" s="4">
        <f>VLOOKUP(C419,nodes!A:D,4,0)</f>
        <v>60</v>
      </c>
      <c r="L419" s="4">
        <f t="shared" si="58"/>
        <v>30</v>
      </c>
      <c r="N419" s="12">
        <f t="shared" si="59"/>
        <v>7437500</v>
      </c>
      <c r="O419" s="12">
        <f t="shared" si="60"/>
        <v>42840000</v>
      </c>
      <c r="P419" s="12">
        <f t="shared" si="61"/>
        <v>11900</v>
      </c>
      <c r="R419" s="23" t="s">
        <v>39</v>
      </c>
      <c r="S419" s="23" t="str">
        <f t="shared" si="62"/>
        <v>418,</v>
      </c>
      <c r="T419" s="23" t="str">
        <f t="shared" si="62"/>
        <v>167,</v>
      </c>
      <c r="U419" s="24">
        <f t="shared" si="63"/>
        <v>188</v>
      </c>
    </row>
    <row r="420" spans="1:21" x14ac:dyDescent="0.25">
      <c r="A420" s="3">
        <v>419</v>
      </c>
      <c r="B420" s="3">
        <v>188</v>
      </c>
      <c r="C420" s="3">
        <v>209</v>
      </c>
      <c r="D420" s="2">
        <f t="shared" si="55"/>
        <v>10985</v>
      </c>
      <c r="E420" s="2">
        <f t="shared" si="56"/>
        <v>5492.5</v>
      </c>
      <c r="F420" s="2">
        <v>2380</v>
      </c>
      <c r="G420" s="2">
        <f t="shared" si="57"/>
        <v>991.66666666666674</v>
      </c>
      <c r="H420" s="4">
        <f>VLOOKUP(B420,nodes!A:D,2,0)</f>
        <v>570</v>
      </c>
      <c r="I420" s="4">
        <f>VLOOKUP(B420,nodes!A:D,4,0)</f>
        <v>60</v>
      </c>
      <c r="J420" s="4">
        <f>VLOOKUP(C420,nodes!A:D,2,0)</f>
        <v>570</v>
      </c>
      <c r="K420" s="4">
        <f>VLOOKUP(C420,nodes!A:D,4,0)</f>
        <v>30</v>
      </c>
      <c r="L420" s="4">
        <f t="shared" si="58"/>
        <v>30</v>
      </c>
      <c r="N420" s="12">
        <f t="shared" si="59"/>
        <v>7437500</v>
      </c>
      <c r="O420" s="12">
        <f t="shared" si="60"/>
        <v>42840000</v>
      </c>
      <c r="P420" s="12">
        <f t="shared" si="61"/>
        <v>11900</v>
      </c>
      <c r="R420" s="23" t="s">
        <v>39</v>
      </c>
      <c r="S420" s="23" t="str">
        <f t="shared" si="62"/>
        <v>419,</v>
      </c>
      <c r="T420" s="23" t="str">
        <f t="shared" si="62"/>
        <v>188,</v>
      </c>
      <c r="U420" s="24">
        <f t="shared" si="63"/>
        <v>209</v>
      </c>
    </row>
    <row r="421" spans="1:21" x14ac:dyDescent="0.25">
      <c r="A421" s="3">
        <v>420</v>
      </c>
      <c r="B421" s="3">
        <v>209</v>
      </c>
      <c r="C421" s="3">
        <v>230</v>
      </c>
      <c r="D421" s="2">
        <f t="shared" si="55"/>
        <v>10985</v>
      </c>
      <c r="E421" s="2">
        <f t="shared" si="56"/>
        <v>5492.5</v>
      </c>
      <c r="F421" s="2">
        <v>2380</v>
      </c>
      <c r="G421" s="2">
        <f t="shared" si="57"/>
        <v>991.66666666666674</v>
      </c>
      <c r="H421" s="4">
        <f>VLOOKUP(B421,nodes!A:D,2,0)</f>
        <v>570</v>
      </c>
      <c r="I421" s="4">
        <f>VLOOKUP(B421,nodes!A:D,4,0)</f>
        <v>30</v>
      </c>
      <c r="J421" s="4">
        <f>VLOOKUP(C421,nodes!A:D,2,0)</f>
        <v>570</v>
      </c>
      <c r="K421" s="4">
        <f>VLOOKUP(C421,nodes!A:D,4,0)</f>
        <v>0</v>
      </c>
      <c r="L421" s="4">
        <f t="shared" si="58"/>
        <v>30</v>
      </c>
      <c r="N421" s="12">
        <f t="shared" si="59"/>
        <v>7437500</v>
      </c>
      <c r="O421" s="12">
        <f t="shared" si="60"/>
        <v>42840000</v>
      </c>
      <c r="P421" s="12">
        <f t="shared" si="61"/>
        <v>11900</v>
      </c>
      <c r="R421" s="23" t="s">
        <v>39</v>
      </c>
      <c r="S421" s="23" t="str">
        <f t="shared" si="62"/>
        <v>420,</v>
      </c>
      <c r="T421" s="23" t="str">
        <f t="shared" si="62"/>
        <v>209,</v>
      </c>
      <c r="U421" s="24">
        <f t="shared" si="63"/>
        <v>230</v>
      </c>
    </row>
    <row r="422" spans="1:21" x14ac:dyDescent="0.25">
      <c r="A422" s="3">
        <v>421</v>
      </c>
      <c r="B422" s="3">
        <v>21</v>
      </c>
      <c r="C422" s="3">
        <v>42</v>
      </c>
      <c r="D422" s="2">
        <f t="shared" si="55"/>
        <v>10985</v>
      </c>
      <c r="E422" s="2">
        <f t="shared" si="56"/>
        <v>5492.5</v>
      </c>
      <c r="F422" s="2">
        <v>2380</v>
      </c>
      <c r="G422" s="2">
        <f t="shared" si="57"/>
        <v>991.66666666666674</v>
      </c>
      <c r="H422" s="4">
        <f>VLOOKUP(B422,nodes!A:D,2,0)</f>
        <v>600</v>
      </c>
      <c r="I422" s="4">
        <f>VLOOKUP(B422,nodes!A:D,4,0)</f>
        <v>300</v>
      </c>
      <c r="J422" s="4">
        <f>VLOOKUP(C422,nodes!A:D,2,0)</f>
        <v>600</v>
      </c>
      <c r="K422" s="4">
        <f>VLOOKUP(C422,nodes!A:D,4,0)</f>
        <v>270</v>
      </c>
      <c r="L422" s="4">
        <f t="shared" si="58"/>
        <v>30</v>
      </c>
      <c r="N422" s="12">
        <f t="shared" si="59"/>
        <v>7437500</v>
      </c>
      <c r="O422" s="12">
        <f t="shared" si="60"/>
        <v>42840000</v>
      </c>
      <c r="P422" s="12">
        <f t="shared" si="61"/>
        <v>11900</v>
      </c>
      <c r="R422" s="23" t="s">
        <v>39</v>
      </c>
      <c r="S422" s="23" t="str">
        <f t="shared" si="62"/>
        <v>421,</v>
      </c>
      <c r="T422" s="23" t="str">
        <f t="shared" si="62"/>
        <v>21,</v>
      </c>
      <c r="U422" s="24">
        <f t="shared" si="63"/>
        <v>42</v>
      </c>
    </row>
    <row r="423" spans="1:21" x14ac:dyDescent="0.25">
      <c r="A423" s="3">
        <v>422</v>
      </c>
      <c r="B423" s="3">
        <v>42</v>
      </c>
      <c r="C423" s="3">
        <v>63</v>
      </c>
      <c r="D423" s="2">
        <f t="shared" si="55"/>
        <v>10985</v>
      </c>
      <c r="E423" s="2">
        <f t="shared" si="56"/>
        <v>5492.5</v>
      </c>
      <c r="F423" s="2">
        <v>2380</v>
      </c>
      <c r="G423" s="2">
        <f t="shared" si="57"/>
        <v>991.66666666666674</v>
      </c>
      <c r="H423" s="4">
        <f>VLOOKUP(B423,nodes!A:D,2,0)</f>
        <v>600</v>
      </c>
      <c r="I423" s="4">
        <f>VLOOKUP(B423,nodes!A:D,4,0)</f>
        <v>270</v>
      </c>
      <c r="J423" s="4">
        <f>VLOOKUP(C423,nodes!A:D,2,0)</f>
        <v>600</v>
      </c>
      <c r="K423" s="4">
        <f>VLOOKUP(C423,nodes!A:D,4,0)</f>
        <v>240</v>
      </c>
      <c r="L423" s="4">
        <f t="shared" si="58"/>
        <v>30</v>
      </c>
      <c r="N423" s="12">
        <f t="shared" si="59"/>
        <v>7437500</v>
      </c>
      <c r="O423" s="12">
        <f t="shared" si="60"/>
        <v>42840000</v>
      </c>
      <c r="P423" s="12">
        <f t="shared" si="61"/>
        <v>11900</v>
      </c>
      <c r="R423" s="23" t="s">
        <v>39</v>
      </c>
      <c r="S423" s="23" t="str">
        <f t="shared" si="62"/>
        <v>422,</v>
      </c>
      <c r="T423" s="23" t="str">
        <f t="shared" si="62"/>
        <v>42,</v>
      </c>
      <c r="U423" s="24">
        <f t="shared" si="63"/>
        <v>63</v>
      </c>
    </row>
    <row r="424" spans="1:21" x14ac:dyDescent="0.25">
      <c r="A424" s="3">
        <v>423</v>
      </c>
      <c r="B424" s="3">
        <v>63</v>
      </c>
      <c r="C424" s="3">
        <v>84</v>
      </c>
      <c r="D424" s="2">
        <f t="shared" si="55"/>
        <v>10985</v>
      </c>
      <c r="E424" s="2">
        <f t="shared" si="56"/>
        <v>5492.5</v>
      </c>
      <c r="F424" s="2">
        <v>2380</v>
      </c>
      <c r="G424" s="2">
        <f t="shared" si="57"/>
        <v>991.66666666666674</v>
      </c>
      <c r="H424" s="4">
        <f>VLOOKUP(B424,nodes!A:D,2,0)</f>
        <v>600</v>
      </c>
      <c r="I424" s="4">
        <f>VLOOKUP(B424,nodes!A:D,4,0)</f>
        <v>240</v>
      </c>
      <c r="J424" s="4">
        <f>VLOOKUP(C424,nodes!A:D,2,0)</f>
        <v>600</v>
      </c>
      <c r="K424" s="4">
        <f>VLOOKUP(C424,nodes!A:D,4,0)</f>
        <v>210</v>
      </c>
      <c r="L424" s="4">
        <f t="shared" si="58"/>
        <v>30</v>
      </c>
      <c r="N424" s="12">
        <f t="shared" si="59"/>
        <v>7437500</v>
      </c>
      <c r="O424" s="12">
        <f t="shared" si="60"/>
        <v>42840000</v>
      </c>
      <c r="P424" s="12">
        <f t="shared" si="61"/>
        <v>11900</v>
      </c>
      <c r="R424" s="23" t="s">
        <v>39</v>
      </c>
      <c r="S424" s="23" t="str">
        <f t="shared" si="62"/>
        <v>423,</v>
      </c>
      <c r="T424" s="23" t="str">
        <f t="shared" si="62"/>
        <v>63,</v>
      </c>
      <c r="U424" s="24">
        <f t="shared" si="63"/>
        <v>84</v>
      </c>
    </row>
    <row r="425" spans="1:21" x14ac:dyDescent="0.25">
      <c r="A425" s="3">
        <v>424</v>
      </c>
      <c r="B425" s="3">
        <v>84</v>
      </c>
      <c r="C425" s="3">
        <v>105</v>
      </c>
      <c r="D425" s="2">
        <f t="shared" si="55"/>
        <v>10985</v>
      </c>
      <c r="E425" s="2">
        <f t="shared" si="56"/>
        <v>5492.5</v>
      </c>
      <c r="F425" s="2">
        <v>2380</v>
      </c>
      <c r="G425" s="2">
        <f t="shared" si="57"/>
        <v>991.66666666666674</v>
      </c>
      <c r="H425" s="4">
        <f>VLOOKUP(B425,nodes!A:D,2,0)</f>
        <v>600</v>
      </c>
      <c r="I425" s="4">
        <f>VLOOKUP(B425,nodes!A:D,4,0)</f>
        <v>210</v>
      </c>
      <c r="J425" s="4">
        <f>VLOOKUP(C425,nodes!A:D,2,0)</f>
        <v>600</v>
      </c>
      <c r="K425" s="4">
        <f>VLOOKUP(C425,nodes!A:D,4,0)</f>
        <v>180</v>
      </c>
      <c r="L425" s="4">
        <f t="shared" si="58"/>
        <v>30</v>
      </c>
      <c r="N425" s="12">
        <f t="shared" si="59"/>
        <v>7437500</v>
      </c>
      <c r="O425" s="12">
        <f t="shared" si="60"/>
        <v>42840000</v>
      </c>
      <c r="P425" s="12">
        <f t="shared" si="61"/>
        <v>11900</v>
      </c>
      <c r="R425" s="23" t="s">
        <v>39</v>
      </c>
      <c r="S425" s="23" t="str">
        <f t="shared" si="62"/>
        <v>424,</v>
      </c>
      <c r="T425" s="23" t="str">
        <f t="shared" si="62"/>
        <v>84,</v>
      </c>
      <c r="U425" s="24">
        <f t="shared" si="63"/>
        <v>105</v>
      </c>
    </row>
    <row r="426" spans="1:21" x14ac:dyDescent="0.25">
      <c r="A426" s="3">
        <v>425</v>
      </c>
      <c r="B426" s="3">
        <v>105</v>
      </c>
      <c r="C426" s="3">
        <v>126</v>
      </c>
      <c r="D426" s="2">
        <f t="shared" si="55"/>
        <v>10985</v>
      </c>
      <c r="E426" s="2">
        <f t="shared" si="56"/>
        <v>5492.5</v>
      </c>
      <c r="F426" s="2">
        <v>2380</v>
      </c>
      <c r="G426" s="2">
        <f t="shared" si="57"/>
        <v>991.66666666666674</v>
      </c>
      <c r="H426" s="4">
        <f>VLOOKUP(B426,nodes!A:D,2,0)</f>
        <v>600</v>
      </c>
      <c r="I426" s="4">
        <f>VLOOKUP(B426,nodes!A:D,4,0)</f>
        <v>180</v>
      </c>
      <c r="J426" s="4">
        <f>VLOOKUP(C426,nodes!A:D,2,0)</f>
        <v>600</v>
      </c>
      <c r="K426" s="4">
        <f>VLOOKUP(C426,nodes!A:D,4,0)</f>
        <v>150</v>
      </c>
      <c r="L426" s="4">
        <f t="shared" si="58"/>
        <v>30</v>
      </c>
      <c r="N426" s="12">
        <f t="shared" si="59"/>
        <v>7437500</v>
      </c>
      <c r="O426" s="12">
        <f t="shared" si="60"/>
        <v>42840000</v>
      </c>
      <c r="P426" s="12">
        <f t="shared" si="61"/>
        <v>11900</v>
      </c>
      <c r="R426" s="23" t="s">
        <v>39</v>
      </c>
      <c r="S426" s="23" t="str">
        <f t="shared" si="62"/>
        <v>425,</v>
      </c>
      <c r="T426" s="23" t="str">
        <f t="shared" si="62"/>
        <v>105,</v>
      </c>
      <c r="U426" s="24">
        <f t="shared" si="63"/>
        <v>126</v>
      </c>
    </row>
    <row r="427" spans="1:21" x14ac:dyDescent="0.25">
      <c r="A427" s="3">
        <v>426</v>
      </c>
      <c r="B427" s="3">
        <v>126</v>
      </c>
      <c r="C427" s="3">
        <v>147</v>
      </c>
      <c r="D427" s="2">
        <f t="shared" si="55"/>
        <v>10985</v>
      </c>
      <c r="E427" s="2">
        <f t="shared" si="56"/>
        <v>5492.5</v>
      </c>
      <c r="F427" s="2">
        <v>2380</v>
      </c>
      <c r="G427" s="2">
        <f t="shared" si="57"/>
        <v>991.66666666666674</v>
      </c>
      <c r="H427" s="4">
        <f>VLOOKUP(B427,nodes!A:D,2,0)</f>
        <v>600</v>
      </c>
      <c r="I427" s="4">
        <f>VLOOKUP(B427,nodes!A:D,4,0)</f>
        <v>150</v>
      </c>
      <c r="J427" s="4">
        <f>VLOOKUP(C427,nodes!A:D,2,0)</f>
        <v>600</v>
      </c>
      <c r="K427" s="4">
        <f>VLOOKUP(C427,nodes!A:D,4,0)</f>
        <v>120</v>
      </c>
      <c r="L427" s="4">
        <f t="shared" si="58"/>
        <v>30</v>
      </c>
      <c r="N427" s="12">
        <f t="shared" si="59"/>
        <v>7437500</v>
      </c>
      <c r="O427" s="12">
        <f t="shared" si="60"/>
        <v>42840000</v>
      </c>
      <c r="P427" s="12">
        <f t="shared" si="61"/>
        <v>11900</v>
      </c>
      <c r="R427" s="23" t="s">
        <v>39</v>
      </c>
      <c r="S427" s="23" t="str">
        <f t="shared" si="62"/>
        <v>426,</v>
      </c>
      <c r="T427" s="23" t="str">
        <f t="shared" si="62"/>
        <v>126,</v>
      </c>
      <c r="U427" s="24">
        <f t="shared" si="63"/>
        <v>147</v>
      </c>
    </row>
    <row r="428" spans="1:21" x14ac:dyDescent="0.25">
      <c r="A428" s="3">
        <v>427</v>
      </c>
      <c r="B428" s="3">
        <v>147</v>
      </c>
      <c r="C428" s="3">
        <v>168</v>
      </c>
      <c r="D428" s="2">
        <f t="shared" si="55"/>
        <v>10985</v>
      </c>
      <c r="E428" s="2">
        <f t="shared" si="56"/>
        <v>5492.5</v>
      </c>
      <c r="F428" s="2">
        <v>2380</v>
      </c>
      <c r="G428" s="2">
        <f t="shared" si="57"/>
        <v>991.66666666666674</v>
      </c>
      <c r="H428" s="4">
        <f>VLOOKUP(B428,nodes!A:D,2,0)</f>
        <v>600</v>
      </c>
      <c r="I428" s="4">
        <f>VLOOKUP(B428,nodes!A:D,4,0)</f>
        <v>120</v>
      </c>
      <c r="J428" s="4">
        <f>VLOOKUP(C428,nodes!A:D,2,0)</f>
        <v>600</v>
      </c>
      <c r="K428" s="4">
        <f>VLOOKUP(C428,nodes!A:D,4,0)</f>
        <v>90</v>
      </c>
      <c r="L428" s="4">
        <f t="shared" si="58"/>
        <v>30</v>
      </c>
      <c r="N428" s="12">
        <f t="shared" si="59"/>
        <v>7437500</v>
      </c>
      <c r="O428" s="12">
        <f t="shared" si="60"/>
        <v>42840000</v>
      </c>
      <c r="P428" s="12">
        <f t="shared" si="61"/>
        <v>11900</v>
      </c>
      <c r="R428" s="23" t="s">
        <v>39</v>
      </c>
      <c r="S428" s="23" t="str">
        <f t="shared" si="62"/>
        <v>427,</v>
      </c>
      <c r="T428" s="23" t="str">
        <f t="shared" si="62"/>
        <v>147,</v>
      </c>
      <c r="U428" s="24">
        <f t="shared" si="63"/>
        <v>168</v>
      </c>
    </row>
    <row r="429" spans="1:21" x14ac:dyDescent="0.25">
      <c r="A429" s="3">
        <v>428</v>
      </c>
      <c r="B429" s="3">
        <v>168</v>
      </c>
      <c r="C429" s="3">
        <v>189</v>
      </c>
      <c r="D429" s="2">
        <f t="shared" si="55"/>
        <v>10985</v>
      </c>
      <c r="E429" s="2">
        <f t="shared" si="56"/>
        <v>5492.5</v>
      </c>
      <c r="F429" s="2">
        <v>2380</v>
      </c>
      <c r="G429" s="2">
        <f t="shared" si="57"/>
        <v>991.66666666666674</v>
      </c>
      <c r="H429" s="4">
        <f>VLOOKUP(B429,nodes!A:D,2,0)</f>
        <v>600</v>
      </c>
      <c r="I429" s="4">
        <f>VLOOKUP(B429,nodes!A:D,4,0)</f>
        <v>90</v>
      </c>
      <c r="J429" s="4">
        <f>VLOOKUP(C429,nodes!A:D,2,0)</f>
        <v>600</v>
      </c>
      <c r="K429" s="4">
        <f>VLOOKUP(C429,nodes!A:D,4,0)</f>
        <v>60</v>
      </c>
      <c r="L429" s="4">
        <f t="shared" si="58"/>
        <v>30</v>
      </c>
      <c r="N429" s="12">
        <f t="shared" si="59"/>
        <v>7437500</v>
      </c>
      <c r="O429" s="12">
        <f t="shared" si="60"/>
        <v>42840000</v>
      </c>
      <c r="P429" s="12">
        <f t="shared" si="61"/>
        <v>11900</v>
      </c>
      <c r="R429" s="23" t="s">
        <v>39</v>
      </c>
      <c r="S429" s="23" t="str">
        <f t="shared" si="62"/>
        <v>428,</v>
      </c>
      <c r="T429" s="23" t="str">
        <f t="shared" si="62"/>
        <v>168,</v>
      </c>
      <c r="U429" s="24">
        <f t="shared" si="63"/>
        <v>189</v>
      </c>
    </row>
    <row r="430" spans="1:21" x14ac:dyDescent="0.25">
      <c r="A430" s="3">
        <v>429</v>
      </c>
      <c r="B430" s="3">
        <v>189</v>
      </c>
      <c r="C430" s="3">
        <v>210</v>
      </c>
      <c r="D430" s="2">
        <f t="shared" si="55"/>
        <v>10985</v>
      </c>
      <c r="E430" s="2">
        <f t="shared" si="56"/>
        <v>5492.5</v>
      </c>
      <c r="F430" s="2">
        <v>2380</v>
      </c>
      <c r="G430" s="2">
        <f t="shared" si="57"/>
        <v>991.66666666666674</v>
      </c>
      <c r="H430" s="4">
        <f>VLOOKUP(B430,nodes!A:D,2,0)</f>
        <v>600</v>
      </c>
      <c r="I430" s="4">
        <f>VLOOKUP(B430,nodes!A:D,4,0)</f>
        <v>60</v>
      </c>
      <c r="J430" s="4">
        <f>VLOOKUP(C430,nodes!A:D,2,0)</f>
        <v>600</v>
      </c>
      <c r="K430" s="4">
        <f>VLOOKUP(C430,nodes!A:D,4,0)</f>
        <v>30</v>
      </c>
      <c r="L430" s="4">
        <f t="shared" si="58"/>
        <v>30</v>
      </c>
      <c r="N430" s="12">
        <f t="shared" si="59"/>
        <v>7437500</v>
      </c>
      <c r="O430" s="12">
        <f t="shared" si="60"/>
        <v>42840000</v>
      </c>
      <c r="P430" s="12">
        <f t="shared" si="61"/>
        <v>11900</v>
      </c>
      <c r="R430" s="23" t="s">
        <v>39</v>
      </c>
      <c r="S430" s="23" t="str">
        <f t="shared" si="62"/>
        <v>429,</v>
      </c>
      <c r="T430" s="23" t="str">
        <f t="shared" si="62"/>
        <v>189,</v>
      </c>
      <c r="U430" s="24">
        <f t="shared" si="63"/>
        <v>210</v>
      </c>
    </row>
    <row r="431" spans="1:21" x14ac:dyDescent="0.25">
      <c r="A431" s="3">
        <v>430</v>
      </c>
      <c r="B431" s="3">
        <v>210</v>
      </c>
      <c r="C431" s="3">
        <v>231</v>
      </c>
      <c r="D431" s="2">
        <f t="shared" si="55"/>
        <v>10985</v>
      </c>
      <c r="E431" s="2">
        <f t="shared" si="56"/>
        <v>5492.5</v>
      </c>
      <c r="F431" s="2">
        <v>2380</v>
      </c>
      <c r="G431" s="2">
        <f t="shared" si="57"/>
        <v>991.66666666666674</v>
      </c>
      <c r="H431" s="4">
        <f>VLOOKUP(B431,nodes!A:D,2,0)</f>
        <v>600</v>
      </c>
      <c r="I431" s="4">
        <f>VLOOKUP(B431,nodes!A:D,4,0)</f>
        <v>30</v>
      </c>
      <c r="J431" s="4">
        <f>VLOOKUP(C431,nodes!A:D,2,0)</f>
        <v>600</v>
      </c>
      <c r="K431" s="4">
        <f>VLOOKUP(C431,nodes!A:D,4,0)</f>
        <v>0</v>
      </c>
      <c r="L431" s="4">
        <f t="shared" si="58"/>
        <v>30</v>
      </c>
      <c r="N431" s="12">
        <f t="shared" si="59"/>
        <v>7437500</v>
      </c>
      <c r="O431" s="12">
        <f t="shared" si="60"/>
        <v>42840000</v>
      </c>
      <c r="P431" s="12">
        <f t="shared" si="61"/>
        <v>11900</v>
      </c>
      <c r="R431" s="23" t="s">
        <v>39</v>
      </c>
      <c r="S431" s="23" t="str">
        <f t="shared" si="62"/>
        <v>430,</v>
      </c>
      <c r="T431" s="23" t="str">
        <f t="shared" si="62"/>
        <v>210,</v>
      </c>
      <c r="U431" s="24">
        <f t="shared" si="63"/>
        <v>231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32BA-9084-4EEA-8019-ABB9CB7CEF87}">
  <dimension ref="A1:Q431"/>
  <sheetViews>
    <sheetView zoomScale="70" zoomScaleNormal="70" workbookViewId="0"/>
  </sheetViews>
  <sheetFormatPr defaultColWidth="13.77734375" defaultRowHeight="13.8" x14ac:dyDescent="0.25"/>
  <cols>
    <col min="1" max="3" width="13.77734375" style="3"/>
    <col min="4" max="7" width="13.77734375" style="2"/>
    <col min="8" max="13" width="13.77734375" style="4"/>
    <col min="14" max="14" width="13.77734375" style="12"/>
    <col min="15" max="15" width="13.77734375" style="1"/>
    <col min="16" max="16" width="13.77734375" style="12"/>
    <col min="17" max="16384" width="13.77734375" style="1"/>
  </cols>
  <sheetData>
    <row r="1" spans="1:17" s="8" customFormat="1" x14ac:dyDescent="0.25">
      <c r="A1" s="5" t="s">
        <v>0</v>
      </c>
      <c r="B1" s="6" t="s">
        <v>23</v>
      </c>
      <c r="C1" s="6" t="s">
        <v>24</v>
      </c>
      <c r="D1" s="7" t="s">
        <v>1</v>
      </c>
      <c r="E1" s="7" t="s">
        <v>2</v>
      </c>
      <c r="F1" s="7" t="s">
        <v>3</v>
      </c>
      <c r="G1" s="7" t="s">
        <v>4</v>
      </c>
      <c r="H1" s="8" t="s">
        <v>5</v>
      </c>
      <c r="I1" s="9" t="s">
        <v>7</v>
      </c>
      <c r="J1" s="9" t="s">
        <v>6</v>
      </c>
      <c r="K1" s="9" t="s">
        <v>9</v>
      </c>
      <c r="L1" s="9" t="s">
        <v>10</v>
      </c>
      <c r="M1" s="9"/>
      <c r="N1" s="10" t="s">
        <v>26</v>
      </c>
      <c r="O1" s="11" t="s">
        <v>27</v>
      </c>
      <c r="P1" s="10" t="s">
        <v>28</v>
      </c>
      <c r="Q1" s="9"/>
    </row>
    <row r="2" spans="1:17" x14ac:dyDescent="0.25">
      <c r="A2" s="3">
        <v>1</v>
      </c>
      <c r="B2" s="3">
        <v>1</v>
      </c>
      <c r="C2" s="3">
        <v>2</v>
      </c>
      <c r="D2" s="2">
        <v>12280</v>
      </c>
      <c r="E2" s="2">
        <f>(30*13^3)/12</f>
        <v>5492.5</v>
      </c>
      <c r="F2" s="2">
        <v>2380</v>
      </c>
      <c r="G2" s="2">
        <f>F2/(2*(1+0.2))</f>
        <v>991.66666666666674</v>
      </c>
      <c r="H2" s="4">
        <f>VLOOKUP(B2,nodes!A:D,2,0)</f>
        <v>0</v>
      </c>
      <c r="I2" s="4">
        <f>VLOOKUP(B2,nodes!A:D,4,0)</f>
        <v>300</v>
      </c>
      <c r="J2" s="4">
        <f>VLOOKUP(C2,nodes!A:D,2,0)</f>
        <v>30</v>
      </c>
      <c r="K2" s="4">
        <f>VLOOKUP(C2,nodes!A:D,4,0)</f>
        <v>300</v>
      </c>
      <c r="L2" s="4">
        <f>((J2-H2)^2+(K2-I2)^2)^0.5</f>
        <v>30</v>
      </c>
      <c r="N2" s="12">
        <f>12*2380*60*(25^3)/(300*12)</f>
        <v>7437500</v>
      </c>
      <c r="O2" s="12">
        <f>12*2380*25*(60^3)/(300*12)</f>
        <v>42840000</v>
      </c>
      <c r="P2" s="12">
        <f>2380*25*60/300</f>
        <v>11900</v>
      </c>
    </row>
    <row r="3" spans="1:17" x14ac:dyDescent="0.25">
      <c r="A3" s="3">
        <v>2</v>
      </c>
      <c r="B3" s="3">
        <v>2</v>
      </c>
      <c r="C3" s="3">
        <v>3</v>
      </c>
      <c r="D3" s="2">
        <v>12280</v>
      </c>
      <c r="E3" s="2">
        <f t="shared" ref="E3:E66" si="0">(30*13^3)/12</f>
        <v>5492.5</v>
      </c>
      <c r="F3" s="2">
        <v>2380</v>
      </c>
      <c r="G3" s="2">
        <f t="shared" ref="G3:G66" si="1">F3/(2*(1+0.2))</f>
        <v>991.66666666666674</v>
      </c>
      <c r="H3" s="4">
        <f>VLOOKUP(B3,nodes!A:D,2,0)</f>
        <v>30</v>
      </c>
      <c r="I3" s="4">
        <f>VLOOKUP(B3,nodes!A:D,4,0)</f>
        <v>300</v>
      </c>
      <c r="J3" s="4">
        <f>VLOOKUP(C3,nodes!A:D,2,0)</f>
        <v>60</v>
      </c>
      <c r="K3" s="4">
        <f>VLOOKUP(C3,nodes!A:D,4,0)</f>
        <v>300</v>
      </c>
      <c r="L3" s="4">
        <f t="shared" ref="L3:L66" si="2">((J3-H3)^2+(K3-I3)^2)^0.5</f>
        <v>30</v>
      </c>
      <c r="N3" s="12">
        <f t="shared" ref="N3:N66" si="3">12*2380*60*(25^3)/(300*12)</f>
        <v>7437500</v>
      </c>
      <c r="O3" s="12">
        <f t="shared" ref="O3:O66" si="4">12*2380*25*(60^3)/(300*12)</f>
        <v>42840000</v>
      </c>
      <c r="P3" s="12">
        <f t="shared" ref="P3:P66" si="5">2380*25*60/300</f>
        <v>11900</v>
      </c>
    </row>
    <row r="4" spans="1:17" x14ac:dyDescent="0.25">
      <c r="A4" s="3">
        <v>3</v>
      </c>
      <c r="B4" s="3">
        <v>3</v>
      </c>
      <c r="C4" s="3">
        <v>4</v>
      </c>
      <c r="D4" s="2">
        <v>12280</v>
      </c>
      <c r="E4" s="2">
        <f t="shared" si="0"/>
        <v>5492.5</v>
      </c>
      <c r="F4" s="2">
        <v>2380</v>
      </c>
      <c r="G4" s="2">
        <f t="shared" si="1"/>
        <v>991.66666666666674</v>
      </c>
      <c r="H4" s="4">
        <f>VLOOKUP(B4,nodes!A:D,2,0)</f>
        <v>60</v>
      </c>
      <c r="I4" s="4">
        <f>VLOOKUP(B4,nodes!A:D,4,0)</f>
        <v>300</v>
      </c>
      <c r="J4" s="4">
        <f>VLOOKUP(C4,nodes!A:D,2,0)</f>
        <v>90</v>
      </c>
      <c r="K4" s="4">
        <f>VLOOKUP(C4,nodes!A:D,4,0)</f>
        <v>300</v>
      </c>
      <c r="L4" s="4">
        <f t="shared" si="2"/>
        <v>30</v>
      </c>
      <c r="N4" s="12">
        <f t="shared" si="3"/>
        <v>7437500</v>
      </c>
      <c r="O4" s="12">
        <f t="shared" si="4"/>
        <v>42840000</v>
      </c>
      <c r="P4" s="12">
        <f t="shared" si="5"/>
        <v>11900</v>
      </c>
    </row>
    <row r="5" spans="1:17" x14ac:dyDescent="0.25">
      <c r="A5" s="3">
        <v>4</v>
      </c>
      <c r="B5" s="3">
        <v>4</v>
      </c>
      <c r="C5" s="3">
        <v>5</v>
      </c>
      <c r="D5" s="2">
        <v>12280</v>
      </c>
      <c r="E5" s="2">
        <f t="shared" si="0"/>
        <v>5492.5</v>
      </c>
      <c r="F5" s="2">
        <v>2380</v>
      </c>
      <c r="G5" s="2">
        <f t="shared" si="1"/>
        <v>991.66666666666674</v>
      </c>
      <c r="H5" s="4">
        <f>VLOOKUP(B5,nodes!A:D,2,0)</f>
        <v>90</v>
      </c>
      <c r="I5" s="4">
        <f>VLOOKUP(B5,nodes!A:D,4,0)</f>
        <v>300</v>
      </c>
      <c r="J5" s="4">
        <f>VLOOKUP(C5,nodes!A:D,2,0)</f>
        <v>120</v>
      </c>
      <c r="K5" s="4">
        <f>VLOOKUP(C5,nodes!A:D,4,0)</f>
        <v>300</v>
      </c>
      <c r="L5" s="4">
        <f t="shared" si="2"/>
        <v>30</v>
      </c>
      <c r="N5" s="12">
        <f t="shared" si="3"/>
        <v>7437500</v>
      </c>
      <c r="O5" s="12">
        <f t="shared" si="4"/>
        <v>42840000</v>
      </c>
      <c r="P5" s="12">
        <f t="shared" si="5"/>
        <v>11900</v>
      </c>
    </row>
    <row r="6" spans="1:17" x14ac:dyDescent="0.25">
      <c r="A6" s="3">
        <v>5</v>
      </c>
      <c r="B6" s="3">
        <v>5</v>
      </c>
      <c r="C6" s="3">
        <v>6</v>
      </c>
      <c r="D6" s="2">
        <v>12280</v>
      </c>
      <c r="E6" s="2">
        <f t="shared" si="0"/>
        <v>5492.5</v>
      </c>
      <c r="F6" s="2">
        <v>2380</v>
      </c>
      <c r="G6" s="2">
        <f t="shared" si="1"/>
        <v>991.66666666666674</v>
      </c>
      <c r="H6" s="4">
        <f>VLOOKUP(B6,nodes!A:D,2,0)</f>
        <v>120</v>
      </c>
      <c r="I6" s="4">
        <f>VLOOKUP(B6,nodes!A:D,4,0)</f>
        <v>300</v>
      </c>
      <c r="J6" s="4">
        <f>VLOOKUP(C6,nodes!A:D,2,0)</f>
        <v>150</v>
      </c>
      <c r="K6" s="4">
        <f>VLOOKUP(C6,nodes!A:D,4,0)</f>
        <v>300</v>
      </c>
      <c r="L6" s="4">
        <f t="shared" si="2"/>
        <v>30</v>
      </c>
      <c r="N6" s="12">
        <f t="shared" si="3"/>
        <v>7437500</v>
      </c>
      <c r="O6" s="12">
        <f t="shared" si="4"/>
        <v>42840000</v>
      </c>
      <c r="P6" s="12">
        <f t="shared" si="5"/>
        <v>11900</v>
      </c>
    </row>
    <row r="7" spans="1:17" x14ac:dyDescent="0.25">
      <c r="A7" s="3">
        <v>6</v>
      </c>
      <c r="B7" s="3">
        <v>6</v>
      </c>
      <c r="C7" s="3">
        <v>7</v>
      </c>
      <c r="D7" s="2">
        <v>12280</v>
      </c>
      <c r="E7" s="2">
        <f t="shared" si="0"/>
        <v>5492.5</v>
      </c>
      <c r="F7" s="2">
        <v>2380</v>
      </c>
      <c r="G7" s="2">
        <f t="shared" si="1"/>
        <v>991.66666666666674</v>
      </c>
      <c r="H7" s="4">
        <f>VLOOKUP(B7,nodes!A:D,2,0)</f>
        <v>150</v>
      </c>
      <c r="I7" s="4">
        <f>VLOOKUP(B7,nodes!A:D,4,0)</f>
        <v>300</v>
      </c>
      <c r="J7" s="4">
        <f>VLOOKUP(C7,nodes!A:D,2,0)</f>
        <v>180</v>
      </c>
      <c r="K7" s="4">
        <f>VLOOKUP(C7,nodes!A:D,4,0)</f>
        <v>300</v>
      </c>
      <c r="L7" s="4">
        <f t="shared" si="2"/>
        <v>30</v>
      </c>
      <c r="N7" s="12">
        <f t="shared" si="3"/>
        <v>7437500</v>
      </c>
      <c r="O7" s="12">
        <f t="shared" si="4"/>
        <v>42840000</v>
      </c>
      <c r="P7" s="12">
        <f t="shared" si="5"/>
        <v>11900</v>
      </c>
    </row>
    <row r="8" spans="1:17" x14ac:dyDescent="0.25">
      <c r="A8" s="3">
        <v>7</v>
      </c>
      <c r="B8" s="3">
        <v>7</v>
      </c>
      <c r="C8" s="3">
        <v>8</v>
      </c>
      <c r="D8" s="2">
        <v>12280</v>
      </c>
      <c r="E8" s="2">
        <f t="shared" si="0"/>
        <v>5492.5</v>
      </c>
      <c r="F8" s="2">
        <v>2380</v>
      </c>
      <c r="G8" s="2">
        <f t="shared" si="1"/>
        <v>991.66666666666674</v>
      </c>
      <c r="H8" s="4">
        <f>VLOOKUP(B8,nodes!A:D,2,0)</f>
        <v>180</v>
      </c>
      <c r="I8" s="4">
        <f>VLOOKUP(B8,nodes!A:D,4,0)</f>
        <v>300</v>
      </c>
      <c r="J8" s="4">
        <f>VLOOKUP(C8,nodes!A:D,2,0)</f>
        <v>210</v>
      </c>
      <c r="K8" s="4">
        <f>VLOOKUP(C8,nodes!A:D,4,0)</f>
        <v>300</v>
      </c>
      <c r="L8" s="4">
        <f t="shared" si="2"/>
        <v>30</v>
      </c>
      <c r="N8" s="12">
        <f t="shared" si="3"/>
        <v>7437500</v>
      </c>
      <c r="O8" s="12">
        <f t="shared" si="4"/>
        <v>42840000</v>
      </c>
      <c r="P8" s="12">
        <f t="shared" si="5"/>
        <v>11900</v>
      </c>
    </row>
    <row r="9" spans="1:17" x14ac:dyDescent="0.25">
      <c r="A9" s="3">
        <v>8</v>
      </c>
      <c r="B9" s="3">
        <v>8</v>
      </c>
      <c r="C9" s="3">
        <v>9</v>
      </c>
      <c r="D9" s="2">
        <v>12280</v>
      </c>
      <c r="E9" s="2">
        <f t="shared" si="0"/>
        <v>5492.5</v>
      </c>
      <c r="F9" s="2">
        <v>2380</v>
      </c>
      <c r="G9" s="2">
        <f t="shared" si="1"/>
        <v>991.66666666666674</v>
      </c>
      <c r="H9" s="4">
        <f>VLOOKUP(B9,nodes!A:D,2,0)</f>
        <v>210</v>
      </c>
      <c r="I9" s="4">
        <f>VLOOKUP(B9,nodes!A:D,4,0)</f>
        <v>300</v>
      </c>
      <c r="J9" s="4">
        <f>VLOOKUP(C9,nodes!A:D,2,0)</f>
        <v>240</v>
      </c>
      <c r="K9" s="4">
        <f>VLOOKUP(C9,nodes!A:D,4,0)</f>
        <v>300</v>
      </c>
      <c r="L9" s="4">
        <f t="shared" si="2"/>
        <v>30</v>
      </c>
      <c r="N9" s="12">
        <f t="shared" si="3"/>
        <v>7437500</v>
      </c>
      <c r="O9" s="12">
        <f t="shared" si="4"/>
        <v>42840000</v>
      </c>
      <c r="P9" s="12">
        <f t="shared" si="5"/>
        <v>11900</v>
      </c>
    </row>
    <row r="10" spans="1:17" x14ac:dyDescent="0.25">
      <c r="A10" s="3">
        <v>9</v>
      </c>
      <c r="B10" s="3">
        <v>9</v>
      </c>
      <c r="C10" s="3">
        <v>10</v>
      </c>
      <c r="D10" s="2">
        <v>12280</v>
      </c>
      <c r="E10" s="2">
        <f t="shared" si="0"/>
        <v>5492.5</v>
      </c>
      <c r="F10" s="2">
        <v>2380</v>
      </c>
      <c r="G10" s="2">
        <f t="shared" si="1"/>
        <v>991.66666666666674</v>
      </c>
      <c r="H10" s="4">
        <f>VLOOKUP(B10,nodes!A:D,2,0)</f>
        <v>240</v>
      </c>
      <c r="I10" s="4">
        <f>VLOOKUP(B10,nodes!A:D,4,0)</f>
        <v>300</v>
      </c>
      <c r="J10" s="4">
        <f>VLOOKUP(C10,nodes!A:D,2,0)</f>
        <v>270</v>
      </c>
      <c r="K10" s="4">
        <f>VLOOKUP(C10,nodes!A:D,4,0)</f>
        <v>300</v>
      </c>
      <c r="L10" s="4">
        <f t="shared" si="2"/>
        <v>30</v>
      </c>
      <c r="N10" s="12">
        <f t="shared" si="3"/>
        <v>7437500</v>
      </c>
      <c r="O10" s="12">
        <f t="shared" si="4"/>
        <v>42840000</v>
      </c>
      <c r="P10" s="12">
        <f t="shared" si="5"/>
        <v>11900</v>
      </c>
    </row>
    <row r="11" spans="1:17" x14ac:dyDescent="0.25">
      <c r="A11" s="3">
        <v>10</v>
      </c>
      <c r="B11" s="3">
        <v>10</v>
      </c>
      <c r="C11" s="3">
        <v>11</v>
      </c>
      <c r="D11" s="2">
        <v>12280</v>
      </c>
      <c r="E11" s="2">
        <f t="shared" si="0"/>
        <v>5492.5</v>
      </c>
      <c r="F11" s="2">
        <v>2380</v>
      </c>
      <c r="G11" s="2">
        <f t="shared" si="1"/>
        <v>991.66666666666674</v>
      </c>
      <c r="H11" s="4">
        <f>VLOOKUP(B11,nodes!A:D,2,0)</f>
        <v>270</v>
      </c>
      <c r="I11" s="4">
        <f>VLOOKUP(B11,nodes!A:D,4,0)</f>
        <v>300</v>
      </c>
      <c r="J11" s="4">
        <f>VLOOKUP(C11,nodes!A:D,2,0)</f>
        <v>300</v>
      </c>
      <c r="K11" s="4">
        <f>VLOOKUP(C11,nodes!A:D,4,0)</f>
        <v>300</v>
      </c>
      <c r="L11" s="4">
        <f t="shared" si="2"/>
        <v>30</v>
      </c>
      <c r="N11" s="12">
        <f t="shared" si="3"/>
        <v>7437500</v>
      </c>
      <c r="O11" s="12">
        <f t="shared" si="4"/>
        <v>42840000</v>
      </c>
      <c r="P11" s="12">
        <f t="shared" si="5"/>
        <v>11900</v>
      </c>
    </row>
    <row r="12" spans="1:17" x14ac:dyDescent="0.25">
      <c r="A12" s="3">
        <v>11</v>
      </c>
      <c r="B12" s="3">
        <v>11</v>
      </c>
      <c r="C12" s="3">
        <v>12</v>
      </c>
      <c r="D12" s="2">
        <v>12280</v>
      </c>
      <c r="E12" s="2">
        <f t="shared" si="0"/>
        <v>5492.5</v>
      </c>
      <c r="F12" s="2">
        <v>2380</v>
      </c>
      <c r="G12" s="2">
        <f t="shared" si="1"/>
        <v>991.66666666666674</v>
      </c>
      <c r="H12" s="4">
        <f>VLOOKUP(B12,nodes!A:D,2,0)</f>
        <v>300</v>
      </c>
      <c r="I12" s="4">
        <f>VLOOKUP(B12,nodes!A:D,4,0)</f>
        <v>300</v>
      </c>
      <c r="J12" s="4">
        <f>VLOOKUP(C12,nodes!A:D,2,0)</f>
        <v>330</v>
      </c>
      <c r="K12" s="4">
        <f>VLOOKUP(C12,nodes!A:D,4,0)</f>
        <v>300</v>
      </c>
      <c r="L12" s="4">
        <f t="shared" si="2"/>
        <v>30</v>
      </c>
      <c r="N12" s="12">
        <f t="shared" si="3"/>
        <v>7437500</v>
      </c>
      <c r="O12" s="12">
        <f t="shared" si="4"/>
        <v>42840000</v>
      </c>
      <c r="P12" s="12">
        <f t="shared" si="5"/>
        <v>11900</v>
      </c>
    </row>
    <row r="13" spans="1:17" x14ac:dyDescent="0.25">
      <c r="A13" s="3">
        <v>12</v>
      </c>
      <c r="B13" s="3">
        <v>12</v>
      </c>
      <c r="C13" s="3">
        <v>13</v>
      </c>
      <c r="D13" s="2">
        <v>12280</v>
      </c>
      <c r="E13" s="2">
        <f t="shared" si="0"/>
        <v>5492.5</v>
      </c>
      <c r="F13" s="2">
        <v>2380</v>
      </c>
      <c r="G13" s="2">
        <f t="shared" si="1"/>
        <v>991.66666666666674</v>
      </c>
      <c r="H13" s="4">
        <f>VLOOKUP(B13,nodes!A:D,2,0)</f>
        <v>330</v>
      </c>
      <c r="I13" s="4">
        <f>VLOOKUP(B13,nodes!A:D,4,0)</f>
        <v>300</v>
      </c>
      <c r="J13" s="4">
        <f>VLOOKUP(C13,nodes!A:D,2,0)</f>
        <v>360</v>
      </c>
      <c r="K13" s="4">
        <f>VLOOKUP(C13,nodes!A:D,4,0)</f>
        <v>300</v>
      </c>
      <c r="L13" s="4">
        <f t="shared" si="2"/>
        <v>30</v>
      </c>
      <c r="N13" s="12">
        <f t="shared" si="3"/>
        <v>7437500</v>
      </c>
      <c r="O13" s="12">
        <f t="shared" si="4"/>
        <v>42840000</v>
      </c>
      <c r="P13" s="12">
        <f t="shared" si="5"/>
        <v>11900</v>
      </c>
    </row>
    <row r="14" spans="1:17" x14ac:dyDescent="0.25">
      <c r="A14" s="3">
        <v>13</v>
      </c>
      <c r="B14" s="3">
        <v>13</v>
      </c>
      <c r="C14" s="3">
        <v>14</v>
      </c>
      <c r="D14" s="2">
        <v>12280</v>
      </c>
      <c r="E14" s="2">
        <f t="shared" si="0"/>
        <v>5492.5</v>
      </c>
      <c r="F14" s="2">
        <v>2380</v>
      </c>
      <c r="G14" s="2">
        <f t="shared" si="1"/>
        <v>991.66666666666674</v>
      </c>
      <c r="H14" s="4">
        <f>VLOOKUP(B14,nodes!A:D,2,0)</f>
        <v>360</v>
      </c>
      <c r="I14" s="4">
        <f>VLOOKUP(B14,nodes!A:D,4,0)</f>
        <v>300</v>
      </c>
      <c r="J14" s="4">
        <f>VLOOKUP(C14,nodes!A:D,2,0)</f>
        <v>390</v>
      </c>
      <c r="K14" s="4">
        <f>VLOOKUP(C14,nodes!A:D,4,0)</f>
        <v>300</v>
      </c>
      <c r="L14" s="4">
        <f t="shared" si="2"/>
        <v>30</v>
      </c>
      <c r="N14" s="12">
        <f t="shared" si="3"/>
        <v>7437500</v>
      </c>
      <c r="O14" s="12">
        <f t="shared" si="4"/>
        <v>42840000</v>
      </c>
      <c r="P14" s="12">
        <f t="shared" si="5"/>
        <v>11900</v>
      </c>
    </row>
    <row r="15" spans="1:17" x14ac:dyDescent="0.25">
      <c r="A15" s="3">
        <v>14</v>
      </c>
      <c r="B15" s="3">
        <v>14</v>
      </c>
      <c r="C15" s="3">
        <v>15</v>
      </c>
      <c r="D15" s="2">
        <v>12280</v>
      </c>
      <c r="E15" s="2">
        <f t="shared" si="0"/>
        <v>5492.5</v>
      </c>
      <c r="F15" s="2">
        <v>2380</v>
      </c>
      <c r="G15" s="2">
        <f t="shared" si="1"/>
        <v>991.66666666666674</v>
      </c>
      <c r="H15" s="4">
        <f>VLOOKUP(B15,nodes!A:D,2,0)</f>
        <v>390</v>
      </c>
      <c r="I15" s="4">
        <f>VLOOKUP(B15,nodes!A:D,4,0)</f>
        <v>300</v>
      </c>
      <c r="J15" s="4">
        <f>VLOOKUP(C15,nodes!A:D,2,0)</f>
        <v>420</v>
      </c>
      <c r="K15" s="4">
        <f>VLOOKUP(C15,nodes!A:D,4,0)</f>
        <v>300</v>
      </c>
      <c r="L15" s="4">
        <f t="shared" si="2"/>
        <v>30</v>
      </c>
      <c r="N15" s="12">
        <f t="shared" si="3"/>
        <v>7437500</v>
      </c>
      <c r="O15" s="12">
        <f t="shared" si="4"/>
        <v>42840000</v>
      </c>
      <c r="P15" s="12">
        <f t="shared" si="5"/>
        <v>11900</v>
      </c>
    </row>
    <row r="16" spans="1:17" x14ac:dyDescent="0.25">
      <c r="A16" s="3">
        <v>15</v>
      </c>
      <c r="B16" s="3">
        <v>15</v>
      </c>
      <c r="C16" s="3">
        <v>16</v>
      </c>
      <c r="D16" s="2">
        <v>12280</v>
      </c>
      <c r="E16" s="2">
        <f t="shared" si="0"/>
        <v>5492.5</v>
      </c>
      <c r="F16" s="2">
        <v>2380</v>
      </c>
      <c r="G16" s="2">
        <f t="shared" si="1"/>
        <v>991.66666666666674</v>
      </c>
      <c r="H16" s="4">
        <f>VLOOKUP(B16,nodes!A:D,2,0)</f>
        <v>420</v>
      </c>
      <c r="I16" s="4">
        <f>VLOOKUP(B16,nodes!A:D,4,0)</f>
        <v>300</v>
      </c>
      <c r="J16" s="4">
        <f>VLOOKUP(C16,nodes!A:D,2,0)</f>
        <v>450</v>
      </c>
      <c r="K16" s="4">
        <f>VLOOKUP(C16,nodes!A:D,4,0)</f>
        <v>300</v>
      </c>
      <c r="L16" s="4">
        <f t="shared" si="2"/>
        <v>30</v>
      </c>
      <c r="N16" s="12">
        <f t="shared" si="3"/>
        <v>7437500</v>
      </c>
      <c r="O16" s="12">
        <f t="shared" si="4"/>
        <v>42840000</v>
      </c>
      <c r="P16" s="12">
        <f t="shared" si="5"/>
        <v>11900</v>
      </c>
    </row>
    <row r="17" spans="1:16" x14ac:dyDescent="0.25">
      <c r="A17" s="3">
        <v>16</v>
      </c>
      <c r="B17" s="3">
        <v>16</v>
      </c>
      <c r="C17" s="3">
        <v>17</v>
      </c>
      <c r="D17" s="2">
        <v>12280</v>
      </c>
      <c r="E17" s="2">
        <f t="shared" si="0"/>
        <v>5492.5</v>
      </c>
      <c r="F17" s="2">
        <v>2380</v>
      </c>
      <c r="G17" s="2">
        <f t="shared" si="1"/>
        <v>991.66666666666674</v>
      </c>
      <c r="H17" s="4">
        <f>VLOOKUP(B17,nodes!A:D,2,0)</f>
        <v>450</v>
      </c>
      <c r="I17" s="4">
        <f>VLOOKUP(B17,nodes!A:D,4,0)</f>
        <v>300</v>
      </c>
      <c r="J17" s="4">
        <f>VLOOKUP(C17,nodes!A:D,2,0)</f>
        <v>480</v>
      </c>
      <c r="K17" s="4">
        <f>VLOOKUP(C17,nodes!A:D,4,0)</f>
        <v>300</v>
      </c>
      <c r="L17" s="4">
        <f t="shared" si="2"/>
        <v>30</v>
      </c>
      <c r="N17" s="12">
        <f t="shared" si="3"/>
        <v>7437500</v>
      </c>
      <c r="O17" s="12">
        <f t="shared" si="4"/>
        <v>42840000</v>
      </c>
      <c r="P17" s="12">
        <f t="shared" si="5"/>
        <v>11900</v>
      </c>
    </row>
    <row r="18" spans="1:16" x14ac:dyDescent="0.25">
      <c r="A18" s="3">
        <v>17</v>
      </c>
      <c r="B18" s="3">
        <v>17</v>
      </c>
      <c r="C18" s="3">
        <v>18</v>
      </c>
      <c r="D18" s="2">
        <v>12280</v>
      </c>
      <c r="E18" s="2">
        <f t="shared" si="0"/>
        <v>5492.5</v>
      </c>
      <c r="F18" s="2">
        <v>2380</v>
      </c>
      <c r="G18" s="2">
        <f t="shared" si="1"/>
        <v>991.66666666666674</v>
      </c>
      <c r="H18" s="4">
        <f>VLOOKUP(B18,nodes!A:D,2,0)</f>
        <v>480</v>
      </c>
      <c r="I18" s="4">
        <f>VLOOKUP(B18,nodes!A:D,4,0)</f>
        <v>300</v>
      </c>
      <c r="J18" s="4">
        <f>VLOOKUP(C18,nodes!A:D,2,0)</f>
        <v>509.99999999999994</v>
      </c>
      <c r="K18" s="4">
        <f>VLOOKUP(C18,nodes!A:D,4,0)</f>
        <v>300</v>
      </c>
      <c r="L18" s="4">
        <f t="shared" si="2"/>
        <v>29.999999999999943</v>
      </c>
      <c r="N18" s="12">
        <f t="shared" si="3"/>
        <v>7437500</v>
      </c>
      <c r="O18" s="12">
        <f t="shared" si="4"/>
        <v>42840000</v>
      </c>
      <c r="P18" s="12">
        <f t="shared" si="5"/>
        <v>11900</v>
      </c>
    </row>
    <row r="19" spans="1:16" x14ac:dyDescent="0.25">
      <c r="A19" s="3">
        <v>18</v>
      </c>
      <c r="B19" s="3">
        <v>18</v>
      </c>
      <c r="C19" s="3">
        <v>19</v>
      </c>
      <c r="D19" s="2">
        <v>12280</v>
      </c>
      <c r="E19" s="2">
        <f t="shared" si="0"/>
        <v>5492.5</v>
      </c>
      <c r="F19" s="2">
        <v>2380</v>
      </c>
      <c r="G19" s="2">
        <f t="shared" si="1"/>
        <v>991.66666666666674</v>
      </c>
      <c r="H19" s="4">
        <f>VLOOKUP(B19,nodes!A:D,2,0)</f>
        <v>509.99999999999994</v>
      </c>
      <c r="I19" s="4">
        <f>VLOOKUP(B19,nodes!A:D,4,0)</f>
        <v>300</v>
      </c>
      <c r="J19" s="4">
        <f>VLOOKUP(C19,nodes!A:D,2,0)</f>
        <v>540</v>
      </c>
      <c r="K19" s="4">
        <f>VLOOKUP(C19,nodes!A:D,4,0)</f>
        <v>300</v>
      </c>
      <c r="L19" s="4">
        <f t="shared" si="2"/>
        <v>30.000000000000057</v>
      </c>
      <c r="N19" s="12">
        <f t="shared" si="3"/>
        <v>7437500</v>
      </c>
      <c r="O19" s="12">
        <f t="shared" si="4"/>
        <v>42840000</v>
      </c>
      <c r="P19" s="12">
        <f t="shared" si="5"/>
        <v>11900</v>
      </c>
    </row>
    <row r="20" spans="1:16" x14ac:dyDescent="0.25">
      <c r="A20" s="3">
        <v>19</v>
      </c>
      <c r="B20" s="3">
        <v>19</v>
      </c>
      <c r="C20" s="3">
        <v>20</v>
      </c>
      <c r="D20" s="2">
        <v>12280</v>
      </c>
      <c r="E20" s="2">
        <f t="shared" si="0"/>
        <v>5492.5</v>
      </c>
      <c r="F20" s="2">
        <v>2380</v>
      </c>
      <c r="G20" s="2">
        <f t="shared" si="1"/>
        <v>991.66666666666674</v>
      </c>
      <c r="H20" s="4">
        <f>VLOOKUP(B20,nodes!A:D,2,0)</f>
        <v>540</v>
      </c>
      <c r="I20" s="4">
        <f>VLOOKUP(B20,nodes!A:D,4,0)</f>
        <v>300</v>
      </c>
      <c r="J20" s="4">
        <f>VLOOKUP(C20,nodes!A:D,2,0)</f>
        <v>570</v>
      </c>
      <c r="K20" s="4">
        <f>VLOOKUP(C20,nodes!A:D,4,0)</f>
        <v>300</v>
      </c>
      <c r="L20" s="4">
        <f t="shared" si="2"/>
        <v>30</v>
      </c>
      <c r="N20" s="12">
        <f t="shared" si="3"/>
        <v>7437500</v>
      </c>
      <c r="O20" s="12">
        <f t="shared" si="4"/>
        <v>42840000</v>
      </c>
      <c r="P20" s="12">
        <f t="shared" si="5"/>
        <v>11900</v>
      </c>
    </row>
    <row r="21" spans="1:16" x14ac:dyDescent="0.25">
      <c r="A21" s="3">
        <v>20</v>
      </c>
      <c r="B21" s="3">
        <v>20</v>
      </c>
      <c r="C21" s="3">
        <v>21</v>
      </c>
      <c r="D21" s="2">
        <v>12280</v>
      </c>
      <c r="E21" s="2">
        <f t="shared" si="0"/>
        <v>5492.5</v>
      </c>
      <c r="F21" s="2">
        <v>2380</v>
      </c>
      <c r="G21" s="2">
        <f t="shared" si="1"/>
        <v>991.66666666666674</v>
      </c>
      <c r="H21" s="4">
        <f>VLOOKUP(B21,nodes!A:D,2,0)</f>
        <v>570</v>
      </c>
      <c r="I21" s="4">
        <f>VLOOKUP(B21,nodes!A:D,4,0)</f>
        <v>300</v>
      </c>
      <c r="J21" s="4">
        <f>VLOOKUP(C21,nodes!A:D,2,0)</f>
        <v>600</v>
      </c>
      <c r="K21" s="4">
        <f>VLOOKUP(C21,nodes!A:D,4,0)</f>
        <v>300</v>
      </c>
      <c r="L21" s="4">
        <f t="shared" si="2"/>
        <v>30</v>
      </c>
      <c r="N21" s="12">
        <f t="shared" si="3"/>
        <v>7437500</v>
      </c>
      <c r="O21" s="12">
        <f t="shared" si="4"/>
        <v>42840000</v>
      </c>
      <c r="P21" s="12">
        <f t="shared" si="5"/>
        <v>11900</v>
      </c>
    </row>
    <row r="22" spans="1:16" x14ac:dyDescent="0.25">
      <c r="A22" s="3">
        <v>21</v>
      </c>
      <c r="B22" s="3">
        <v>22</v>
      </c>
      <c r="C22" s="3">
        <v>23</v>
      </c>
      <c r="D22" s="2">
        <v>12280</v>
      </c>
      <c r="E22" s="2">
        <f t="shared" si="0"/>
        <v>5492.5</v>
      </c>
      <c r="F22" s="2">
        <v>2380</v>
      </c>
      <c r="G22" s="2">
        <f t="shared" si="1"/>
        <v>991.66666666666674</v>
      </c>
      <c r="H22" s="4">
        <f>VLOOKUP(B22,nodes!A:D,2,0)</f>
        <v>0</v>
      </c>
      <c r="I22" s="4">
        <f>VLOOKUP(B22,nodes!A:D,4,0)</f>
        <v>270</v>
      </c>
      <c r="J22" s="4">
        <f>VLOOKUP(C22,nodes!A:D,2,0)</f>
        <v>30</v>
      </c>
      <c r="K22" s="4">
        <f>VLOOKUP(C22,nodes!A:D,4,0)</f>
        <v>270</v>
      </c>
      <c r="L22" s="4">
        <f t="shared" si="2"/>
        <v>30</v>
      </c>
      <c r="N22" s="12">
        <f t="shared" si="3"/>
        <v>7437500</v>
      </c>
      <c r="O22" s="12">
        <f t="shared" si="4"/>
        <v>42840000</v>
      </c>
      <c r="P22" s="12">
        <f t="shared" si="5"/>
        <v>11900</v>
      </c>
    </row>
    <row r="23" spans="1:16" x14ac:dyDescent="0.25">
      <c r="A23" s="3">
        <v>22</v>
      </c>
      <c r="B23" s="3">
        <v>23</v>
      </c>
      <c r="C23" s="3">
        <v>24</v>
      </c>
      <c r="D23" s="2">
        <v>12280</v>
      </c>
      <c r="E23" s="2">
        <f t="shared" si="0"/>
        <v>5492.5</v>
      </c>
      <c r="F23" s="2">
        <v>2380</v>
      </c>
      <c r="G23" s="2">
        <f t="shared" si="1"/>
        <v>991.66666666666674</v>
      </c>
      <c r="H23" s="4">
        <f>VLOOKUP(B23,nodes!A:D,2,0)</f>
        <v>30</v>
      </c>
      <c r="I23" s="4">
        <f>VLOOKUP(B23,nodes!A:D,4,0)</f>
        <v>270</v>
      </c>
      <c r="J23" s="4">
        <f>VLOOKUP(C23,nodes!A:D,2,0)</f>
        <v>60</v>
      </c>
      <c r="K23" s="4">
        <f>VLOOKUP(C23,nodes!A:D,4,0)</f>
        <v>270</v>
      </c>
      <c r="L23" s="4">
        <f t="shared" si="2"/>
        <v>30</v>
      </c>
      <c r="N23" s="12">
        <f t="shared" si="3"/>
        <v>7437500</v>
      </c>
      <c r="O23" s="12">
        <f t="shared" si="4"/>
        <v>42840000</v>
      </c>
      <c r="P23" s="12">
        <f t="shared" si="5"/>
        <v>11900</v>
      </c>
    </row>
    <row r="24" spans="1:16" x14ac:dyDescent="0.25">
      <c r="A24" s="3">
        <v>23</v>
      </c>
      <c r="B24" s="3">
        <v>24</v>
      </c>
      <c r="C24" s="3">
        <v>25</v>
      </c>
      <c r="D24" s="2">
        <v>12280</v>
      </c>
      <c r="E24" s="2">
        <f t="shared" si="0"/>
        <v>5492.5</v>
      </c>
      <c r="F24" s="2">
        <v>2380</v>
      </c>
      <c r="G24" s="2">
        <f t="shared" si="1"/>
        <v>991.66666666666674</v>
      </c>
      <c r="H24" s="4">
        <f>VLOOKUP(B24,nodes!A:D,2,0)</f>
        <v>60</v>
      </c>
      <c r="I24" s="4">
        <f>VLOOKUP(B24,nodes!A:D,4,0)</f>
        <v>270</v>
      </c>
      <c r="J24" s="4">
        <f>VLOOKUP(C24,nodes!A:D,2,0)</f>
        <v>90</v>
      </c>
      <c r="K24" s="4">
        <f>VLOOKUP(C24,nodes!A:D,4,0)</f>
        <v>270</v>
      </c>
      <c r="L24" s="4">
        <f t="shared" si="2"/>
        <v>30</v>
      </c>
      <c r="N24" s="12">
        <f t="shared" si="3"/>
        <v>7437500</v>
      </c>
      <c r="O24" s="12">
        <f t="shared" si="4"/>
        <v>42840000</v>
      </c>
      <c r="P24" s="12">
        <f t="shared" si="5"/>
        <v>11900</v>
      </c>
    </row>
    <row r="25" spans="1:16" x14ac:dyDescent="0.25">
      <c r="A25" s="3">
        <v>24</v>
      </c>
      <c r="B25" s="3">
        <v>25</v>
      </c>
      <c r="C25" s="3">
        <v>26</v>
      </c>
      <c r="D25" s="2">
        <v>12280</v>
      </c>
      <c r="E25" s="2">
        <f t="shared" si="0"/>
        <v>5492.5</v>
      </c>
      <c r="F25" s="2">
        <v>2380</v>
      </c>
      <c r="G25" s="2">
        <f t="shared" si="1"/>
        <v>991.66666666666674</v>
      </c>
      <c r="H25" s="4">
        <f>VLOOKUP(B25,nodes!A:D,2,0)</f>
        <v>90</v>
      </c>
      <c r="I25" s="4">
        <f>VLOOKUP(B25,nodes!A:D,4,0)</f>
        <v>270</v>
      </c>
      <c r="J25" s="4">
        <f>VLOOKUP(C25,nodes!A:D,2,0)</f>
        <v>120</v>
      </c>
      <c r="K25" s="4">
        <f>VLOOKUP(C25,nodes!A:D,4,0)</f>
        <v>270</v>
      </c>
      <c r="L25" s="4">
        <f t="shared" si="2"/>
        <v>30</v>
      </c>
      <c r="N25" s="12">
        <f t="shared" si="3"/>
        <v>7437500</v>
      </c>
      <c r="O25" s="12">
        <f t="shared" si="4"/>
        <v>42840000</v>
      </c>
      <c r="P25" s="12">
        <f t="shared" si="5"/>
        <v>11900</v>
      </c>
    </row>
    <row r="26" spans="1:16" x14ac:dyDescent="0.25">
      <c r="A26" s="3">
        <v>25</v>
      </c>
      <c r="B26" s="3">
        <v>26</v>
      </c>
      <c r="C26" s="3">
        <v>27</v>
      </c>
      <c r="D26" s="2">
        <v>12280</v>
      </c>
      <c r="E26" s="2">
        <f t="shared" si="0"/>
        <v>5492.5</v>
      </c>
      <c r="F26" s="2">
        <v>2380</v>
      </c>
      <c r="G26" s="2">
        <f t="shared" si="1"/>
        <v>991.66666666666674</v>
      </c>
      <c r="H26" s="4">
        <f>VLOOKUP(B26,nodes!A:D,2,0)</f>
        <v>120</v>
      </c>
      <c r="I26" s="4">
        <f>VLOOKUP(B26,nodes!A:D,4,0)</f>
        <v>270</v>
      </c>
      <c r="J26" s="4">
        <f>VLOOKUP(C26,nodes!A:D,2,0)</f>
        <v>150</v>
      </c>
      <c r="K26" s="4">
        <f>VLOOKUP(C26,nodes!A:D,4,0)</f>
        <v>270</v>
      </c>
      <c r="L26" s="4">
        <f t="shared" si="2"/>
        <v>30</v>
      </c>
      <c r="N26" s="12">
        <f t="shared" si="3"/>
        <v>7437500</v>
      </c>
      <c r="O26" s="12">
        <f t="shared" si="4"/>
        <v>42840000</v>
      </c>
      <c r="P26" s="12">
        <f t="shared" si="5"/>
        <v>11900</v>
      </c>
    </row>
    <row r="27" spans="1:16" x14ac:dyDescent="0.25">
      <c r="A27" s="3">
        <v>26</v>
      </c>
      <c r="B27" s="3">
        <v>27</v>
      </c>
      <c r="C27" s="3">
        <v>28</v>
      </c>
      <c r="D27" s="2">
        <v>12280</v>
      </c>
      <c r="E27" s="2">
        <f t="shared" si="0"/>
        <v>5492.5</v>
      </c>
      <c r="F27" s="2">
        <v>2380</v>
      </c>
      <c r="G27" s="2">
        <f t="shared" si="1"/>
        <v>991.66666666666674</v>
      </c>
      <c r="H27" s="4">
        <f>VLOOKUP(B27,nodes!A:D,2,0)</f>
        <v>150</v>
      </c>
      <c r="I27" s="4">
        <f>VLOOKUP(B27,nodes!A:D,4,0)</f>
        <v>270</v>
      </c>
      <c r="J27" s="4">
        <f>VLOOKUP(C27,nodes!A:D,2,0)</f>
        <v>180</v>
      </c>
      <c r="K27" s="4">
        <f>VLOOKUP(C27,nodes!A:D,4,0)</f>
        <v>270</v>
      </c>
      <c r="L27" s="4">
        <f t="shared" si="2"/>
        <v>30</v>
      </c>
      <c r="N27" s="12">
        <f t="shared" si="3"/>
        <v>7437500</v>
      </c>
      <c r="O27" s="12">
        <f t="shared" si="4"/>
        <v>42840000</v>
      </c>
      <c r="P27" s="12">
        <f t="shared" si="5"/>
        <v>11900</v>
      </c>
    </row>
    <row r="28" spans="1:16" x14ac:dyDescent="0.25">
      <c r="A28" s="3">
        <v>27</v>
      </c>
      <c r="B28" s="3">
        <v>28</v>
      </c>
      <c r="C28" s="3">
        <v>29</v>
      </c>
      <c r="D28" s="2">
        <v>12280</v>
      </c>
      <c r="E28" s="2">
        <f t="shared" si="0"/>
        <v>5492.5</v>
      </c>
      <c r="F28" s="2">
        <v>2380</v>
      </c>
      <c r="G28" s="2">
        <f t="shared" si="1"/>
        <v>991.66666666666674</v>
      </c>
      <c r="H28" s="4">
        <f>VLOOKUP(B28,nodes!A:D,2,0)</f>
        <v>180</v>
      </c>
      <c r="I28" s="4">
        <f>VLOOKUP(B28,nodes!A:D,4,0)</f>
        <v>270</v>
      </c>
      <c r="J28" s="4">
        <f>VLOOKUP(C28,nodes!A:D,2,0)</f>
        <v>210</v>
      </c>
      <c r="K28" s="4">
        <f>VLOOKUP(C28,nodes!A:D,4,0)</f>
        <v>270</v>
      </c>
      <c r="L28" s="4">
        <f t="shared" si="2"/>
        <v>30</v>
      </c>
      <c r="N28" s="12">
        <f t="shared" si="3"/>
        <v>7437500</v>
      </c>
      <c r="O28" s="12">
        <f t="shared" si="4"/>
        <v>42840000</v>
      </c>
      <c r="P28" s="12">
        <f t="shared" si="5"/>
        <v>11900</v>
      </c>
    </row>
    <row r="29" spans="1:16" x14ac:dyDescent="0.25">
      <c r="A29" s="3">
        <v>28</v>
      </c>
      <c r="B29" s="3">
        <v>29</v>
      </c>
      <c r="C29" s="3">
        <v>30</v>
      </c>
      <c r="D29" s="2">
        <v>12280</v>
      </c>
      <c r="E29" s="2">
        <f t="shared" si="0"/>
        <v>5492.5</v>
      </c>
      <c r="F29" s="2">
        <v>2380</v>
      </c>
      <c r="G29" s="2">
        <f t="shared" si="1"/>
        <v>991.66666666666674</v>
      </c>
      <c r="H29" s="4">
        <f>VLOOKUP(B29,nodes!A:D,2,0)</f>
        <v>210</v>
      </c>
      <c r="I29" s="4">
        <f>VLOOKUP(B29,nodes!A:D,4,0)</f>
        <v>270</v>
      </c>
      <c r="J29" s="4">
        <f>VLOOKUP(C29,nodes!A:D,2,0)</f>
        <v>240</v>
      </c>
      <c r="K29" s="4">
        <f>VLOOKUP(C29,nodes!A:D,4,0)</f>
        <v>270</v>
      </c>
      <c r="L29" s="4">
        <f t="shared" si="2"/>
        <v>30</v>
      </c>
      <c r="N29" s="12">
        <f t="shared" si="3"/>
        <v>7437500</v>
      </c>
      <c r="O29" s="12">
        <f t="shared" si="4"/>
        <v>42840000</v>
      </c>
      <c r="P29" s="12">
        <f t="shared" si="5"/>
        <v>11900</v>
      </c>
    </row>
    <row r="30" spans="1:16" x14ac:dyDescent="0.25">
      <c r="A30" s="3">
        <v>29</v>
      </c>
      <c r="B30" s="3">
        <v>30</v>
      </c>
      <c r="C30" s="3">
        <v>31</v>
      </c>
      <c r="D30" s="2">
        <v>12280</v>
      </c>
      <c r="E30" s="2">
        <f t="shared" si="0"/>
        <v>5492.5</v>
      </c>
      <c r="F30" s="2">
        <v>2380</v>
      </c>
      <c r="G30" s="2">
        <f t="shared" si="1"/>
        <v>991.66666666666674</v>
      </c>
      <c r="H30" s="4">
        <f>VLOOKUP(B30,nodes!A:D,2,0)</f>
        <v>240</v>
      </c>
      <c r="I30" s="4">
        <f>VLOOKUP(B30,nodes!A:D,4,0)</f>
        <v>270</v>
      </c>
      <c r="J30" s="4">
        <f>VLOOKUP(C30,nodes!A:D,2,0)</f>
        <v>270</v>
      </c>
      <c r="K30" s="4">
        <f>VLOOKUP(C30,nodes!A:D,4,0)</f>
        <v>270</v>
      </c>
      <c r="L30" s="4">
        <f t="shared" si="2"/>
        <v>30</v>
      </c>
      <c r="N30" s="12">
        <f t="shared" si="3"/>
        <v>7437500</v>
      </c>
      <c r="O30" s="12">
        <f t="shared" si="4"/>
        <v>42840000</v>
      </c>
      <c r="P30" s="12">
        <f t="shared" si="5"/>
        <v>11900</v>
      </c>
    </row>
    <row r="31" spans="1:16" x14ac:dyDescent="0.25">
      <c r="A31" s="3">
        <v>30</v>
      </c>
      <c r="B31" s="3">
        <v>31</v>
      </c>
      <c r="C31" s="3">
        <v>32</v>
      </c>
      <c r="D31" s="2">
        <v>12280</v>
      </c>
      <c r="E31" s="2">
        <f t="shared" si="0"/>
        <v>5492.5</v>
      </c>
      <c r="F31" s="2">
        <v>2380</v>
      </c>
      <c r="G31" s="2">
        <f t="shared" si="1"/>
        <v>991.66666666666674</v>
      </c>
      <c r="H31" s="4">
        <f>VLOOKUP(B31,nodes!A:D,2,0)</f>
        <v>270</v>
      </c>
      <c r="I31" s="4">
        <f>VLOOKUP(B31,nodes!A:D,4,0)</f>
        <v>270</v>
      </c>
      <c r="J31" s="4">
        <f>VLOOKUP(C31,nodes!A:D,2,0)</f>
        <v>300</v>
      </c>
      <c r="K31" s="4">
        <f>VLOOKUP(C31,nodes!A:D,4,0)</f>
        <v>270</v>
      </c>
      <c r="L31" s="4">
        <f t="shared" si="2"/>
        <v>30</v>
      </c>
      <c r="N31" s="12">
        <f t="shared" si="3"/>
        <v>7437500</v>
      </c>
      <c r="O31" s="12">
        <f t="shared" si="4"/>
        <v>42840000</v>
      </c>
      <c r="P31" s="12">
        <f t="shared" si="5"/>
        <v>11900</v>
      </c>
    </row>
    <row r="32" spans="1:16" x14ac:dyDescent="0.25">
      <c r="A32" s="3">
        <v>31</v>
      </c>
      <c r="B32" s="3">
        <v>32</v>
      </c>
      <c r="C32" s="3">
        <v>33</v>
      </c>
      <c r="D32" s="2">
        <v>12280</v>
      </c>
      <c r="E32" s="2">
        <f t="shared" si="0"/>
        <v>5492.5</v>
      </c>
      <c r="F32" s="2">
        <v>2380</v>
      </c>
      <c r="G32" s="2">
        <f t="shared" si="1"/>
        <v>991.66666666666674</v>
      </c>
      <c r="H32" s="4">
        <f>VLOOKUP(B32,nodes!A:D,2,0)</f>
        <v>300</v>
      </c>
      <c r="I32" s="4">
        <f>VLOOKUP(B32,nodes!A:D,4,0)</f>
        <v>270</v>
      </c>
      <c r="J32" s="4">
        <f>VLOOKUP(C32,nodes!A:D,2,0)</f>
        <v>330</v>
      </c>
      <c r="K32" s="4">
        <f>VLOOKUP(C32,nodes!A:D,4,0)</f>
        <v>270</v>
      </c>
      <c r="L32" s="4">
        <f t="shared" si="2"/>
        <v>30</v>
      </c>
      <c r="N32" s="12">
        <f t="shared" si="3"/>
        <v>7437500</v>
      </c>
      <c r="O32" s="12">
        <f t="shared" si="4"/>
        <v>42840000</v>
      </c>
      <c r="P32" s="12">
        <f t="shared" si="5"/>
        <v>11900</v>
      </c>
    </row>
    <row r="33" spans="1:16" x14ac:dyDescent="0.25">
      <c r="A33" s="3">
        <v>32</v>
      </c>
      <c r="B33" s="3">
        <v>33</v>
      </c>
      <c r="C33" s="3">
        <v>34</v>
      </c>
      <c r="D33" s="2">
        <v>12280</v>
      </c>
      <c r="E33" s="2">
        <f t="shared" si="0"/>
        <v>5492.5</v>
      </c>
      <c r="F33" s="2">
        <v>2380</v>
      </c>
      <c r="G33" s="2">
        <f t="shared" si="1"/>
        <v>991.66666666666674</v>
      </c>
      <c r="H33" s="4">
        <f>VLOOKUP(B33,nodes!A:D,2,0)</f>
        <v>330</v>
      </c>
      <c r="I33" s="4">
        <f>VLOOKUP(B33,nodes!A:D,4,0)</f>
        <v>270</v>
      </c>
      <c r="J33" s="4">
        <f>VLOOKUP(C33,nodes!A:D,2,0)</f>
        <v>360</v>
      </c>
      <c r="K33" s="4">
        <f>VLOOKUP(C33,nodes!A:D,4,0)</f>
        <v>270</v>
      </c>
      <c r="L33" s="4">
        <f t="shared" si="2"/>
        <v>30</v>
      </c>
      <c r="N33" s="12">
        <f t="shared" si="3"/>
        <v>7437500</v>
      </c>
      <c r="O33" s="12">
        <f t="shared" si="4"/>
        <v>42840000</v>
      </c>
      <c r="P33" s="12">
        <f t="shared" si="5"/>
        <v>11900</v>
      </c>
    </row>
    <row r="34" spans="1:16" x14ac:dyDescent="0.25">
      <c r="A34" s="3">
        <v>33</v>
      </c>
      <c r="B34" s="3">
        <v>34</v>
      </c>
      <c r="C34" s="3">
        <v>35</v>
      </c>
      <c r="D34" s="2">
        <v>12280</v>
      </c>
      <c r="E34" s="2">
        <f t="shared" si="0"/>
        <v>5492.5</v>
      </c>
      <c r="F34" s="2">
        <v>2380</v>
      </c>
      <c r="G34" s="2">
        <f t="shared" si="1"/>
        <v>991.66666666666674</v>
      </c>
      <c r="H34" s="4">
        <f>VLOOKUP(B34,nodes!A:D,2,0)</f>
        <v>360</v>
      </c>
      <c r="I34" s="4">
        <f>VLOOKUP(B34,nodes!A:D,4,0)</f>
        <v>270</v>
      </c>
      <c r="J34" s="4">
        <f>VLOOKUP(C34,nodes!A:D,2,0)</f>
        <v>390</v>
      </c>
      <c r="K34" s="4">
        <f>VLOOKUP(C34,nodes!A:D,4,0)</f>
        <v>270</v>
      </c>
      <c r="L34" s="4">
        <f t="shared" si="2"/>
        <v>30</v>
      </c>
      <c r="N34" s="12">
        <f t="shared" si="3"/>
        <v>7437500</v>
      </c>
      <c r="O34" s="12">
        <f t="shared" si="4"/>
        <v>42840000</v>
      </c>
      <c r="P34" s="12">
        <f t="shared" si="5"/>
        <v>11900</v>
      </c>
    </row>
    <row r="35" spans="1:16" x14ac:dyDescent="0.25">
      <c r="A35" s="3">
        <v>34</v>
      </c>
      <c r="B35" s="3">
        <v>35</v>
      </c>
      <c r="C35" s="3">
        <v>36</v>
      </c>
      <c r="D35" s="2">
        <v>12280</v>
      </c>
      <c r="E35" s="2">
        <f t="shared" si="0"/>
        <v>5492.5</v>
      </c>
      <c r="F35" s="2">
        <v>2380</v>
      </c>
      <c r="G35" s="2">
        <f t="shared" si="1"/>
        <v>991.66666666666674</v>
      </c>
      <c r="H35" s="4">
        <f>VLOOKUP(B35,nodes!A:D,2,0)</f>
        <v>390</v>
      </c>
      <c r="I35" s="4">
        <f>VLOOKUP(B35,nodes!A:D,4,0)</f>
        <v>270</v>
      </c>
      <c r="J35" s="4">
        <f>VLOOKUP(C35,nodes!A:D,2,0)</f>
        <v>420</v>
      </c>
      <c r="K35" s="4">
        <f>VLOOKUP(C35,nodes!A:D,4,0)</f>
        <v>270</v>
      </c>
      <c r="L35" s="4">
        <f t="shared" si="2"/>
        <v>30</v>
      </c>
      <c r="N35" s="12">
        <f t="shared" si="3"/>
        <v>7437500</v>
      </c>
      <c r="O35" s="12">
        <f t="shared" si="4"/>
        <v>42840000</v>
      </c>
      <c r="P35" s="12">
        <f t="shared" si="5"/>
        <v>11900</v>
      </c>
    </row>
    <row r="36" spans="1:16" x14ac:dyDescent="0.25">
      <c r="A36" s="3">
        <v>35</v>
      </c>
      <c r="B36" s="3">
        <v>36</v>
      </c>
      <c r="C36" s="3">
        <v>37</v>
      </c>
      <c r="D36" s="2">
        <v>12280</v>
      </c>
      <c r="E36" s="2">
        <f t="shared" si="0"/>
        <v>5492.5</v>
      </c>
      <c r="F36" s="2">
        <v>2380</v>
      </c>
      <c r="G36" s="2">
        <f t="shared" si="1"/>
        <v>991.66666666666674</v>
      </c>
      <c r="H36" s="4">
        <f>VLOOKUP(B36,nodes!A:D,2,0)</f>
        <v>420</v>
      </c>
      <c r="I36" s="4">
        <f>VLOOKUP(B36,nodes!A:D,4,0)</f>
        <v>270</v>
      </c>
      <c r="J36" s="4">
        <f>VLOOKUP(C36,nodes!A:D,2,0)</f>
        <v>450</v>
      </c>
      <c r="K36" s="4">
        <f>VLOOKUP(C36,nodes!A:D,4,0)</f>
        <v>270</v>
      </c>
      <c r="L36" s="4">
        <f t="shared" si="2"/>
        <v>30</v>
      </c>
      <c r="N36" s="12">
        <f t="shared" si="3"/>
        <v>7437500</v>
      </c>
      <c r="O36" s="12">
        <f t="shared" si="4"/>
        <v>42840000</v>
      </c>
      <c r="P36" s="12">
        <f t="shared" si="5"/>
        <v>11900</v>
      </c>
    </row>
    <row r="37" spans="1:16" x14ac:dyDescent="0.25">
      <c r="A37" s="3">
        <v>36</v>
      </c>
      <c r="B37" s="3">
        <v>37</v>
      </c>
      <c r="C37" s="3">
        <v>38</v>
      </c>
      <c r="D37" s="2">
        <v>12280</v>
      </c>
      <c r="E37" s="2">
        <f t="shared" si="0"/>
        <v>5492.5</v>
      </c>
      <c r="F37" s="2">
        <v>2380</v>
      </c>
      <c r="G37" s="2">
        <f t="shared" si="1"/>
        <v>991.66666666666674</v>
      </c>
      <c r="H37" s="4">
        <f>VLOOKUP(B37,nodes!A:D,2,0)</f>
        <v>450</v>
      </c>
      <c r="I37" s="4">
        <f>VLOOKUP(B37,nodes!A:D,4,0)</f>
        <v>270</v>
      </c>
      <c r="J37" s="4">
        <f>VLOOKUP(C37,nodes!A:D,2,0)</f>
        <v>480</v>
      </c>
      <c r="K37" s="4">
        <f>VLOOKUP(C37,nodes!A:D,4,0)</f>
        <v>270</v>
      </c>
      <c r="L37" s="4">
        <f t="shared" si="2"/>
        <v>30</v>
      </c>
      <c r="N37" s="12">
        <f t="shared" si="3"/>
        <v>7437500</v>
      </c>
      <c r="O37" s="12">
        <f t="shared" si="4"/>
        <v>42840000</v>
      </c>
      <c r="P37" s="12">
        <f t="shared" si="5"/>
        <v>11900</v>
      </c>
    </row>
    <row r="38" spans="1:16" x14ac:dyDescent="0.25">
      <c r="A38" s="3">
        <v>37</v>
      </c>
      <c r="B38" s="3">
        <v>38</v>
      </c>
      <c r="C38" s="3">
        <v>39</v>
      </c>
      <c r="D38" s="2">
        <v>12280</v>
      </c>
      <c r="E38" s="2">
        <f t="shared" si="0"/>
        <v>5492.5</v>
      </c>
      <c r="F38" s="2">
        <v>2380</v>
      </c>
      <c r="G38" s="2">
        <f t="shared" si="1"/>
        <v>991.66666666666674</v>
      </c>
      <c r="H38" s="4">
        <f>VLOOKUP(B38,nodes!A:D,2,0)</f>
        <v>480</v>
      </c>
      <c r="I38" s="4">
        <f>VLOOKUP(B38,nodes!A:D,4,0)</f>
        <v>270</v>
      </c>
      <c r="J38" s="4">
        <f>VLOOKUP(C38,nodes!A:D,2,0)</f>
        <v>509.99999999999994</v>
      </c>
      <c r="K38" s="4">
        <f>VLOOKUP(C38,nodes!A:D,4,0)</f>
        <v>270</v>
      </c>
      <c r="L38" s="4">
        <f t="shared" si="2"/>
        <v>29.999999999999943</v>
      </c>
      <c r="N38" s="12">
        <f t="shared" si="3"/>
        <v>7437500</v>
      </c>
      <c r="O38" s="12">
        <f t="shared" si="4"/>
        <v>42840000</v>
      </c>
      <c r="P38" s="12">
        <f t="shared" si="5"/>
        <v>11900</v>
      </c>
    </row>
    <row r="39" spans="1:16" x14ac:dyDescent="0.25">
      <c r="A39" s="3">
        <v>38</v>
      </c>
      <c r="B39" s="3">
        <v>39</v>
      </c>
      <c r="C39" s="3">
        <v>40</v>
      </c>
      <c r="D39" s="2">
        <v>12280</v>
      </c>
      <c r="E39" s="2">
        <f t="shared" si="0"/>
        <v>5492.5</v>
      </c>
      <c r="F39" s="2">
        <v>2380</v>
      </c>
      <c r="G39" s="2">
        <f t="shared" si="1"/>
        <v>991.66666666666674</v>
      </c>
      <c r="H39" s="4">
        <f>VLOOKUP(B39,nodes!A:D,2,0)</f>
        <v>509.99999999999994</v>
      </c>
      <c r="I39" s="4">
        <f>VLOOKUP(B39,nodes!A:D,4,0)</f>
        <v>270</v>
      </c>
      <c r="J39" s="4">
        <f>VLOOKUP(C39,nodes!A:D,2,0)</f>
        <v>540</v>
      </c>
      <c r="K39" s="4">
        <f>VLOOKUP(C39,nodes!A:D,4,0)</f>
        <v>270</v>
      </c>
      <c r="L39" s="4">
        <f t="shared" si="2"/>
        <v>30.000000000000057</v>
      </c>
      <c r="N39" s="12">
        <f t="shared" si="3"/>
        <v>7437500</v>
      </c>
      <c r="O39" s="12">
        <f t="shared" si="4"/>
        <v>42840000</v>
      </c>
      <c r="P39" s="12">
        <f t="shared" si="5"/>
        <v>11900</v>
      </c>
    </row>
    <row r="40" spans="1:16" x14ac:dyDescent="0.25">
      <c r="A40" s="3">
        <v>39</v>
      </c>
      <c r="B40" s="3">
        <v>40</v>
      </c>
      <c r="C40" s="3">
        <v>41</v>
      </c>
      <c r="D40" s="2">
        <v>12280</v>
      </c>
      <c r="E40" s="2">
        <f t="shared" si="0"/>
        <v>5492.5</v>
      </c>
      <c r="F40" s="2">
        <v>2380</v>
      </c>
      <c r="G40" s="2">
        <f t="shared" si="1"/>
        <v>991.66666666666674</v>
      </c>
      <c r="H40" s="4">
        <f>VLOOKUP(B40,nodes!A:D,2,0)</f>
        <v>540</v>
      </c>
      <c r="I40" s="4">
        <f>VLOOKUP(B40,nodes!A:D,4,0)</f>
        <v>270</v>
      </c>
      <c r="J40" s="4">
        <f>VLOOKUP(C40,nodes!A:D,2,0)</f>
        <v>570</v>
      </c>
      <c r="K40" s="4">
        <f>VLOOKUP(C40,nodes!A:D,4,0)</f>
        <v>270</v>
      </c>
      <c r="L40" s="4">
        <f t="shared" si="2"/>
        <v>30</v>
      </c>
      <c r="N40" s="12">
        <f t="shared" si="3"/>
        <v>7437500</v>
      </c>
      <c r="O40" s="12">
        <f t="shared" si="4"/>
        <v>42840000</v>
      </c>
      <c r="P40" s="12">
        <f t="shared" si="5"/>
        <v>11900</v>
      </c>
    </row>
    <row r="41" spans="1:16" x14ac:dyDescent="0.25">
      <c r="A41" s="3">
        <v>40</v>
      </c>
      <c r="B41" s="3">
        <v>41</v>
      </c>
      <c r="C41" s="3">
        <v>42</v>
      </c>
      <c r="D41" s="2">
        <v>12280</v>
      </c>
      <c r="E41" s="2">
        <f t="shared" si="0"/>
        <v>5492.5</v>
      </c>
      <c r="F41" s="2">
        <v>2380</v>
      </c>
      <c r="G41" s="2">
        <f t="shared" si="1"/>
        <v>991.66666666666674</v>
      </c>
      <c r="H41" s="4">
        <f>VLOOKUP(B41,nodes!A:D,2,0)</f>
        <v>570</v>
      </c>
      <c r="I41" s="4">
        <f>VLOOKUP(B41,nodes!A:D,4,0)</f>
        <v>270</v>
      </c>
      <c r="J41" s="4">
        <f>VLOOKUP(C41,nodes!A:D,2,0)</f>
        <v>600</v>
      </c>
      <c r="K41" s="4">
        <f>VLOOKUP(C41,nodes!A:D,4,0)</f>
        <v>270</v>
      </c>
      <c r="L41" s="4">
        <f t="shared" si="2"/>
        <v>30</v>
      </c>
      <c r="N41" s="12">
        <f t="shared" si="3"/>
        <v>7437500</v>
      </c>
      <c r="O41" s="12">
        <f t="shared" si="4"/>
        <v>42840000</v>
      </c>
      <c r="P41" s="12">
        <f t="shared" si="5"/>
        <v>11900</v>
      </c>
    </row>
    <row r="42" spans="1:16" x14ac:dyDescent="0.25">
      <c r="A42" s="3">
        <v>41</v>
      </c>
      <c r="B42" s="3">
        <v>43</v>
      </c>
      <c r="C42" s="3">
        <v>44</v>
      </c>
      <c r="D42" s="2">
        <v>12280</v>
      </c>
      <c r="E42" s="2">
        <f t="shared" si="0"/>
        <v>5492.5</v>
      </c>
      <c r="F42" s="2">
        <v>2380</v>
      </c>
      <c r="G42" s="2">
        <f t="shared" si="1"/>
        <v>991.66666666666674</v>
      </c>
      <c r="H42" s="4">
        <f>VLOOKUP(B42,nodes!A:D,2,0)</f>
        <v>0</v>
      </c>
      <c r="I42" s="4">
        <f>VLOOKUP(B42,nodes!A:D,4,0)</f>
        <v>240</v>
      </c>
      <c r="J42" s="4">
        <f>VLOOKUP(C42,nodes!A:D,2,0)</f>
        <v>30</v>
      </c>
      <c r="K42" s="4">
        <f>VLOOKUP(C42,nodes!A:D,4,0)</f>
        <v>240</v>
      </c>
      <c r="L42" s="4">
        <f t="shared" si="2"/>
        <v>30</v>
      </c>
      <c r="N42" s="12">
        <f t="shared" si="3"/>
        <v>7437500</v>
      </c>
      <c r="O42" s="12">
        <f t="shared" si="4"/>
        <v>42840000</v>
      </c>
      <c r="P42" s="12">
        <f t="shared" si="5"/>
        <v>11900</v>
      </c>
    </row>
    <row r="43" spans="1:16" x14ac:dyDescent="0.25">
      <c r="A43" s="3">
        <v>42</v>
      </c>
      <c r="B43" s="3">
        <v>44</v>
      </c>
      <c r="C43" s="3">
        <v>45</v>
      </c>
      <c r="D43" s="2">
        <v>12280</v>
      </c>
      <c r="E43" s="2">
        <f t="shared" si="0"/>
        <v>5492.5</v>
      </c>
      <c r="F43" s="2">
        <v>2380</v>
      </c>
      <c r="G43" s="2">
        <f t="shared" si="1"/>
        <v>991.66666666666674</v>
      </c>
      <c r="H43" s="4">
        <f>VLOOKUP(B43,nodes!A:D,2,0)</f>
        <v>30</v>
      </c>
      <c r="I43" s="4">
        <f>VLOOKUP(B43,nodes!A:D,4,0)</f>
        <v>240</v>
      </c>
      <c r="J43" s="4">
        <f>VLOOKUP(C43,nodes!A:D,2,0)</f>
        <v>60</v>
      </c>
      <c r="K43" s="4">
        <f>VLOOKUP(C43,nodes!A:D,4,0)</f>
        <v>240</v>
      </c>
      <c r="L43" s="4">
        <f t="shared" si="2"/>
        <v>30</v>
      </c>
      <c r="N43" s="12">
        <f t="shared" si="3"/>
        <v>7437500</v>
      </c>
      <c r="O43" s="12">
        <f t="shared" si="4"/>
        <v>42840000</v>
      </c>
      <c r="P43" s="12">
        <f t="shared" si="5"/>
        <v>11900</v>
      </c>
    </row>
    <row r="44" spans="1:16" x14ac:dyDescent="0.25">
      <c r="A44" s="3">
        <v>43</v>
      </c>
      <c r="B44" s="3">
        <v>45</v>
      </c>
      <c r="C44" s="3">
        <v>46</v>
      </c>
      <c r="D44" s="2">
        <v>12280</v>
      </c>
      <c r="E44" s="2">
        <f t="shared" si="0"/>
        <v>5492.5</v>
      </c>
      <c r="F44" s="2">
        <v>2380</v>
      </c>
      <c r="G44" s="2">
        <f t="shared" si="1"/>
        <v>991.66666666666674</v>
      </c>
      <c r="H44" s="4">
        <f>VLOOKUP(B44,nodes!A:D,2,0)</f>
        <v>60</v>
      </c>
      <c r="I44" s="4">
        <f>VLOOKUP(B44,nodes!A:D,4,0)</f>
        <v>240</v>
      </c>
      <c r="J44" s="4">
        <f>VLOOKUP(C44,nodes!A:D,2,0)</f>
        <v>90</v>
      </c>
      <c r="K44" s="4">
        <f>VLOOKUP(C44,nodes!A:D,4,0)</f>
        <v>240</v>
      </c>
      <c r="L44" s="4">
        <f t="shared" si="2"/>
        <v>30</v>
      </c>
      <c r="N44" s="12">
        <f t="shared" si="3"/>
        <v>7437500</v>
      </c>
      <c r="O44" s="12">
        <f t="shared" si="4"/>
        <v>42840000</v>
      </c>
      <c r="P44" s="12">
        <f t="shared" si="5"/>
        <v>11900</v>
      </c>
    </row>
    <row r="45" spans="1:16" x14ac:dyDescent="0.25">
      <c r="A45" s="3">
        <v>44</v>
      </c>
      <c r="B45" s="3">
        <v>46</v>
      </c>
      <c r="C45" s="3">
        <v>47</v>
      </c>
      <c r="D45" s="2">
        <v>12280</v>
      </c>
      <c r="E45" s="2">
        <f t="shared" si="0"/>
        <v>5492.5</v>
      </c>
      <c r="F45" s="2">
        <v>2380</v>
      </c>
      <c r="G45" s="2">
        <f t="shared" si="1"/>
        <v>991.66666666666674</v>
      </c>
      <c r="H45" s="4">
        <f>VLOOKUP(B45,nodes!A:D,2,0)</f>
        <v>90</v>
      </c>
      <c r="I45" s="4">
        <f>VLOOKUP(B45,nodes!A:D,4,0)</f>
        <v>240</v>
      </c>
      <c r="J45" s="4">
        <f>VLOOKUP(C45,nodes!A:D,2,0)</f>
        <v>120</v>
      </c>
      <c r="K45" s="4">
        <f>VLOOKUP(C45,nodes!A:D,4,0)</f>
        <v>240</v>
      </c>
      <c r="L45" s="4">
        <f t="shared" si="2"/>
        <v>30</v>
      </c>
      <c r="N45" s="12">
        <f t="shared" si="3"/>
        <v>7437500</v>
      </c>
      <c r="O45" s="12">
        <f t="shared" si="4"/>
        <v>42840000</v>
      </c>
      <c r="P45" s="12">
        <f t="shared" si="5"/>
        <v>11900</v>
      </c>
    </row>
    <row r="46" spans="1:16" x14ac:dyDescent="0.25">
      <c r="A46" s="3">
        <v>45</v>
      </c>
      <c r="B46" s="3">
        <v>47</v>
      </c>
      <c r="C46" s="3">
        <v>48</v>
      </c>
      <c r="D46" s="2">
        <v>12280</v>
      </c>
      <c r="E46" s="2">
        <f t="shared" si="0"/>
        <v>5492.5</v>
      </c>
      <c r="F46" s="2">
        <v>2380</v>
      </c>
      <c r="G46" s="2">
        <f t="shared" si="1"/>
        <v>991.66666666666674</v>
      </c>
      <c r="H46" s="4">
        <f>VLOOKUP(B46,nodes!A:D,2,0)</f>
        <v>120</v>
      </c>
      <c r="I46" s="4">
        <f>VLOOKUP(B46,nodes!A:D,4,0)</f>
        <v>240</v>
      </c>
      <c r="J46" s="4">
        <f>VLOOKUP(C46,nodes!A:D,2,0)</f>
        <v>150</v>
      </c>
      <c r="K46" s="4">
        <f>VLOOKUP(C46,nodes!A:D,4,0)</f>
        <v>240</v>
      </c>
      <c r="L46" s="4">
        <f t="shared" si="2"/>
        <v>30</v>
      </c>
      <c r="N46" s="12">
        <f t="shared" si="3"/>
        <v>7437500</v>
      </c>
      <c r="O46" s="12">
        <f t="shared" si="4"/>
        <v>42840000</v>
      </c>
      <c r="P46" s="12">
        <f t="shared" si="5"/>
        <v>11900</v>
      </c>
    </row>
    <row r="47" spans="1:16" x14ac:dyDescent="0.25">
      <c r="A47" s="3">
        <v>46</v>
      </c>
      <c r="B47" s="3">
        <v>48</v>
      </c>
      <c r="C47" s="3">
        <v>49</v>
      </c>
      <c r="D47" s="2">
        <v>12280</v>
      </c>
      <c r="E47" s="2">
        <f t="shared" si="0"/>
        <v>5492.5</v>
      </c>
      <c r="F47" s="2">
        <v>2380</v>
      </c>
      <c r="G47" s="2">
        <f t="shared" si="1"/>
        <v>991.66666666666674</v>
      </c>
      <c r="H47" s="4">
        <f>VLOOKUP(B47,nodes!A:D,2,0)</f>
        <v>150</v>
      </c>
      <c r="I47" s="4">
        <f>VLOOKUP(B47,nodes!A:D,4,0)</f>
        <v>240</v>
      </c>
      <c r="J47" s="4">
        <f>VLOOKUP(C47,nodes!A:D,2,0)</f>
        <v>180</v>
      </c>
      <c r="K47" s="4">
        <f>VLOOKUP(C47,nodes!A:D,4,0)</f>
        <v>240</v>
      </c>
      <c r="L47" s="4">
        <f t="shared" si="2"/>
        <v>30</v>
      </c>
      <c r="N47" s="12">
        <f t="shared" si="3"/>
        <v>7437500</v>
      </c>
      <c r="O47" s="12">
        <f t="shared" si="4"/>
        <v>42840000</v>
      </c>
      <c r="P47" s="12">
        <f t="shared" si="5"/>
        <v>11900</v>
      </c>
    </row>
    <row r="48" spans="1:16" x14ac:dyDescent="0.25">
      <c r="A48" s="3">
        <v>47</v>
      </c>
      <c r="B48" s="3">
        <v>49</v>
      </c>
      <c r="C48" s="3">
        <v>50</v>
      </c>
      <c r="D48" s="2">
        <v>12280</v>
      </c>
      <c r="E48" s="2">
        <f t="shared" si="0"/>
        <v>5492.5</v>
      </c>
      <c r="F48" s="2">
        <v>2380</v>
      </c>
      <c r="G48" s="2">
        <f t="shared" si="1"/>
        <v>991.66666666666674</v>
      </c>
      <c r="H48" s="4">
        <f>VLOOKUP(B48,nodes!A:D,2,0)</f>
        <v>180</v>
      </c>
      <c r="I48" s="4">
        <f>VLOOKUP(B48,nodes!A:D,4,0)</f>
        <v>240</v>
      </c>
      <c r="J48" s="4">
        <f>VLOOKUP(C48,nodes!A:D,2,0)</f>
        <v>210</v>
      </c>
      <c r="K48" s="4">
        <f>VLOOKUP(C48,nodes!A:D,4,0)</f>
        <v>240</v>
      </c>
      <c r="L48" s="4">
        <f t="shared" si="2"/>
        <v>30</v>
      </c>
      <c r="N48" s="12">
        <f t="shared" si="3"/>
        <v>7437500</v>
      </c>
      <c r="O48" s="12">
        <f t="shared" si="4"/>
        <v>42840000</v>
      </c>
      <c r="P48" s="12">
        <f t="shared" si="5"/>
        <v>11900</v>
      </c>
    </row>
    <row r="49" spans="1:16" x14ac:dyDescent="0.25">
      <c r="A49" s="3">
        <v>48</v>
      </c>
      <c r="B49" s="3">
        <v>50</v>
      </c>
      <c r="C49" s="3">
        <v>51</v>
      </c>
      <c r="D49" s="2">
        <v>12280</v>
      </c>
      <c r="E49" s="2">
        <f t="shared" si="0"/>
        <v>5492.5</v>
      </c>
      <c r="F49" s="2">
        <v>2380</v>
      </c>
      <c r="G49" s="2">
        <f t="shared" si="1"/>
        <v>991.66666666666674</v>
      </c>
      <c r="H49" s="4">
        <f>VLOOKUP(B49,nodes!A:D,2,0)</f>
        <v>210</v>
      </c>
      <c r="I49" s="4">
        <f>VLOOKUP(B49,nodes!A:D,4,0)</f>
        <v>240</v>
      </c>
      <c r="J49" s="4">
        <f>VLOOKUP(C49,nodes!A:D,2,0)</f>
        <v>240</v>
      </c>
      <c r="K49" s="4">
        <f>VLOOKUP(C49,nodes!A:D,4,0)</f>
        <v>240</v>
      </c>
      <c r="L49" s="4">
        <f t="shared" si="2"/>
        <v>30</v>
      </c>
      <c r="N49" s="12">
        <f t="shared" si="3"/>
        <v>7437500</v>
      </c>
      <c r="O49" s="12">
        <f t="shared" si="4"/>
        <v>42840000</v>
      </c>
      <c r="P49" s="12">
        <f t="shared" si="5"/>
        <v>11900</v>
      </c>
    </row>
    <row r="50" spans="1:16" x14ac:dyDescent="0.25">
      <c r="A50" s="3">
        <v>49</v>
      </c>
      <c r="B50" s="3">
        <v>51</v>
      </c>
      <c r="C50" s="3">
        <v>52</v>
      </c>
      <c r="D50" s="2">
        <v>12280</v>
      </c>
      <c r="E50" s="2">
        <f t="shared" si="0"/>
        <v>5492.5</v>
      </c>
      <c r="F50" s="2">
        <v>2380</v>
      </c>
      <c r="G50" s="2">
        <f t="shared" si="1"/>
        <v>991.66666666666674</v>
      </c>
      <c r="H50" s="4">
        <f>VLOOKUP(B50,nodes!A:D,2,0)</f>
        <v>240</v>
      </c>
      <c r="I50" s="4">
        <f>VLOOKUP(B50,nodes!A:D,4,0)</f>
        <v>240</v>
      </c>
      <c r="J50" s="4">
        <f>VLOOKUP(C50,nodes!A:D,2,0)</f>
        <v>270</v>
      </c>
      <c r="K50" s="4">
        <f>VLOOKUP(C50,nodes!A:D,4,0)</f>
        <v>240</v>
      </c>
      <c r="L50" s="4">
        <f t="shared" si="2"/>
        <v>30</v>
      </c>
      <c r="N50" s="12">
        <f t="shared" si="3"/>
        <v>7437500</v>
      </c>
      <c r="O50" s="12">
        <f t="shared" si="4"/>
        <v>42840000</v>
      </c>
      <c r="P50" s="12">
        <f t="shared" si="5"/>
        <v>11900</v>
      </c>
    </row>
    <row r="51" spans="1:16" x14ac:dyDescent="0.25">
      <c r="A51" s="3">
        <v>50</v>
      </c>
      <c r="B51" s="3">
        <v>52</v>
      </c>
      <c r="C51" s="3">
        <v>53</v>
      </c>
      <c r="D51" s="2">
        <v>12280</v>
      </c>
      <c r="E51" s="2">
        <f t="shared" si="0"/>
        <v>5492.5</v>
      </c>
      <c r="F51" s="2">
        <v>2380</v>
      </c>
      <c r="G51" s="2">
        <f t="shared" si="1"/>
        <v>991.66666666666674</v>
      </c>
      <c r="H51" s="4">
        <f>VLOOKUP(B51,nodes!A:D,2,0)</f>
        <v>270</v>
      </c>
      <c r="I51" s="4">
        <f>VLOOKUP(B51,nodes!A:D,4,0)</f>
        <v>240</v>
      </c>
      <c r="J51" s="4">
        <f>VLOOKUP(C51,nodes!A:D,2,0)</f>
        <v>300</v>
      </c>
      <c r="K51" s="4">
        <f>VLOOKUP(C51,nodes!A:D,4,0)</f>
        <v>240</v>
      </c>
      <c r="L51" s="4">
        <f t="shared" si="2"/>
        <v>30</v>
      </c>
      <c r="N51" s="12">
        <f t="shared" si="3"/>
        <v>7437500</v>
      </c>
      <c r="O51" s="12">
        <f t="shared" si="4"/>
        <v>42840000</v>
      </c>
      <c r="P51" s="12">
        <f t="shared" si="5"/>
        <v>11900</v>
      </c>
    </row>
    <row r="52" spans="1:16" x14ac:dyDescent="0.25">
      <c r="A52" s="3">
        <v>51</v>
      </c>
      <c r="B52" s="3">
        <v>53</v>
      </c>
      <c r="C52" s="3">
        <v>54</v>
      </c>
      <c r="D52" s="2">
        <v>12280</v>
      </c>
      <c r="E52" s="2">
        <f t="shared" si="0"/>
        <v>5492.5</v>
      </c>
      <c r="F52" s="2">
        <v>2380</v>
      </c>
      <c r="G52" s="2">
        <f t="shared" si="1"/>
        <v>991.66666666666674</v>
      </c>
      <c r="H52" s="4">
        <f>VLOOKUP(B52,nodes!A:D,2,0)</f>
        <v>300</v>
      </c>
      <c r="I52" s="4">
        <f>VLOOKUP(B52,nodes!A:D,4,0)</f>
        <v>240</v>
      </c>
      <c r="J52" s="4">
        <f>VLOOKUP(C52,nodes!A:D,2,0)</f>
        <v>330</v>
      </c>
      <c r="K52" s="4">
        <f>VLOOKUP(C52,nodes!A:D,4,0)</f>
        <v>240</v>
      </c>
      <c r="L52" s="4">
        <f t="shared" si="2"/>
        <v>30</v>
      </c>
      <c r="N52" s="12">
        <f t="shared" si="3"/>
        <v>7437500</v>
      </c>
      <c r="O52" s="12">
        <f t="shared" si="4"/>
        <v>42840000</v>
      </c>
      <c r="P52" s="12">
        <f t="shared" si="5"/>
        <v>11900</v>
      </c>
    </row>
    <row r="53" spans="1:16" x14ac:dyDescent="0.25">
      <c r="A53" s="3">
        <v>52</v>
      </c>
      <c r="B53" s="3">
        <v>54</v>
      </c>
      <c r="C53" s="3">
        <v>55</v>
      </c>
      <c r="D53" s="2">
        <v>12280</v>
      </c>
      <c r="E53" s="2">
        <f t="shared" si="0"/>
        <v>5492.5</v>
      </c>
      <c r="F53" s="2">
        <v>2380</v>
      </c>
      <c r="G53" s="2">
        <f t="shared" si="1"/>
        <v>991.66666666666674</v>
      </c>
      <c r="H53" s="4">
        <f>VLOOKUP(B53,nodes!A:D,2,0)</f>
        <v>330</v>
      </c>
      <c r="I53" s="4">
        <f>VLOOKUP(B53,nodes!A:D,4,0)</f>
        <v>240</v>
      </c>
      <c r="J53" s="4">
        <f>VLOOKUP(C53,nodes!A:D,2,0)</f>
        <v>360</v>
      </c>
      <c r="K53" s="4">
        <f>VLOOKUP(C53,nodes!A:D,4,0)</f>
        <v>240</v>
      </c>
      <c r="L53" s="4">
        <f t="shared" si="2"/>
        <v>30</v>
      </c>
      <c r="N53" s="12">
        <f t="shared" si="3"/>
        <v>7437500</v>
      </c>
      <c r="O53" s="12">
        <f t="shared" si="4"/>
        <v>42840000</v>
      </c>
      <c r="P53" s="12">
        <f t="shared" si="5"/>
        <v>11900</v>
      </c>
    </row>
    <row r="54" spans="1:16" x14ac:dyDescent="0.25">
      <c r="A54" s="3">
        <v>53</v>
      </c>
      <c r="B54" s="3">
        <v>55</v>
      </c>
      <c r="C54" s="3">
        <v>56</v>
      </c>
      <c r="D54" s="2">
        <v>12280</v>
      </c>
      <c r="E54" s="2">
        <f t="shared" si="0"/>
        <v>5492.5</v>
      </c>
      <c r="F54" s="2">
        <v>2380</v>
      </c>
      <c r="G54" s="2">
        <f t="shared" si="1"/>
        <v>991.66666666666674</v>
      </c>
      <c r="H54" s="4">
        <f>VLOOKUP(B54,nodes!A:D,2,0)</f>
        <v>360</v>
      </c>
      <c r="I54" s="4">
        <f>VLOOKUP(B54,nodes!A:D,4,0)</f>
        <v>240</v>
      </c>
      <c r="J54" s="4">
        <f>VLOOKUP(C54,nodes!A:D,2,0)</f>
        <v>390</v>
      </c>
      <c r="K54" s="4">
        <f>VLOOKUP(C54,nodes!A:D,4,0)</f>
        <v>240</v>
      </c>
      <c r="L54" s="4">
        <f t="shared" si="2"/>
        <v>30</v>
      </c>
      <c r="N54" s="12">
        <f t="shared" si="3"/>
        <v>7437500</v>
      </c>
      <c r="O54" s="12">
        <f t="shared" si="4"/>
        <v>42840000</v>
      </c>
      <c r="P54" s="12">
        <f t="shared" si="5"/>
        <v>11900</v>
      </c>
    </row>
    <row r="55" spans="1:16" x14ac:dyDescent="0.25">
      <c r="A55" s="3">
        <v>54</v>
      </c>
      <c r="B55" s="3">
        <v>56</v>
      </c>
      <c r="C55" s="3">
        <v>57</v>
      </c>
      <c r="D55" s="2">
        <v>12280</v>
      </c>
      <c r="E55" s="2">
        <f t="shared" si="0"/>
        <v>5492.5</v>
      </c>
      <c r="F55" s="2">
        <v>2380</v>
      </c>
      <c r="G55" s="2">
        <f t="shared" si="1"/>
        <v>991.66666666666674</v>
      </c>
      <c r="H55" s="4">
        <f>VLOOKUP(B55,nodes!A:D,2,0)</f>
        <v>390</v>
      </c>
      <c r="I55" s="4">
        <f>VLOOKUP(B55,nodes!A:D,4,0)</f>
        <v>240</v>
      </c>
      <c r="J55" s="4">
        <f>VLOOKUP(C55,nodes!A:D,2,0)</f>
        <v>420</v>
      </c>
      <c r="K55" s="4">
        <f>VLOOKUP(C55,nodes!A:D,4,0)</f>
        <v>240</v>
      </c>
      <c r="L55" s="4">
        <f t="shared" si="2"/>
        <v>30</v>
      </c>
      <c r="N55" s="12">
        <f t="shared" si="3"/>
        <v>7437500</v>
      </c>
      <c r="O55" s="12">
        <f t="shared" si="4"/>
        <v>42840000</v>
      </c>
      <c r="P55" s="12">
        <f t="shared" si="5"/>
        <v>11900</v>
      </c>
    </row>
    <row r="56" spans="1:16" x14ac:dyDescent="0.25">
      <c r="A56" s="3">
        <v>55</v>
      </c>
      <c r="B56" s="3">
        <v>57</v>
      </c>
      <c r="C56" s="3">
        <v>58</v>
      </c>
      <c r="D56" s="2">
        <v>12280</v>
      </c>
      <c r="E56" s="2">
        <f t="shared" si="0"/>
        <v>5492.5</v>
      </c>
      <c r="F56" s="2">
        <v>2380</v>
      </c>
      <c r="G56" s="2">
        <f t="shared" si="1"/>
        <v>991.66666666666674</v>
      </c>
      <c r="H56" s="4">
        <f>VLOOKUP(B56,nodes!A:D,2,0)</f>
        <v>420</v>
      </c>
      <c r="I56" s="4">
        <f>VLOOKUP(B56,nodes!A:D,4,0)</f>
        <v>240</v>
      </c>
      <c r="J56" s="4">
        <f>VLOOKUP(C56,nodes!A:D,2,0)</f>
        <v>450</v>
      </c>
      <c r="K56" s="4">
        <f>VLOOKUP(C56,nodes!A:D,4,0)</f>
        <v>240</v>
      </c>
      <c r="L56" s="4">
        <f t="shared" si="2"/>
        <v>30</v>
      </c>
      <c r="N56" s="12">
        <f t="shared" si="3"/>
        <v>7437500</v>
      </c>
      <c r="O56" s="12">
        <f t="shared" si="4"/>
        <v>42840000</v>
      </c>
      <c r="P56" s="12">
        <f t="shared" si="5"/>
        <v>11900</v>
      </c>
    </row>
    <row r="57" spans="1:16" x14ac:dyDescent="0.25">
      <c r="A57" s="3">
        <v>56</v>
      </c>
      <c r="B57" s="3">
        <v>58</v>
      </c>
      <c r="C57" s="3">
        <v>59</v>
      </c>
      <c r="D57" s="2">
        <v>12280</v>
      </c>
      <c r="E57" s="2">
        <f t="shared" si="0"/>
        <v>5492.5</v>
      </c>
      <c r="F57" s="2">
        <v>2380</v>
      </c>
      <c r="G57" s="2">
        <f t="shared" si="1"/>
        <v>991.66666666666674</v>
      </c>
      <c r="H57" s="4">
        <f>VLOOKUP(B57,nodes!A:D,2,0)</f>
        <v>450</v>
      </c>
      <c r="I57" s="4">
        <f>VLOOKUP(B57,nodes!A:D,4,0)</f>
        <v>240</v>
      </c>
      <c r="J57" s="4">
        <f>VLOOKUP(C57,nodes!A:D,2,0)</f>
        <v>480</v>
      </c>
      <c r="K57" s="4">
        <f>VLOOKUP(C57,nodes!A:D,4,0)</f>
        <v>240</v>
      </c>
      <c r="L57" s="4">
        <f t="shared" si="2"/>
        <v>30</v>
      </c>
      <c r="N57" s="12">
        <f t="shared" si="3"/>
        <v>7437500</v>
      </c>
      <c r="O57" s="12">
        <f t="shared" si="4"/>
        <v>42840000</v>
      </c>
      <c r="P57" s="12">
        <f t="shared" si="5"/>
        <v>11900</v>
      </c>
    </row>
    <row r="58" spans="1:16" x14ac:dyDescent="0.25">
      <c r="A58" s="3">
        <v>57</v>
      </c>
      <c r="B58" s="3">
        <v>59</v>
      </c>
      <c r="C58" s="3">
        <v>60</v>
      </c>
      <c r="D58" s="2">
        <v>12280</v>
      </c>
      <c r="E58" s="2">
        <f t="shared" si="0"/>
        <v>5492.5</v>
      </c>
      <c r="F58" s="2">
        <v>2380</v>
      </c>
      <c r="G58" s="2">
        <f t="shared" si="1"/>
        <v>991.66666666666674</v>
      </c>
      <c r="H58" s="4">
        <f>VLOOKUP(B58,nodes!A:D,2,0)</f>
        <v>480</v>
      </c>
      <c r="I58" s="4">
        <f>VLOOKUP(B58,nodes!A:D,4,0)</f>
        <v>240</v>
      </c>
      <c r="J58" s="4">
        <f>VLOOKUP(C58,nodes!A:D,2,0)</f>
        <v>509.99999999999994</v>
      </c>
      <c r="K58" s="4">
        <f>VLOOKUP(C58,nodes!A:D,4,0)</f>
        <v>240</v>
      </c>
      <c r="L58" s="4">
        <f t="shared" si="2"/>
        <v>29.999999999999943</v>
      </c>
      <c r="N58" s="12">
        <f t="shared" si="3"/>
        <v>7437500</v>
      </c>
      <c r="O58" s="12">
        <f t="shared" si="4"/>
        <v>42840000</v>
      </c>
      <c r="P58" s="12">
        <f t="shared" si="5"/>
        <v>11900</v>
      </c>
    </row>
    <row r="59" spans="1:16" x14ac:dyDescent="0.25">
      <c r="A59" s="3">
        <v>58</v>
      </c>
      <c r="B59" s="3">
        <v>60</v>
      </c>
      <c r="C59" s="3">
        <v>61</v>
      </c>
      <c r="D59" s="2">
        <v>12280</v>
      </c>
      <c r="E59" s="2">
        <f t="shared" si="0"/>
        <v>5492.5</v>
      </c>
      <c r="F59" s="2">
        <v>2380</v>
      </c>
      <c r="G59" s="2">
        <f t="shared" si="1"/>
        <v>991.66666666666674</v>
      </c>
      <c r="H59" s="4">
        <f>VLOOKUP(B59,nodes!A:D,2,0)</f>
        <v>509.99999999999994</v>
      </c>
      <c r="I59" s="4">
        <f>VLOOKUP(B59,nodes!A:D,4,0)</f>
        <v>240</v>
      </c>
      <c r="J59" s="4">
        <f>VLOOKUP(C59,nodes!A:D,2,0)</f>
        <v>540</v>
      </c>
      <c r="K59" s="4">
        <f>VLOOKUP(C59,nodes!A:D,4,0)</f>
        <v>240</v>
      </c>
      <c r="L59" s="4">
        <f t="shared" si="2"/>
        <v>30.000000000000057</v>
      </c>
      <c r="N59" s="12">
        <f t="shared" si="3"/>
        <v>7437500</v>
      </c>
      <c r="O59" s="12">
        <f t="shared" si="4"/>
        <v>42840000</v>
      </c>
      <c r="P59" s="12">
        <f t="shared" si="5"/>
        <v>11900</v>
      </c>
    </row>
    <row r="60" spans="1:16" x14ac:dyDescent="0.25">
      <c r="A60" s="3">
        <v>59</v>
      </c>
      <c r="B60" s="3">
        <v>61</v>
      </c>
      <c r="C60" s="3">
        <v>62</v>
      </c>
      <c r="D60" s="2">
        <v>12280</v>
      </c>
      <c r="E60" s="2">
        <f t="shared" si="0"/>
        <v>5492.5</v>
      </c>
      <c r="F60" s="2">
        <v>2380</v>
      </c>
      <c r="G60" s="2">
        <f t="shared" si="1"/>
        <v>991.66666666666674</v>
      </c>
      <c r="H60" s="4">
        <f>VLOOKUP(B60,nodes!A:D,2,0)</f>
        <v>540</v>
      </c>
      <c r="I60" s="4">
        <f>VLOOKUP(B60,nodes!A:D,4,0)</f>
        <v>240</v>
      </c>
      <c r="J60" s="4">
        <f>VLOOKUP(C60,nodes!A:D,2,0)</f>
        <v>570</v>
      </c>
      <c r="K60" s="4">
        <f>VLOOKUP(C60,nodes!A:D,4,0)</f>
        <v>240</v>
      </c>
      <c r="L60" s="4">
        <f t="shared" si="2"/>
        <v>30</v>
      </c>
      <c r="N60" s="12">
        <f t="shared" si="3"/>
        <v>7437500</v>
      </c>
      <c r="O60" s="12">
        <f t="shared" si="4"/>
        <v>42840000</v>
      </c>
      <c r="P60" s="12">
        <f t="shared" si="5"/>
        <v>11900</v>
      </c>
    </row>
    <row r="61" spans="1:16" x14ac:dyDescent="0.25">
      <c r="A61" s="3">
        <v>60</v>
      </c>
      <c r="B61" s="3">
        <v>62</v>
      </c>
      <c r="C61" s="3">
        <v>63</v>
      </c>
      <c r="D61" s="2">
        <v>12280</v>
      </c>
      <c r="E61" s="2">
        <f t="shared" si="0"/>
        <v>5492.5</v>
      </c>
      <c r="F61" s="2">
        <v>2380</v>
      </c>
      <c r="G61" s="2">
        <f t="shared" si="1"/>
        <v>991.66666666666674</v>
      </c>
      <c r="H61" s="4">
        <f>VLOOKUP(B61,nodes!A:D,2,0)</f>
        <v>570</v>
      </c>
      <c r="I61" s="4">
        <f>VLOOKUP(B61,nodes!A:D,4,0)</f>
        <v>240</v>
      </c>
      <c r="J61" s="4">
        <f>VLOOKUP(C61,nodes!A:D,2,0)</f>
        <v>600</v>
      </c>
      <c r="K61" s="4">
        <f>VLOOKUP(C61,nodes!A:D,4,0)</f>
        <v>240</v>
      </c>
      <c r="L61" s="4">
        <f t="shared" si="2"/>
        <v>30</v>
      </c>
      <c r="N61" s="12">
        <f t="shared" si="3"/>
        <v>7437500</v>
      </c>
      <c r="O61" s="12">
        <f t="shared" si="4"/>
        <v>42840000</v>
      </c>
      <c r="P61" s="12">
        <f t="shared" si="5"/>
        <v>11900</v>
      </c>
    </row>
    <row r="62" spans="1:16" x14ac:dyDescent="0.25">
      <c r="A62" s="3">
        <v>61</v>
      </c>
      <c r="B62" s="3">
        <v>64</v>
      </c>
      <c r="C62" s="3">
        <v>65</v>
      </c>
      <c r="D62" s="2">
        <v>12280</v>
      </c>
      <c r="E62" s="2">
        <f t="shared" si="0"/>
        <v>5492.5</v>
      </c>
      <c r="F62" s="2">
        <v>2380</v>
      </c>
      <c r="G62" s="2">
        <f t="shared" si="1"/>
        <v>991.66666666666674</v>
      </c>
      <c r="H62" s="4">
        <f>VLOOKUP(B62,nodes!A:D,2,0)</f>
        <v>0</v>
      </c>
      <c r="I62" s="4">
        <f>VLOOKUP(B62,nodes!A:D,4,0)</f>
        <v>210</v>
      </c>
      <c r="J62" s="4">
        <f>VLOOKUP(C62,nodes!A:D,2,0)</f>
        <v>30</v>
      </c>
      <c r="K62" s="4">
        <f>VLOOKUP(C62,nodes!A:D,4,0)</f>
        <v>210</v>
      </c>
      <c r="L62" s="4">
        <f t="shared" si="2"/>
        <v>30</v>
      </c>
      <c r="N62" s="12">
        <f t="shared" si="3"/>
        <v>7437500</v>
      </c>
      <c r="O62" s="12">
        <f t="shared" si="4"/>
        <v>42840000</v>
      </c>
      <c r="P62" s="12">
        <f t="shared" si="5"/>
        <v>11900</v>
      </c>
    </row>
    <row r="63" spans="1:16" x14ac:dyDescent="0.25">
      <c r="A63" s="3">
        <v>62</v>
      </c>
      <c r="B63" s="3">
        <v>65</v>
      </c>
      <c r="C63" s="3">
        <v>66</v>
      </c>
      <c r="D63" s="2">
        <v>12280</v>
      </c>
      <c r="E63" s="2">
        <f t="shared" si="0"/>
        <v>5492.5</v>
      </c>
      <c r="F63" s="2">
        <v>2380</v>
      </c>
      <c r="G63" s="2">
        <f t="shared" si="1"/>
        <v>991.66666666666674</v>
      </c>
      <c r="H63" s="4">
        <f>VLOOKUP(B63,nodes!A:D,2,0)</f>
        <v>30</v>
      </c>
      <c r="I63" s="4">
        <f>VLOOKUP(B63,nodes!A:D,4,0)</f>
        <v>210</v>
      </c>
      <c r="J63" s="4">
        <f>VLOOKUP(C63,nodes!A:D,2,0)</f>
        <v>60</v>
      </c>
      <c r="K63" s="4">
        <f>VLOOKUP(C63,nodes!A:D,4,0)</f>
        <v>210</v>
      </c>
      <c r="L63" s="4">
        <f t="shared" si="2"/>
        <v>30</v>
      </c>
      <c r="N63" s="12">
        <f t="shared" si="3"/>
        <v>7437500</v>
      </c>
      <c r="O63" s="12">
        <f t="shared" si="4"/>
        <v>42840000</v>
      </c>
      <c r="P63" s="12">
        <f t="shared" si="5"/>
        <v>11900</v>
      </c>
    </row>
    <row r="64" spans="1:16" x14ac:dyDescent="0.25">
      <c r="A64" s="3">
        <v>63</v>
      </c>
      <c r="B64" s="3">
        <v>66</v>
      </c>
      <c r="C64" s="3">
        <v>67</v>
      </c>
      <c r="D64" s="2">
        <v>12280</v>
      </c>
      <c r="E64" s="2">
        <f t="shared" si="0"/>
        <v>5492.5</v>
      </c>
      <c r="F64" s="2">
        <v>2380</v>
      </c>
      <c r="G64" s="2">
        <f t="shared" si="1"/>
        <v>991.66666666666674</v>
      </c>
      <c r="H64" s="4">
        <f>VLOOKUP(B64,nodes!A:D,2,0)</f>
        <v>60</v>
      </c>
      <c r="I64" s="4">
        <f>VLOOKUP(B64,nodes!A:D,4,0)</f>
        <v>210</v>
      </c>
      <c r="J64" s="4">
        <f>VLOOKUP(C64,nodes!A:D,2,0)</f>
        <v>90</v>
      </c>
      <c r="K64" s="4">
        <f>VLOOKUP(C64,nodes!A:D,4,0)</f>
        <v>210</v>
      </c>
      <c r="L64" s="4">
        <f t="shared" si="2"/>
        <v>30</v>
      </c>
      <c r="N64" s="12">
        <f t="shared" si="3"/>
        <v>7437500</v>
      </c>
      <c r="O64" s="12">
        <f t="shared" si="4"/>
        <v>42840000</v>
      </c>
      <c r="P64" s="12">
        <f t="shared" si="5"/>
        <v>11900</v>
      </c>
    </row>
    <row r="65" spans="1:16" x14ac:dyDescent="0.25">
      <c r="A65" s="3">
        <v>64</v>
      </c>
      <c r="B65" s="3">
        <v>67</v>
      </c>
      <c r="C65" s="3">
        <v>68</v>
      </c>
      <c r="D65" s="2">
        <v>12280</v>
      </c>
      <c r="E65" s="2">
        <f t="shared" si="0"/>
        <v>5492.5</v>
      </c>
      <c r="F65" s="2">
        <v>2380</v>
      </c>
      <c r="G65" s="2">
        <f t="shared" si="1"/>
        <v>991.66666666666674</v>
      </c>
      <c r="H65" s="4">
        <f>VLOOKUP(B65,nodes!A:D,2,0)</f>
        <v>90</v>
      </c>
      <c r="I65" s="4">
        <f>VLOOKUP(B65,nodes!A:D,4,0)</f>
        <v>210</v>
      </c>
      <c r="J65" s="4">
        <f>VLOOKUP(C65,nodes!A:D,2,0)</f>
        <v>120</v>
      </c>
      <c r="K65" s="4">
        <f>VLOOKUP(C65,nodes!A:D,4,0)</f>
        <v>210</v>
      </c>
      <c r="L65" s="4">
        <f t="shared" si="2"/>
        <v>30</v>
      </c>
      <c r="N65" s="12">
        <f t="shared" si="3"/>
        <v>7437500</v>
      </c>
      <c r="O65" s="12">
        <f t="shared" si="4"/>
        <v>42840000</v>
      </c>
      <c r="P65" s="12">
        <f t="shared" si="5"/>
        <v>11900</v>
      </c>
    </row>
    <row r="66" spans="1:16" x14ac:dyDescent="0.25">
      <c r="A66" s="3">
        <v>65</v>
      </c>
      <c r="B66" s="3">
        <v>68</v>
      </c>
      <c r="C66" s="3">
        <v>69</v>
      </c>
      <c r="D66" s="2">
        <v>12280</v>
      </c>
      <c r="E66" s="2">
        <f t="shared" si="0"/>
        <v>5492.5</v>
      </c>
      <c r="F66" s="2">
        <v>2380</v>
      </c>
      <c r="G66" s="2">
        <f t="shared" si="1"/>
        <v>991.66666666666674</v>
      </c>
      <c r="H66" s="4">
        <f>VLOOKUP(B66,nodes!A:D,2,0)</f>
        <v>120</v>
      </c>
      <c r="I66" s="4">
        <f>VLOOKUP(B66,nodes!A:D,4,0)</f>
        <v>210</v>
      </c>
      <c r="J66" s="4">
        <f>VLOOKUP(C66,nodes!A:D,2,0)</f>
        <v>150</v>
      </c>
      <c r="K66" s="4">
        <f>VLOOKUP(C66,nodes!A:D,4,0)</f>
        <v>210</v>
      </c>
      <c r="L66" s="4">
        <f t="shared" si="2"/>
        <v>30</v>
      </c>
      <c r="N66" s="12">
        <f t="shared" si="3"/>
        <v>7437500</v>
      </c>
      <c r="O66" s="12">
        <f t="shared" si="4"/>
        <v>42840000</v>
      </c>
      <c r="P66" s="12">
        <f t="shared" si="5"/>
        <v>11900</v>
      </c>
    </row>
    <row r="67" spans="1:16" x14ac:dyDescent="0.25">
      <c r="A67" s="3">
        <v>66</v>
      </c>
      <c r="B67" s="3">
        <v>69</v>
      </c>
      <c r="C67" s="3">
        <v>70</v>
      </c>
      <c r="D67" s="2">
        <v>12280</v>
      </c>
      <c r="E67" s="2">
        <f t="shared" ref="E67:E130" si="6">(30*13^3)/12</f>
        <v>5492.5</v>
      </c>
      <c r="F67" s="2">
        <v>2380</v>
      </c>
      <c r="G67" s="2">
        <f t="shared" ref="G67:G130" si="7">F67/(2*(1+0.2))</f>
        <v>991.66666666666674</v>
      </c>
      <c r="H67" s="4">
        <f>VLOOKUP(B67,nodes!A:D,2,0)</f>
        <v>150</v>
      </c>
      <c r="I67" s="4">
        <f>VLOOKUP(B67,nodes!A:D,4,0)</f>
        <v>210</v>
      </c>
      <c r="J67" s="4">
        <f>VLOOKUP(C67,nodes!A:D,2,0)</f>
        <v>180</v>
      </c>
      <c r="K67" s="4">
        <f>VLOOKUP(C67,nodes!A:D,4,0)</f>
        <v>210</v>
      </c>
      <c r="L67" s="4">
        <f t="shared" ref="L67:L130" si="8">((J67-H67)^2+(K67-I67)^2)^0.5</f>
        <v>30</v>
      </c>
      <c r="N67" s="12">
        <f t="shared" ref="N67:N130" si="9">12*2380*60*(25^3)/(300*12)</f>
        <v>7437500</v>
      </c>
      <c r="O67" s="12">
        <f t="shared" ref="O67:O130" si="10">12*2380*25*(60^3)/(300*12)</f>
        <v>42840000</v>
      </c>
      <c r="P67" s="12">
        <f t="shared" ref="P67:P130" si="11">2380*25*60/300</f>
        <v>11900</v>
      </c>
    </row>
    <row r="68" spans="1:16" x14ac:dyDescent="0.25">
      <c r="A68" s="3">
        <v>67</v>
      </c>
      <c r="B68" s="3">
        <v>70</v>
      </c>
      <c r="C68" s="3">
        <v>71</v>
      </c>
      <c r="D68" s="2">
        <v>12280</v>
      </c>
      <c r="E68" s="2">
        <f t="shared" si="6"/>
        <v>5492.5</v>
      </c>
      <c r="F68" s="2">
        <v>2380</v>
      </c>
      <c r="G68" s="2">
        <f t="shared" si="7"/>
        <v>991.66666666666674</v>
      </c>
      <c r="H68" s="4">
        <f>VLOOKUP(B68,nodes!A:D,2,0)</f>
        <v>180</v>
      </c>
      <c r="I68" s="4">
        <f>VLOOKUP(B68,nodes!A:D,4,0)</f>
        <v>210</v>
      </c>
      <c r="J68" s="4">
        <f>VLOOKUP(C68,nodes!A:D,2,0)</f>
        <v>210</v>
      </c>
      <c r="K68" s="4">
        <f>VLOOKUP(C68,nodes!A:D,4,0)</f>
        <v>210</v>
      </c>
      <c r="L68" s="4">
        <f t="shared" si="8"/>
        <v>30</v>
      </c>
      <c r="N68" s="12">
        <f t="shared" si="9"/>
        <v>7437500</v>
      </c>
      <c r="O68" s="12">
        <f t="shared" si="10"/>
        <v>42840000</v>
      </c>
      <c r="P68" s="12">
        <f t="shared" si="11"/>
        <v>11900</v>
      </c>
    </row>
    <row r="69" spans="1:16" x14ac:dyDescent="0.25">
      <c r="A69" s="3">
        <v>68</v>
      </c>
      <c r="B69" s="3">
        <v>71</v>
      </c>
      <c r="C69" s="3">
        <v>72</v>
      </c>
      <c r="D69" s="2">
        <v>12280</v>
      </c>
      <c r="E69" s="2">
        <f t="shared" si="6"/>
        <v>5492.5</v>
      </c>
      <c r="F69" s="2">
        <v>2380</v>
      </c>
      <c r="G69" s="2">
        <f t="shared" si="7"/>
        <v>991.66666666666674</v>
      </c>
      <c r="H69" s="4">
        <f>VLOOKUP(B69,nodes!A:D,2,0)</f>
        <v>210</v>
      </c>
      <c r="I69" s="4">
        <f>VLOOKUP(B69,nodes!A:D,4,0)</f>
        <v>210</v>
      </c>
      <c r="J69" s="4">
        <f>VLOOKUP(C69,nodes!A:D,2,0)</f>
        <v>240</v>
      </c>
      <c r="K69" s="4">
        <f>VLOOKUP(C69,nodes!A:D,4,0)</f>
        <v>210</v>
      </c>
      <c r="L69" s="4">
        <f t="shared" si="8"/>
        <v>30</v>
      </c>
      <c r="N69" s="12">
        <f t="shared" si="9"/>
        <v>7437500</v>
      </c>
      <c r="O69" s="12">
        <f t="shared" si="10"/>
        <v>42840000</v>
      </c>
      <c r="P69" s="12">
        <f t="shared" si="11"/>
        <v>11900</v>
      </c>
    </row>
    <row r="70" spans="1:16" x14ac:dyDescent="0.25">
      <c r="A70" s="3">
        <v>69</v>
      </c>
      <c r="B70" s="3">
        <v>72</v>
      </c>
      <c r="C70" s="3">
        <v>73</v>
      </c>
      <c r="D70" s="2">
        <v>12280</v>
      </c>
      <c r="E70" s="2">
        <f t="shared" si="6"/>
        <v>5492.5</v>
      </c>
      <c r="F70" s="2">
        <v>2380</v>
      </c>
      <c r="G70" s="2">
        <f t="shared" si="7"/>
        <v>991.66666666666674</v>
      </c>
      <c r="H70" s="4">
        <f>VLOOKUP(B70,nodes!A:D,2,0)</f>
        <v>240</v>
      </c>
      <c r="I70" s="4">
        <f>VLOOKUP(B70,nodes!A:D,4,0)</f>
        <v>210</v>
      </c>
      <c r="J70" s="4">
        <f>VLOOKUP(C70,nodes!A:D,2,0)</f>
        <v>270</v>
      </c>
      <c r="K70" s="4">
        <f>VLOOKUP(C70,nodes!A:D,4,0)</f>
        <v>210</v>
      </c>
      <c r="L70" s="4">
        <f t="shared" si="8"/>
        <v>30</v>
      </c>
      <c r="N70" s="12">
        <f t="shared" si="9"/>
        <v>7437500</v>
      </c>
      <c r="O70" s="12">
        <f t="shared" si="10"/>
        <v>42840000</v>
      </c>
      <c r="P70" s="12">
        <f t="shared" si="11"/>
        <v>11900</v>
      </c>
    </row>
    <row r="71" spans="1:16" x14ac:dyDescent="0.25">
      <c r="A71" s="3">
        <v>70</v>
      </c>
      <c r="B71" s="3">
        <v>73</v>
      </c>
      <c r="C71" s="3">
        <v>74</v>
      </c>
      <c r="D71" s="2">
        <v>12280</v>
      </c>
      <c r="E71" s="2">
        <f t="shared" si="6"/>
        <v>5492.5</v>
      </c>
      <c r="F71" s="2">
        <v>2380</v>
      </c>
      <c r="G71" s="2">
        <f t="shared" si="7"/>
        <v>991.66666666666674</v>
      </c>
      <c r="H71" s="4">
        <f>VLOOKUP(B71,nodes!A:D,2,0)</f>
        <v>270</v>
      </c>
      <c r="I71" s="4">
        <f>VLOOKUP(B71,nodes!A:D,4,0)</f>
        <v>210</v>
      </c>
      <c r="J71" s="4">
        <f>VLOOKUP(C71,nodes!A:D,2,0)</f>
        <v>300</v>
      </c>
      <c r="K71" s="4">
        <f>VLOOKUP(C71,nodes!A:D,4,0)</f>
        <v>210</v>
      </c>
      <c r="L71" s="4">
        <f t="shared" si="8"/>
        <v>30</v>
      </c>
      <c r="N71" s="12">
        <f t="shared" si="9"/>
        <v>7437500</v>
      </c>
      <c r="O71" s="12">
        <f t="shared" si="10"/>
        <v>42840000</v>
      </c>
      <c r="P71" s="12">
        <f t="shared" si="11"/>
        <v>11900</v>
      </c>
    </row>
    <row r="72" spans="1:16" x14ac:dyDescent="0.25">
      <c r="A72" s="3">
        <v>71</v>
      </c>
      <c r="B72" s="3">
        <v>74</v>
      </c>
      <c r="C72" s="3">
        <v>75</v>
      </c>
      <c r="D72" s="2">
        <v>12280</v>
      </c>
      <c r="E72" s="2">
        <f t="shared" si="6"/>
        <v>5492.5</v>
      </c>
      <c r="F72" s="2">
        <v>2380</v>
      </c>
      <c r="G72" s="2">
        <f t="shared" si="7"/>
        <v>991.66666666666674</v>
      </c>
      <c r="H72" s="4">
        <f>VLOOKUP(B72,nodes!A:D,2,0)</f>
        <v>300</v>
      </c>
      <c r="I72" s="4">
        <f>VLOOKUP(B72,nodes!A:D,4,0)</f>
        <v>210</v>
      </c>
      <c r="J72" s="4">
        <f>VLOOKUP(C72,nodes!A:D,2,0)</f>
        <v>330</v>
      </c>
      <c r="K72" s="4">
        <f>VLOOKUP(C72,nodes!A:D,4,0)</f>
        <v>210</v>
      </c>
      <c r="L72" s="4">
        <f t="shared" si="8"/>
        <v>30</v>
      </c>
      <c r="N72" s="12">
        <f t="shared" si="9"/>
        <v>7437500</v>
      </c>
      <c r="O72" s="12">
        <f t="shared" si="10"/>
        <v>42840000</v>
      </c>
      <c r="P72" s="12">
        <f t="shared" si="11"/>
        <v>11900</v>
      </c>
    </row>
    <row r="73" spans="1:16" x14ac:dyDescent="0.25">
      <c r="A73" s="3">
        <v>72</v>
      </c>
      <c r="B73" s="3">
        <v>75</v>
      </c>
      <c r="C73" s="3">
        <v>76</v>
      </c>
      <c r="D73" s="2">
        <v>12280</v>
      </c>
      <c r="E73" s="2">
        <f t="shared" si="6"/>
        <v>5492.5</v>
      </c>
      <c r="F73" s="2">
        <v>2380</v>
      </c>
      <c r="G73" s="2">
        <f t="shared" si="7"/>
        <v>991.66666666666674</v>
      </c>
      <c r="H73" s="4">
        <f>VLOOKUP(B73,nodes!A:D,2,0)</f>
        <v>330</v>
      </c>
      <c r="I73" s="4">
        <f>VLOOKUP(B73,nodes!A:D,4,0)</f>
        <v>210</v>
      </c>
      <c r="J73" s="4">
        <f>VLOOKUP(C73,nodes!A:D,2,0)</f>
        <v>360</v>
      </c>
      <c r="K73" s="4">
        <f>VLOOKUP(C73,nodes!A:D,4,0)</f>
        <v>210</v>
      </c>
      <c r="L73" s="4">
        <f t="shared" si="8"/>
        <v>30</v>
      </c>
      <c r="N73" s="12">
        <f t="shared" si="9"/>
        <v>7437500</v>
      </c>
      <c r="O73" s="12">
        <f t="shared" si="10"/>
        <v>42840000</v>
      </c>
      <c r="P73" s="12">
        <f t="shared" si="11"/>
        <v>11900</v>
      </c>
    </row>
    <row r="74" spans="1:16" x14ac:dyDescent="0.25">
      <c r="A74" s="3">
        <v>73</v>
      </c>
      <c r="B74" s="3">
        <v>76</v>
      </c>
      <c r="C74" s="3">
        <v>77</v>
      </c>
      <c r="D74" s="2">
        <v>12280</v>
      </c>
      <c r="E74" s="2">
        <f t="shared" si="6"/>
        <v>5492.5</v>
      </c>
      <c r="F74" s="2">
        <v>2380</v>
      </c>
      <c r="G74" s="2">
        <f t="shared" si="7"/>
        <v>991.66666666666674</v>
      </c>
      <c r="H74" s="4">
        <f>VLOOKUP(B74,nodes!A:D,2,0)</f>
        <v>360</v>
      </c>
      <c r="I74" s="4">
        <f>VLOOKUP(B74,nodes!A:D,4,0)</f>
        <v>210</v>
      </c>
      <c r="J74" s="4">
        <f>VLOOKUP(C74,nodes!A:D,2,0)</f>
        <v>390</v>
      </c>
      <c r="K74" s="4">
        <f>VLOOKUP(C74,nodes!A:D,4,0)</f>
        <v>210</v>
      </c>
      <c r="L74" s="4">
        <f t="shared" si="8"/>
        <v>30</v>
      </c>
      <c r="N74" s="12">
        <f t="shared" si="9"/>
        <v>7437500</v>
      </c>
      <c r="O74" s="12">
        <f t="shared" si="10"/>
        <v>42840000</v>
      </c>
      <c r="P74" s="12">
        <f t="shared" si="11"/>
        <v>11900</v>
      </c>
    </row>
    <row r="75" spans="1:16" x14ac:dyDescent="0.25">
      <c r="A75" s="3">
        <v>74</v>
      </c>
      <c r="B75" s="3">
        <v>77</v>
      </c>
      <c r="C75" s="3">
        <v>78</v>
      </c>
      <c r="D75" s="2">
        <v>12280</v>
      </c>
      <c r="E75" s="2">
        <f t="shared" si="6"/>
        <v>5492.5</v>
      </c>
      <c r="F75" s="2">
        <v>2380</v>
      </c>
      <c r="G75" s="2">
        <f t="shared" si="7"/>
        <v>991.66666666666674</v>
      </c>
      <c r="H75" s="4">
        <f>VLOOKUP(B75,nodes!A:D,2,0)</f>
        <v>390</v>
      </c>
      <c r="I75" s="4">
        <f>VLOOKUP(B75,nodes!A:D,4,0)</f>
        <v>210</v>
      </c>
      <c r="J75" s="4">
        <f>VLOOKUP(C75,nodes!A:D,2,0)</f>
        <v>420</v>
      </c>
      <c r="K75" s="4">
        <f>VLOOKUP(C75,nodes!A:D,4,0)</f>
        <v>210</v>
      </c>
      <c r="L75" s="4">
        <f t="shared" si="8"/>
        <v>30</v>
      </c>
      <c r="N75" s="12">
        <f t="shared" si="9"/>
        <v>7437500</v>
      </c>
      <c r="O75" s="12">
        <f t="shared" si="10"/>
        <v>42840000</v>
      </c>
      <c r="P75" s="12">
        <f t="shared" si="11"/>
        <v>11900</v>
      </c>
    </row>
    <row r="76" spans="1:16" x14ac:dyDescent="0.25">
      <c r="A76" s="3">
        <v>75</v>
      </c>
      <c r="B76" s="3">
        <v>78</v>
      </c>
      <c r="C76" s="3">
        <v>79</v>
      </c>
      <c r="D76" s="2">
        <v>12280</v>
      </c>
      <c r="E76" s="2">
        <f t="shared" si="6"/>
        <v>5492.5</v>
      </c>
      <c r="F76" s="2">
        <v>2380</v>
      </c>
      <c r="G76" s="2">
        <f t="shared" si="7"/>
        <v>991.66666666666674</v>
      </c>
      <c r="H76" s="4">
        <f>VLOOKUP(B76,nodes!A:D,2,0)</f>
        <v>420</v>
      </c>
      <c r="I76" s="4">
        <f>VLOOKUP(B76,nodes!A:D,4,0)</f>
        <v>210</v>
      </c>
      <c r="J76" s="4">
        <f>VLOOKUP(C76,nodes!A:D,2,0)</f>
        <v>450</v>
      </c>
      <c r="K76" s="4">
        <f>VLOOKUP(C76,nodes!A:D,4,0)</f>
        <v>210</v>
      </c>
      <c r="L76" s="4">
        <f t="shared" si="8"/>
        <v>30</v>
      </c>
      <c r="N76" s="12">
        <f t="shared" si="9"/>
        <v>7437500</v>
      </c>
      <c r="O76" s="12">
        <f t="shared" si="10"/>
        <v>42840000</v>
      </c>
      <c r="P76" s="12">
        <f t="shared" si="11"/>
        <v>11900</v>
      </c>
    </row>
    <row r="77" spans="1:16" x14ac:dyDescent="0.25">
      <c r="A77" s="3">
        <v>76</v>
      </c>
      <c r="B77" s="3">
        <v>79</v>
      </c>
      <c r="C77" s="3">
        <v>80</v>
      </c>
      <c r="D77" s="2">
        <v>12280</v>
      </c>
      <c r="E77" s="2">
        <f t="shared" si="6"/>
        <v>5492.5</v>
      </c>
      <c r="F77" s="2">
        <v>2380</v>
      </c>
      <c r="G77" s="2">
        <f t="shared" si="7"/>
        <v>991.66666666666674</v>
      </c>
      <c r="H77" s="4">
        <f>VLOOKUP(B77,nodes!A:D,2,0)</f>
        <v>450</v>
      </c>
      <c r="I77" s="4">
        <f>VLOOKUP(B77,nodes!A:D,4,0)</f>
        <v>210</v>
      </c>
      <c r="J77" s="4">
        <f>VLOOKUP(C77,nodes!A:D,2,0)</f>
        <v>480</v>
      </c>
      <c r="K77" s="4">
        <f>VLOOKUP(C77,nodes!A:D,4,0)</f>
        <v>210</v>
      </c>
      <c r="L77" s="4">
        <f t="shared" si="8"/>
        <v>30</v>
      </c>
      <c r="N77" s="12">
        <f t="shared" si="9"/>
        <v>7437500</v>
      </c>
      <c r="O77" s="12">
        <f t="shared" si="10"/>
        <v>42840000</v>
      </c>
      <c r="P77" s="12">
        <f t="shared" si="11"/>
        <v>11900</v>
      </c>
    </row>
    <row r="78" spans="1:16" x14ac:dyDescent="0.25">
      <c r="A78" s="3">
        <v>77</v>
      </c>
      <c r="B78" s="3">
        <v>80</v>
      </c>
      <c r="C78" s="3">
        <v>81</v>
      </c>
      <c r="D78" s="2">
        <v>12280</v>
      </c>
      <c r="E78" s="2">
        <f t="shared" si="6"/>
        <v>5492.5</v>
      </c>
      <c r="F78" s="2">
        <v>2380</v>
      </c>
      <c r="G78" s="2">
        <f t="shared" si="7"/>
        <v>991.66666666666674</v>
      </c>
      <c r="H78" s="4">
        <f>VLOOKUP(B78,nodes!A:D,2,0)</f>
        <v>480</v>
      </c>
      <c r="I78" s="4">
        <f>VLOOKUP(B78,nodes!A:D,4,0)</f>
        <v>210</v>
      </c>
      <c r="J78" s="4">
        <f>VLOOKUP(C78,nodes!A:D,2,0)</f>
        <v>509.99999999999994</v>
      </c>
      <c r="K78" s="4">
        <f>VLOOKUP(C78,nodes!A:D,4,0)</f>
        <v>210</v>
      </c>
      <c r="L78" s="4">
        <f t="shared" si="8"/>
        <v>29.999999999999943</v>
      </c>
      <c r="N78" s="12">
        <f t="shared" si="9"/>
        <v>7437500</v>
      </c>
      <c r="O78" s="12">
        <f t="shared" si="10"/>
        <v>42840000</v>
      </c>
      <c r="P78" s="12">
        <f t="shared" si="11"/>
        <v>11900</v>
      </c>
    </row>
    <row r="79" spans="1:16" x14ac:dyDescent="0.25">
      <c r="A79" s="3">
        <v>78</v>
      </c>
      <c r="B79" s="3">
        <v>81</v>
      </c>
      <c r="C79" s="3">
        <v>82</v>
      </c>
      <c r="D79" s="2">
        <v>12280</v>
      </c>
      <c r="E79" s="2">
        <f t="shared" si="6"/>
        <v>5492.5</v>
      </c>
      <c r="F79" s="2">
        <v>2380</v>
      </c>
      <c r="G79" s="2">
        <f t="shared" si="7"/>
        <v>991.66666666666674</v>
      </c>
      <c r="H79" s="4">
        <f>VLOOKUP(B79,nodes!A:D,2,0)</f>
        <v>509.99999999999994</v>
      </c>
      <c r="I79" s="4">
        <f>VLOOKUP(B79,nodes!A:D,4,0)</f>
        <v>210</v>
      </c>
      <c r="J79" s="4">
        <f>VLOOKUP(C79,nodes!A:D,2,0)</f>
        <v>540</v>
      </c>
      <c r="K79" s="4">
        <f>VLOOKUP(C79,nodes!A:D,4,0)</f>
        <v>210</v>
      </c>
      <c r="L79" s="4">
        <f t="shared" si="8"/>
        <v>30.000000000000057</v>
      </c>
      <c r="N79" s="12">
        <f t="shared" si="9"/>
        <v>7437500</v>
      </c>
      <c r="O79" s="12">
        <f t="shared" si="10"/>
        <v>42840000</v>
      </c>
      <c r="P79" s="12">
        <f t="shared" si="11"/>
        <v>11900</v>
      </c>
    </row>
    <row r="80" spans="1:16" x14ac:dyDescent="0.25">
      <c r="A80" s="3">
        <v>79</v>
      </c>
      <c r="B80" s="3">
        <v>82</v>
      </c>
      <c r="C80" s="3">
        <v>83</v>
      </c>
      <c r="D80" s="2">
        <v>12280</v>
      </c>
      <c r="E80" s="2">
        <f t="shared" si="6"/>
        <v>5492.5</v>
      </c>
      <c r="F80" s="2">
        <v>2380</v>
      </c>
      <c r="G80" s="2">
        <f t="shared" si="7"/>
        <v>991.66666666666674</v>
      </c>
      <c r="H80" s="4">
        <f>VLOOKUP(B80,nodes!A:D,2,0)</f>
        <v>540</v>
      </c>
      <c r="I80" s="4">
        <f>VLOOKUP(B80,nodes!A:D,4,0)</f>
        <v>210</v>
      </c>
      <c r="J80" s="4">
        <f>VLOOKUP(C80,nodes!A:D,2,0)</f>
        <v>570</v>
      </c>
      <c r="K80" s="4">
        <f>VLOOKUP(C80,nodes!A:D,4,0)</f>
        <v>210</v>
      </c>
      <c r="L80" s="4">
        <f t="shared" si="8"/>
        <v>30</v>
      </c>
      <c r="N80" s="12">
        <f t="shared" si="9"/>
        <v>7437500</v>
      </c>
      <c r="O80" s="12">
        <f t="shared" si="10"/>
        <v>42840000</v>
      </c>
      <c r="P80" s="12">
        <f t="shared" si="11"/>
        <v>11900</v>
      </c>
    </row>
    <row r="81" spans="1:16" x14ac:dyDescent="0.25">
      <c r="A81" s="3">
        <v>80</v>
      </c>
      <c r="B81" s="3">
        <v>83</v>
      </c>
      <c r="C81" s="3">
        <v>84</v>
      </c>
      <c r="D81" s="2">
        <v>12280</v>
      </c>
      <c r="E81" s="2">
        <f t="shared" si="6"/>
        <v>5492.5</v>
      </c>
      <c r="F81" s="2">
        <v>2380</v>
      </c>
      <c r="G81" s="2">
        <f t="shared" si="7"/>
        <v>991.66666666666674</v>
      </c>
      <c r="H81" s="4">
        <f>VLOOKUP(B81,nodes!A:D,2,0)</f>
        <v>570</v>
      </c>
      <c r="I81" s="4">
        <f>VLOOKUP(B81,nodes!A:D,4,0)</f>
        <v>210</v>
      </c>
      <c r="J81" s="4">
        <f>VLOOKUP(C81,nodes!A:D,2,0)</f>
        <v>600</v>
      </c>
      <c r="K81" s="4">
        <f>VLOOKUP(C81,nodes!A:D,4,0)</f>
        <v>210</v>
      </c>
      <c r="L81" s="4">
        <f t="shared" si="8"/>
        <v>30</v>
      </c>
      <c r="N81" s="12">
        <f t="shared" si="9"/>
        <v>7437500</v>
      </c>
      <c r="O81" s="12">
        <f t="shared" si="10"/>
        <v>42840000</v>
      </c>
      <c r="P81" s="12">
        <f t="shared" si="11"/>
        <v>11900</v>
      </c>
    </row>
    <row r="82" spans="1:16" x14ac:dyDescent="0.25">
      <c r="A82" s="3">
        <v>81</v>
      </c>
      <c r="B82" s="3">
        <v>85</v>
      </c>
      <c r="C82" s="3">
        <v>86</v>
      </c>
      <c r="D82" s="2">
        <v>12280</v>
      </c>
      <c r="E82" s="2">
        <f t="shared" si="6"/>
        <v>5492.5</v>
      </c>
      <c r="F82" s="2">
        <v>2380</v>
      </c>
      <c r="G82" s="2">
        <f t="shared" si="7"/>
        <v>991.66666666666674</v>
      </c>
      <c r="H82" s="4">
        <f>VLOOKUP(B82,nodes!A:D,2,0)</f>
        <v>0</v>
      </c>
      <c r="I82" s="4">
        <f>VLOOKUP(B82,nodes!A:D,4,0)</f>
        <v>180</v>
      </c>
      <c r="J82" s="4">
        <f>VLOOKUP(C82,nodes!A:D,2,0)</f>
        <v>30</v>
      </c>
      <c r="K82" s="4">
        <f>VLOOKUP(C82,nodes!A:D,4,0)</f>
        <v>180</v>
      </c>
      <c r="L82" s="4">
        <f t="shared" si="8"/>
        <v>30</v>
      </c>
      <c r="N82" s="12">
        <f t="shared" si="9"/>
        <v>7437500</v>
      </c>
      <c r="O82" s="12">
        <f t="shared" si="10"/>
        <v>42840000</v>
      </c>
      <c r="P82" s="12">
        <f t="shared" si="11"/>
        <v>11900</v>
      </c>
    </row>
    <row r="83" spans="1:16" x14ac:dyDescent="0.25">
      <c r="A83" s="3">
        <v>82</v>
      </c>
      <c r="B83" s="3">
        <v>86</v>
      </c>
      <c r="C83" s="3">
        <v>87</v>
      </c>
      <c r="D83" s="2">
        <v>12280</v>
      </c>
      <c r="E83" s="2">
        <f t="shared" si="6"/>
        <v>5492.5</v>
      </c>
      <c r="F83" s="2">
        <v>2380</v>
      </c>
      <c r="G83" s="2">
        <f t="shared" si="7"/>
        <v>991.66666666666674</v>
      </c>
      <c r="H83" s="4">
        <f>VLOOKUP(B83,nodes!A:D,2,0)</f>
        <v>30</v>
      </c>
      <c r="I83" s="4">
        <f>VLOOKUP(B83,nodes!A:D,4,0)</f>
        <v>180</v>
      </c>
      <c r="J83" s="4">
        <f>VLOOKUP(C83,nodes!A:D,2,0)</f>
        <v>60</v>
      </c>
      <c r="K83" s="4">
        <f>VLOOKUP(C83,nodes!A:D,4,0)</f>
        <v>180</v>
      </c>
      <c r="L83" s="4">
        <f t="shared" si="8"/>
        <v>30</v>
      </c>
      <c r="N83" s="12">
        <f t="shared" si="9"/>
        <v>7437500</v>
      </c>
      <c r="O83" s="12">
        <f t="shared" si="10"/>
        <v>42840000</v>
      </c>
      <c r="P83" s="12">
        <f t="shared" si="11"/>
        <v>11900</v>
      </c>
    </row>
    <row r="84" spans="1:16" x14ac:dyDescent="0.25">
      <c r="A84" s="3">
        <v>83</v>
      </c>
      <c r="B84" s="3">
        <v>87</v>
      </c>
      <c r="C84" s="3">
        <v>88</v>
      </c>
      <c r="D84" s="2">
        <v>12280</v>
      </c>
      <c r="E84" s="2">
        <f t="shared" si="6"/>
        <v>5492.5</v>
      </c>
      <c r="F84" s="2">
        <v>2380</v>
      </c>
      <c r="G84" s="2">
        <f t="shared" si="7"/>
        <v>991.66666666666674</v>
      </c>
      <c r="H84" s="4">
        <f>VLOOKUP(B84,nodes!A:D,2,0)</f>
        <v>60</v>
      </c>
      <c r="I84" s="4">
        <f>VLOOKUP(B84,nodes!A:D,4,0)</f>
        <v>180</v>
      </c>
      <c r="J84" s="4">
        <f>VLOOKUP(C84,nodes!A:D,2,0)</f>
        <v>90</v>
      </c>
      <c r="K84" s="4">
        <f>VLOOKUP(C84,nodes!A:D,4,0)</f>
        <v>180</v>
      </c>
      <c r="L84" s="4">
        <f t="shared" si="8"/>
        <v>30</v>
      </c>
      <c r="N84" s="12">
        <f t="shared" si="9"/>
        <v>7437500</v>
      </c>
      <c r="O84" s="12">
        <f t="shared" si="10"/>
        <v>42840000</v>
      </c>
      <c r="P84" s="12">
        <f t="shared" si="11"/>
        <v>11900</v>
      </c>
    </row>
    <row r="85" spans="1:16" x14ac:dyDescent="0.25">
      <c r="A85" s="3">
        <v>84</v>
      </c>
      <c r="B85" s="3">
        <v>88</v>
      </c>
      <c r="C85" s="3">
        <v>89</v>
      </c>
      <c r="D85" s="2">
        <v>12280</v>
      </c>
      <c r="E85" s="2">
        <f t="shared" si="6"/>
        <v>5492.5</v>
      </c>
      <c r="F85" s="2">
        <v>2380</v>
      </c>
      <c r="G85" s="2">
        <f t="shared" si="7"/>
        <v>991.66666666666674</v>
      </c>
      <c r="H85" s="4">
        <f>VLOOKUP(B85,nodes!A:D,2,0)</f>
        <v>90</v>
      </c>
      <c r="I85" s="4">
        <f>VLOOKUP(B85,nodes!A:D,4,0)</f>
        <v>180</v>
      </c>
      <c r="J85" s="4">
        <f>VLOOKUP(C85,nodes!A:D,2,0)</f>
        <v>120</v>
      </c>
      <c r="K85" s="4">
        <f>VLOOKUP(C85,nodes!A:D,4,0)</f>
        <v>180</v>
      </c>
      <c r="L85" s="4">
        <f t="shared" si="8"/>
        <v>30</v>
      </c>
      <c r="N85" s="12">
        <f t="shared" si="9"/>
        <v>7437500</v>
      </c>
      <c r="O85" s="12">
        <f t="shared" si="10"/>
        <v>42840000</v>
      </c>
      <c r="P85" s="12">
        <f t="shared" si="11"/>
        <v>11900</v>
      </c>
    </row>
    <row r="86" spans="1:16" x14ac:dyDescent="0.25">
      <c r="A86" s="3">
        <v>85</v>
      </c>
      <c r="B86" s="3">
        <v>89</v>
      </c>
      <c r="C86" s="3">
        <v>90</v>
      </c>
      <c r="D86" s="2">
        <v>12280</v>
      </c>
      <c r="E86" s="2">
        <f t="shared" si="6"/>
        <v>5492.5</v>
      </c>
      <c r="F86" s="2">
        <v>2380</v>
      </c>
      <c r="G86" s="2">
        <f t="shared" si="7"/>
        <v>991.66666666666674</v>
      </c>
      <c r="H86" s="4">
        <f>VLOOKUP(B86,nodes!A:D,2,0)</f>
        <v>120</v>
      </c>
      <c r="I86" s="4">
        <f>VLOOKUP(B86,nodes!A:D,4,0)</f>
        <v>180</v>
      </c>
      <c r="J86" s="4">
        <f>VLOOKUP(C86,nodes!A:D,2,0)</f>
        <v>150</v>
      </c>
      <c r="K86" s="4">
        <f>VLOOKUP(C86,nodes!A:D,4,0)</f>
        <v>180</v>
      </c>
      <c r="L86" s="4">
        <f t="shared" si="8"/>
        <v>30</v>
      </c>
      <c r="N86" s="12">
        <f t="shared" si="9"/>
        <v>7437500</v>
      </c>
      <c r="O86" s="12">
        <f t="shared" si="10"/>
        <v>42840000</v>
      </c>
      <c r="P86" s="12">
        <f t="shared" si="11"/>
        <v>11900</v>
      </c>
    </row>
    <row r="87" spans="1:16" x14ac:dyDescent="0.25">
      <c r="A87" s="3">
        <v>86</v>
      </c>
      <c r="B87" s="3">
        <v>90</v>
      </c>
      <c r="C87" s="3">
        <v>91</v>
      </c>
      <c r="D87" s="2">
        <v>12280</v>
      </c>
      <c r="E87" s="2">
        <f t="shared" si="6"/>
        <v>5492.5</v>
      </c>
      <c r="F87" s="2">
        <v>2380</v>
      </c>
      <c r="G87" s="2">
        <f t="shared" si="7"/>
        <v>991.66666666666674</v>
      </c>
      <c r="H87" s="4">
        <f>VLOOKUP(B87,nodes!A:D,2,0)</f>
        <v>150</v>
      </c>
      <c r="I87" s="4">
        <f>VLOOKUP(B87,nodes!A:D,4,0)</f>
        <v>180</v>
      </c>
      <c r="J87" s="4">
        <f>VLOOKUP(C87,nodes!A:D,2,0)</f>
        <v>180</v>
      </c>
      <c r="K87" s="4">
        <f>VLOOKUP(C87,nodes!A:D,4,0)</f>
        <v>180</v>
      </c>
      <c r="L87" s="4">
        <f t="shared" si="8"/>
        <v>30</v>
      </c>
      <c r="N87" s="12">
        <f t="shared" si="9"/>
        <v>7437500</v>
      </c>
      <c r="O87" s="12">
        <f t="shared" si="10"/>
        <v>42840000</v>
      </c>
      <c r="P87" s="12">
        <f t="shared" si="11"/>
        <v>11900</v>
      </c>
    </row>
    <row r="88" spans="1:16" x14ac:dyDescent="0.25">
      <c r="A88" s="3">
        <v>87</v>
      </c>
      <c r="B88" s="3">
        <v>91</v>
      </c>
      <c r="C88" s="3">
        <v>92</v>
      </c>
      <c r="D88" s="2">
        <v>12280</v>
      </c>
      <c r="E88" s="2">
        <f t="shared" si="6"/>
        <v>5492.5</v>
      </c>
      <c r="F88" s="2">
        <v>2380</v>
      </c>
      <c r="G88" s="2">
        <f t="shared" si="7"/>
        <v>991.66666666666674</v>
      </c>
      <c r="H88" s="4">
        <f>VLOOKUP(B88,nodes!A:D,2,0)</f>
        <v>180</v>
      </c>
      <c r="I88" s="4">
        <f>VLOOKUP(B88,nodes!A:D,4,0)</f>
        <v>180</v>
      </c>
      <c r="J88" s="4">
        <f>VLOOKUP(C88,nodes!A:D,2,0)</f>
        <v>210</v>
      </c>
      <c r="K88" s="4">
        <f>VLOOKUP(C88,nodes!A:D,4,0)</f>
        <v>180</v>
      </c>
      <c r="L88" s="4">
        <f t="shared" si="8"/>
        <v>30</v>
      </c>
      <c r="N88" s="12">
        <f t="shared" si="9"/>
        <v>7437500</v>
      </c>
      <c r="O88" s="12">
        <f t="shared" si="10"/>
        <v>42840000</v>
      </c>
      <c r="P88" s="12">
        <f t="shared" si="11"/>
        <v>11900</v>
      </c>
    </row>
    <row r="89" spans="1:16" x14ac:dyDescent="0.25">
      <c r="A89" s="3">
        <v>88</v>
      </c>
      <c r="B89" s="3">
        <v>92</v>
      </c>
      <c r="C89" s="3">
        <v>93</v>
      </c>
      <c r="D89" s="2">
        <v>12280</v>
      </c>
      <c r="E89" s="2">
        <f t="shared" si="6"/>
        <v>5492.5</v>
      </c>
      <c r="F89" s="2">
        <v>2380</v>
      </c>
      <c r="G89" s="2">
        <f t="shared" si="7"/>
        <v>991.66666666666674</v>
      </c>
      <c r="H89" s="4">
        <f>VLOOKUP(B89,nodes!A:D,2,0)</f>
        <v>210</v>
      </c>
      <c r="I89" s="4">
        <f>VLOOKUP(B89,nodes!A:D,4,0)</f>
        <v>180</v>
      </c>
      <c r="J89" s="4">
        <f>VLOOKUP(C89,nodes!A:D,2,0)</f>
        <v>240</v>
      </c>
      <c r="K89" s="4">
        <f>VLOOKUP(C89,nodes!A:D,4,0)</f>
        <v>180</v>
      </c>
      <c r="L89" s="4">
        <f t="shared" si="8"/>
        <v>30</v>
      </c>
      <c r="N89" s="12">
        <f t="shared" si="9"/>
        <v>7437500</v>
      </c>
      <c r="O89" s="12">
        <f t="shared" si="10"/>
        <v>42840000</v>
      </c>
      <c r="P89" s="12">
        <f t="shared" si="11"/>
        <v>11900</v>
      </c>
    </row>
    <row r="90" spans="1:16" x14ac:dyDescent="0.25">
      <c r="A90" s="3">
        <v>89</v>
      </c>
      <c r="B90" s="3">
        <v>93</v>
      </c>
      <c r="C90" s="3">
        <v>94</v>
      </c>
      <c r="D90" s="2">
        <v>12280</v>
      </c>
      <c r="E90" s="2">
        <f t="shared" si="6"/>
        <v>5492.5</v>
      </c>
      <c r="F90" s="2">
        <v>2380</v>
      </c>
      <c r="G90" s="2">
        <f t="shared" si="7"/>
        <v>991.66666666666674</v>
      </c>
      <c r="H90" s="4">
        <f>VLOOKUP(B90,nodes!A:D,2,0)</f>
        <v>240</v>
      </c>
      <c r="I90" s="4">
        <f>VLOOKUP(B90,nodes!A:D,4,0)</f>
        <v>180</v>
      </c>
      <c r="J90" s="4">
        <f>VLOOKUP(C90,nodes!A:D,2,0)</f>
        <v>270</v>
      </c>
      <c r="K90" s="4">
        <f>VLOOKUP(C90,nodes!A:D,4,0)</f>
        <v>180</v>
      </c>
      <c r="L90" s="4">
        <f t="shared" si="8"/>
        <v>30</v>
      </c>
      <c r="N90" s="12">
        <f t="shared" si="9"/>
        <v>7437500</v>
      </c>
      <c r="O90" s="12">
        <f t="shared" si="10"/>
        <v>42840000</v>
      </c>
      <c r="P90" s="12">
        <f t="shared" si="11"/>
        <v>11900</v>
      </c>
    </row>
    <row r="91" spans="1:16" x14ac:dyDescent="0.25">
      <c r="A91" s="3">
        <v>90</v>
      </c>
      <c r="B91" s="3">
        <v>94</v>
      </c>
      <c r="C91" s="3">
        <v>95</v>
      </c>
      <c r="D91" s="2">
        <v>12280</v>
      </c>
      <c r="E91" s="2">
        <f t="shared" si="6"/>
        <v>5492.5</v>
      </c>
      <c r="F91" s="2">
        <v>2380</v>
      </c>
      <c r="G91" s="2">
        <f t="shared" si="7"/>
        <v>991.66666666666674</v>
      </c>
      <c r="H91" s="4">
        <f>VLOOKUP(B91,nodes!A:D,2,0)</f>
        <v>270</v>
      </c>
      <c r="I91" s="4">
        <f>VLOOKUP(B91,nodes!A:D,4,0)</f>
        <v>180</v>
      </c>
      <c r="J91" s="4">
        <f>VLOOKUP(C91,nodes!A:D,2,0)</f>
        <v>300</v>
      </c>
      <c r="K91" s="4">
        <f>VLOOKUP(C91,nodes!A:D,4,0)</f>
        <v>180</v>
      </c>
      <c r="L91" s="4">
        <f t="shared" si="8"/>
        <v>30</v>
      </c>
      <c r="N91" s="12">
        <f t="shared" si="9"/>
        <v>7437500</v>
      </c>
      <c r="O91" s="12">
        <f t="shared" si="10"/>
        <v>42840000</v>
      </c>
      <c r="P91" s="12">
        <f t="shared" si="11"/>
        <v>11900</v>
      </c>
    </row>
    <row r="92" spans="1:16" x14ac:dyDescent="0.25">
      <c r="A92" s="3">
        <v>91</v>
      </c>
      <c r="B92" s="3">
        <v>95</v>
      </c>
      <c r="C92" s="3">
        <v>96</v>
      </c>
      <c r="D92" s="2">
        <v>12280</v>
      </c>
      <c r="E92" s="2">
        <f t="shared" si="6"/>
        <v>5492.5</v>
      </c>
      <c r="F92" s="2">
        <v>2380</v>
      </c>
      <c r="G92" s="2">
        <f t="shared" si="7"/>
        <v>991.66666666666674</v>
      </c>
      <c r="H92" s="4">
        <f>VLOOKUP(B92,nodes!A:D,2,0)</f>
        <v>300</v>
      </c>
      <c r="I92" s="4">
        <f>VLOOKUP(B92,nodes!A:D,4,0)</f>
        <v>180</v>
      </c>
      <c r="J92" s="4">
        <f>VLOOKUP(C92,nodes!A:D,2,0)</f>
        <v>330</v>
      </c>
      <c r="K92" s="4">
        <f>VLOOKUP(C92,nodes!A:D,4,0)</f>
        <v>180</v>
      </c>
      <c r="L92" s="4">
        <f t="shared" si="8"/>
        <v>30</v>
      </c>
      <c r="N92" s="12">
        <f t="shared" si="9"/>
        <v>7437500</v>
      </c>
      <c r="O92" s="12">
        <f t="shared" si="10"/>
        <v>42840000</v>
      </c>
      <c r="P92" s="12">
        <f t="shared" si="11"/>
        <v>11900</v>
      </c>
    </row>
    <row r="93" spans="1:16" x14ac:dyDescent="0.25">
      <c r="A93" s="3">
        <v>92</v>
      </c>
      <c r="B93" s="3">
        <v>96</v>
      </c>
      <c r="C93" s="3">
        <v>97</v>
      </c>
      <c r="D93" s="2">
        <v>12280</v>
      </c>
      <c r="E93" s="2">
        <f t="shared" si="6"/>
        <v>5492.5</v>
      </c>
      <c r="F93" s="2">
        <v>2380</v>
      </c>
      <c r="G93" s="2">
        <f t="shared" si="7"/>
        <v>991.66666666666674</v>
      </c>
      <c r="H93" s="4">
        <f>VLOOKUP(B93,nodes!A:D,2,0)</f>
        <v>330</v>
      </c>
      <c r="I93" s="4">
        <f>VLOOKUP(B93,nodes!A:D,4,0)</f>
        <v>180</v>
      </c>
      <c r="J93" s="4">
        <f>VLOOKUP(C93,nodes!A:D,2,0)</f>
        <v>360</v>
      </c>
      <c r="K93" s="4">
        <f>VLOOKUP(C93,nodes!A:D,4,0)</f>
        <v>180</v>
      </c>
      <c r="L93" s="4">
        <f t="shared" si="8"/>
        <v>30</v>
      </c>
      <c r="N93" s="12">
        <f t="shared" si="9"/>
        <v>7437500</v>
      </c>
      <c r="O93" s="12">
        <f t="shared" si="10"/>
        <v>42840000</v>
      </c>
      <c r="P93" s="12">
        <f t="shared" si="11"/>
        <v>11900</v>
      </c>
    </row>
    <row r="94" spans="1:16" x14ac:dyDescent="0.25">
      <c r="A94" s="3">
        <v>93</v>
      </c>
      <c r="B94" s="3">
        <v>97</v>
      </c>
      <c r="C94" s="3">
        <v>98</v>
      </c>
      <c r="D94" s="2">
        <v>12280</v>
      </c>
      <c r="E94" s="2">
        <f t="shared" si="6"/>
        <v>5492.5</v>
      </c>
      <c r="F94" s="2">
        <v>2380</v>
      </c>
      <c r="G94" s="2">
        <f t="shared" si="7"/>
        <v>991.66666666666674</v>
      </c>
      <c r="H94" s="4">
        <f>VLOOKUP(B94,nodes!A:D,2,0)</f>
        <v>360</v>
      </c>
      <c r="I94" s="4">
        <f>VLOOKUP(B94,nodes!A:D,4,0)</f>
        <v>180</v>
      </c>
      <c r="J94" s="4">
        <f>VLOOKUP(C94,nodes!A:D,2,0)</f>
        <v>390</v>
      </c>
      <c r="K94" s="4">
        <f>VLOOKUP(C94,nodes!A:D,4,0)</f>
        <v>180</v>
      </c>
      <c r="L94" s="4">
        <f t="shared" si="8"/>
        <v>30</v>
      </c>
      <c r="N94" s="12">
        <f t="shared" si="9"/>
        <v>7437500</v>
      </c>
      <c r="O94" s="12">
        <f t="shared" si="10"/>
        <v>42840000</v>
      </c>
      <c r="P94" s="12">
        <f t="shared" si="11"/>
        <v>11900</v>
      </c>
    </row>
    <row r="95" spans="1:16" x14ac:dyDescent="0.25">
      <c r="A95" s="3">
        <v>94</v>
      </c>
      <c r="B95" s="3">
        <v>98</v>
      </c>
      <c r="C95" s="3">
        <v>99</v>
      </c>
      <c r="D95" s="2">
        <v>12280</v>
      </c>
      <c r="E95" s="2">
        <f t="shared" si="6"/>
        <v>5492.5</v>
      </c>
      <c r="F95" s="2">
        <v>2380</v>
      </c>
      <c r="G95" s="2">
        <f t="shared" si="7"/>
        <v>991.66666666666674</v>
      </c>
      <c r="H95" s="4">
        <f>VLOOKUP(B95,nodes!A:D,2,0)</f>
        <v>390</v>
      </c>
      <c r="I95" s="4">
        <f>VLOOKUP(B95,nodes!A:D,4,0)</f>
        <v>180</v>
      </c>
      <c r="J95" s="4">
        <f>VLOOKUP(C95,nodes!A:D,2,0)</f>
        <v>420</v>
      </c>
      <c r="K95" s="4">
        <f>VLOOKUP(C95,nodes!A:D,4,0)</f>
        <v>180</v>
      </c>
      <c r="L95" s="4">
        <f t="shared" si="8"/>
        <v>30</v>
      </c>
      <c r="N95" s="12">
        <f t="shared" si="9"/>
        <v>7437500</v>
      </c>
      <c r="O95" s="12">
        <f t="shared" si="10"/>
        <v>42840000</v>
      </c>
      <c r="P95" s="12">
        <f t="shared" si="11"/>
        <v>11900</v>
      </c>
    </row>
    <row r="96" spans="1:16" x14ac:dyDescent="0.25">
      <c r="A96" s="3">
        <v>95</v>
      </c>
      <c r="B96" s="3">
        <v>99</v>
      </c>
      <c r="C96" s="3">
        <v>100</v>
      </c>
      <c r="D96" s="2">
        <v>12280</v>
      </c>
      <c r="E96" s="2">
        <f t="shared" si="6"/>
        <v>5492.5</v>
      </c>
      <c r="F96" s="2">
        <v>2380</v>
      </c>
      <c r="G96" s="2">
        <f t="shared" si="7"/>
        <v>991.66666666666674</v>
      </c>
      <c r="H96" s="4">
        <f>VLOOKUP(B96,nodes!A:D,2,0)</f>
        <v>420</v>
      </c>
      <c r="I96" s="4">
        <f>VLOOKUP(B96,nodes!A:D,4,0)</f>
        <v>180</v>
      </c>
      <c r="J96" s="4">
        <f>VLOOKUP(C96,nodes!A:D,2,0)</f>
        <v>450</v>
      </c>
      <c r="K96" s="4">
        <f>VLOOKUP(C96,nodes!A:D,4,0)</f>
        <v>180</v>
      </c>
      <c r="L96" s="4">
        <f t="shared" si="8"/>
        <v>30</v>
      </c>
      <c r="N96" s="12">
        <f t="shared" si="9"/>
        <v>7437500</v>
      </c>
      <c r="O96" s="12">
        <f t="shared" si="10"/>
        <v>42840000</v>
      </c>
      <c r="P96" s="12">
        <f t="shared" si="11"/>
        <v>11900</v>
      </c>
    </row>
    <row r="97" spans="1:16" x14ac:dyDescent="0.25">
      <c r="A97" s="3">
        <v>96</v>
      </c>
      <c r="B97" s="3">
        <v>100</v>
      </c>
      <c r="C97" s="3">
        <v>101</v>
      </c>
      <c r="D97" s="2">
        <v>12280</v>
      </c>
      <c r="E97" s="2">
        <f t="shared" si="6"/>
        <v>5492.5</v>
      </c>
      <c r="F97" s="2">
        <v>2380</v>
      </c>
      <c r="G97" s="2">
        <f t="shared" si="7"/>
        <v>991.66666666666674</v>
      </c>
      <c r="H97" s="4">
        <f>VLOOKUP(B97,nodes!A:D,2,0)</f>
        <v>450</v>
      </c>
      <c r="I97" s="4">
        <f>VLOOKUP(B97,nodes!A:D,4,0)</f>
        <v>180</v>
      </c>
      <c r="J97" s="4">
        <f>VLOOKUP(C97,nodes!A:D,2,0)</f>
        <v>480</v>
      </c>
      <c r="K97" s="4">
        <f>VLOOKUP(C97,nodes!A:D,4,0)</f>
        <v>180</v>
      </c>
      <c r="L97" s="4">
        <f t="shared" si="8"/>
        <v>30</v>
      </c>
      <c r="N97" s="12">
        <f t="shared" si="9"/>
        <v>7437500</v>
      </c>
      <c r="O97" s="12">
        <f t="shared" si="10"/>
        <v>42840000</v>
      </c>
      <c r="P97" s="12">
        <f t="shared" si="11"/>
        <v>11900</v>
      </c>
    </row>
    <row r="98" spans="1:16" x14ac:dyDescent="0.25">
      <c r="A98" s="3">
        <v>97</v>
      </c>
      <c r="B98" s="3">
        <v>101</v>
      </c>
      <c r="C98" s="3">
        <v>102</v>
      </c>
      <c r="D98" s="2">
        <v>12280</v>
      </c>
      <c r="E98" s="2">
        <f t="shared" si="6"/>
        <v>5492.5</v>
      </c>
      <c r="F98" s="2">
        <v>2380</v>
      </c>
      <c r="G98" s="2">
        <f t="shared" si="7"/>
        <v>991.66666666666674</v>
      </c>
      <c r="H98" s="4">
        <f>VLOOKUP(B98,nodes!A:D,2,0)</f>
        <v>480</v>
      </c>
      <c r="I98" s="4">
        <f>VLOOKUP(B98,nodes!A:D,4,0)</f>
        <v>180</v>
      </c>
      <c r="J98" s="4">
        <f>VLOOKUP(C98,nodes!A:D,2,0)</f>
        <v>509.99999999999994</v>
      </c>
      <c r="K98" s="4">
        <f>VLOOKUP(C98,nodes!A:D,4,0)</f>
        <v>180</v>
      </c>
      <c r="L98" s="4">
        <f t="shared" si="8"/>
        <v>29.999999999999943</v>
      </c>
      <c r="N98" s="12">
        <f t="shared" si="9"/>
        <v>7437500</v>
      </c>
      <c r="O98" s="12">
        <f t="shared" si="10"/>
        <v>42840000</v>
      </c>
      <c r="P98" s="12">
        <f t="shared" si="11"/>
        <v>11900</v>
      </c>
    </row>
    <row r="99" spans="1:16" x14ac:dyDescent="0.25">
      <c r="A99" s="3">
        <v>98</v>
      </c>
      <c r="B99" s="3">
        <v>102</v>
      </c>
      <c r="C99" s="3">
        <v>103</v>
      </c>
      <c r="D99" s="2">
        <v>12280</v>
      </c>
      <c r="E99" s="2">
        <f t="shared" si="6"/>
        <v>5492.5</v>
      </c>
      <c r="F99" s="2">
        <v>2380</v>
      </c>
      <c r="G99" s="2">
        <f t="shared" si="7"/>
        <v>991.66666666666674</v>
      </c>
      <c r="H99" s="4">
        <f>VLOOKUP(B99,nodes!A:D,2,0)</f>
        <v>509.99999999999994</v>
      </c>
      <c r="I99" s="4">
        <f>VLOOKUP(B99,nodes!A:D,4,0)</f>
        <v>180</v>
      </c>
      <c r="J99" s="4">
        <f>VLOOKUP(C99,nodes!A:D,2,0)</f>
        <v>540</v>
      </c>
      <c r="K99" s="4">
        <f>VLOOKUP(C99,nodes!A:D,4,0)</f>
        <v>180</v>
      </c>
      <c r="L99" s="4">
        <f t="shared" si="8"/>
        <v>30.000000000000057</v>
      </c>
      <c r="N99" s="12">
        <f t="shared" si="9"/>
        <v>7437500</v>
      </c>
      <c r="O99" s="12">
        <f t="shared" si="10"/>
        <v>42840000</v>
      </c>
      <c r="P99" s="12">
        <f t="shared" si="11"/>
        <v>11900</v>
      </c>
    </row>
    <row r="100" spans="1:16" x14ac:dyDescent="0.25">
      <c r="A100" s="3">
        <v>99</v>
      </c>
      <c r="B100" s="3">
        <v>103</v>
      </c>
      <c r="C100" s="3">
        <v>104</v>
      </c>
      <c r="D100" s="2">
        <v>12280</v>
      </c>
      <c r="E100" s="2">
        <f t="shared" si="6"/>
        <v>5492.5</v>
      </c>
      <c r="F100" s="2">
        <v>2380</v>
      </c>
      <c r="G100" s="2">
        <f t="shared" si="7"/>
        <v>991.66666666666674</v>
      </c>
      <c r="H100" s="4">
        <f>VLOOKUP(B100,nodes!A:D,2,0)</f>
        <v>540</v>
      </c>
      <c r="I100" s="4">
        <f>VLOOKUP(B100,nodes!A:D,4,0)</f>
        <v>180</v>
      </c>
      <c r="J100" s="4">
        <f>VLOOKUP(C100,nodes!A:D,2,0)</f>
        <v>570</v>
      </c>
      <c r="K100" s="4">
        <f>VLOOKUP(C100,nodes!A:D,4,0)</f>
        <v>180</v>
      </c>
      <c r="L100" s="4">
        <f t="shared" si="8"/>
        <v>30</v>
      </c>
      <c r="N100" s="12">
        <f t="shared" si="9"/>
        <v>7437500</v>
      </c>
      <c r="O100" s="12">
        <f t="shared" si="10"/>
        <v>42840000</v>
      </c>
      <c r="P100" s="12">
        <f t="shared" si="11"/>
        <v>11900</v>
      </c>
    </row>
    <row r="101" spans="1:16" x14ac:dyDescent="0.25">
      <c r="A101" s="3">
        <v>100</v>
      </c>
      <c r="B101" s="3">
        <v>104</v>
      </c>
      <c r="C101" s="3">
        <v>105</v>
      </c>
      <c r="D101" s="2">
        <v>12280</v>
      </c>
      <c r="E101" s="2">
        <f t="shared" si="6"/>
        <v>5492.5</v>
      </c>
      <c r="F101" s="2">
        <v>2380</v>
      </c>
      <c r="G101" s="2">
        <f t="shared" si="7"/>
        <v>991.66666666666674</v>
      </c>
      <c r="H101" s="4">
        <f>VLOOKUP(B101,nodes!A:D,2,0)</f>
        <v>570</v>
      </c>
      <c r="I101" s="4">
        <f>VLOOKUP(B101,nodes!A:D,4,0)</f>
        <v>180</v>
      </c>
      <c r="J101" s="4">
        <f>VLOOKUP(C101,nodes!A:D,2,0)</f>
        <v>600</v>
      </c>
      <c r="K101" s="4">
        <f>VLOOKUP(C101,nodes!A:D,4,0)</f>
        <v>180</v>
      </c>
      <c r="L101" s="4">
        <f t="shared" si="8"/>
        <v>30</v>
      </c>
      <c r="N101" s="12">
        <f t="shared" si="9"/>
        <v>7437500</v>
      </c>
      <c r="O101" s="12">
        <f t="shared" si="10"/>
        <v>42840000</v>
      </c>
      <c r="P101" s="12">
        <f t="shared" si="11"/>
        <v>11900</v>
      </c>
    </row>
    <row r="102" spans="1:16" x14ac:dyDescent="0.25">
      <c r="A102" s="3">
        <v>101</v>
      </c>
      <c r="B102" s="3">
        <v>106</v>
      </c>
      <c r="C102" s="3">
        <v>107</v>
      </c>
      <c r="D102" s="2">
        <v>12280</v>
      </c>
      <c r="E102" s="2">
        <f t="shared" si="6"/>
        <v>5492.5</v>
      </c>
      <c r="F102" s="2">
        <v>2380</v>
      </c>
      <c r="G102" s="2">
        <f t="shared" si="7"/>
        <v>991.66666666666674</v>
      </c>
      <c r="H102" s="4">
        <f>VLOOKUP(B102,nodes!A:D,2,0)</f>
        <v>0</v>
      </c>
      <c r="I102" s="4">
        <f>VLOOKUP(B102,nodes!A:D,4,0)</f>
        <v>150</v>
      </c>
      <c r="J102" s="4">
        <f>VLOOKUP(C102,nodes!A:D,2,0)</f>
        <v>30</v>
      </c>
      <c r="K102" s="4">
        <f>VLOOKUP(C102,nodes!A:D,4,0)</f>
        <v>150</v>
      </c>
      <c r="L102" s="4">
        <f t="shared" si="8"/>
        <v>30</v>
      </c>
      <c r="N102" s="12">
        <f t="shared" si="9"/>
        <v>7437500</v>
      </c>
      <c r="O102" s="12">
        <f t="shared" si="10"/>
        <v>42840000</v>
      </c>
      <c r="P102" s="12">
        <f t="shared" si="11"/>
        <v>11900</v>
      </c>
    </row>
    <row r="103" spans="1:16" x14ac:dyDescent="0.25">
      <c r="A103" s="3">
        <v>102</v>
      </c>
      <c r="B103" s="3">
        <v>107</v>
      </c>
      <c r="C103" s="3">
        <v>108</v>
      </c>
      <c r="D103" s="2">
        <v>12280</v>
      </c>
      <c r="E103" s="2">
        <f t="shared" si="6"/>
        <v>5492.5</v>
      </c>
      <c r="F103" s="2">
        <v>2380</v>
      </c>
      <c r="G103" s="2">
        <f t="shared" si="7"/>
        <v>991.66666666666674</v>
      </c>
      <c r="H103" s="4">
        <f>VLOOKUP(B103,nodes!A:D,2,0)</f>
        <v>30</v>
      </c>
      <c r="I103" s="4">
        <f>VLOOKUP(B103,nodes!A:D,4,0)</f>
        <v>150</v>
      </c>
      <c r="J103" s="4">
        <f>VLOOKUP(C103,nodes!A:D,2,0)</f>
        <v>60</v>
      </c>
      <c r="K103" s="4">
        <f>VLOOKUP(C103,nodes!A:D,4,0)</f>
        <v>150</v>
      </c>
      <c r="L103" s="4">
        <f t="shared" si="8"/>
        <v>30</v>
      </c>
      <c r="N103" s="12">
        <f t="shared" si="9"/>
        <v>7437500</v>
      </c>
      <c r="O103" s="12">
        <f t="shared" si="10"/>
        <v>42840000</v>
      </c>
      <c r="P103" s="12">
        <f t="shared" si="11"/>
        <v>11900</v>
      </c>
    </row>
    <row r="104" spans="1:16" x14ac:dyDescent="0.25">
      <c r="A104" s="3">
        <v>103</v>
      </c>
      <c r="B104" s="3">
        <v>108</v>
      </c>
      <c r="C104" s="3">
        <v>109</v>
      </c>
      <c r="D104" s="2">
        <v>12280</v>
      </c>
      <c r="E104" s="2">
        <f t="shared" si="6"/>
        <v>5492.5</v>
      </c>
      <c r="F104" s="2">
        <v>2380</v>
      </c>
      <c r="G104" s="2">
        <f t="shared" si="7"/>
        <v>991.66666666666674</v>
      </c>
      <c r="H104" s="4">
        <f>VLOOKUP(B104,nodes!A:D,2,0)</f>
        <v>60</v>
      </c>
      <c r="I104" s="4">
        <f>VLOOKUP(B104,nodes!A:D,4,0)</f>
        <v>150</v>
      </c>
      <c r="J104" s="4">
        <f>VLOOKUP(C104,nodes!A:D,2,0)</f>
        <v>90</v>
      </c>
      <c r="K104" s="4">
        <f>VLOOKUP(C104,nodes!A:D,4,0)</f>
        <v>150</v>
      </c>
      <c r="L104" s="4">
        <f t="shared" si="8"/>
        <v>30</v>
      </c>
      <c r="N104" s="12">
        <f t="shared" si="9"/>
        <v>7437500</v>
      </c>
      <c r="O104" s="12">
        <f t="shared" si="10"/>
        <v>42840000</v>
      </c>
      <c r="P104" s="12">
        <f t="shared" si="11"/>
        <v>11900</v>
      </c>
    </row>
    <row r="105" spans="1:16" x14ac:dyDescent="0.25">
      <c r="A105" s="3">
        <v>104</v>
      </c>
      <c r="B105" s="3">
        <v>109</v>
      </c>
      <c r="C105" s="3">
        <v>110</v>
      </c>
      <c r="D105" s="2">
        <v>12280</v>
      </c>
      <c r="E105" s="2">
        <f t="shared" si="6"/>
        <v>5492.5</v>
      </c>
      <c r="F105" s="2">
        <v>2380</v>
      </c>
      <c r="G105" s="2">
        <f t="shared" si="7"/>
        <v>991.66666666666674</v>
      </c>
      <c r="H105" s="4">
        <f>VLOOKUP(B105,nodes!A:D,2,0)</f>
        <v>90</v>
      </c>
      <c r="I105" s="4">
        <f>VLOOKUP(B105,nodes!A:D,4,0)</f>
        <v>150</v>
      </c>
      <c r="J105" s="4">
        <f>VLOOKUP(C105,nodes!A:D,2,0)</f>
        <v>120</v>
      </c>
      <c r="K105" s="4">
        <f>VLOOKUP(C105,nodes!A:D,4,0)</f>
        <v>150</v>
      </c>
      <c r="L105" s="4">
        <f t="shared" si="8"/>
        <v>30</v>
      </c>
      <c r="N105" s="12">
        <f t="shared" si="9"/>
        <v>7437500</v>
      </c>
      <c r="O105" s="12">
        <f t="shared" si="10"/>
        <v>42840000</v>
      </c>
      <c r="P105" s="12">
        <f t="shared" si="11"/>
        <v>11900</v>
      </c>
    </row>
    <row r="106" spans="1:16" x14ac:dyDescent="0.25">
      <c r="A106" s="3">
        <v>105</v>
      </c>
      <c r="B106" s="3">
        <v>110</v>
      </c>
      <c r="C106" s="3">
        <v>111</v>
      </c>
      <c r="D106" s="2">
        <v>12280</v>
      </c>
      <c r="E106" s="2">
        <f t="shared" si="6"/>
        <v>5492.5</v>
      </c>
      <c r="F106" s="2">
        <v>2380</v>
      </c>
      <c r="G106" s="2">
        <f t="shared" si="7"/>
        <v>991.66666666666674</v>
      </c>
      <c r="H106" s="4">
        <f>VLOOKUP(B106,nodes!A:D,2,0)</f>
        <v>120</v>
      </c>
      <c r="I106" s="4">
        <f>VLOOKUP(B106,nodes!A:D,4,0)</f>
        <v>150</v>
      </c>
      <c r="J106" s="4">
        <f>VLOOKUP(C106,nodes!A:D,2,0)</f>
        <v>150</v>
      </c>
      <c r="K106" s="4">
        <f>VLOOKUP(C106,nodes!A:D,4,0)</f>
        <v>150</v>
      </c>
      <c r="L106" s="4">
        <f t="shared" si="8"/>
        <v>30</v>
      </c>
      <c r="N106" s="12">
        <f t="shared" si="9"/>
        <v>7437500</v>
      </c>
      <c r="O106" s="12">
        <f t="shared" si="10"/>
        <v>42840000</v>
      </c>
      <c r="P106" s="12">
        <f t="shared" si="11"/>
        <v>11900</v>
      </c>
    </row>
    <row r="107" spans="1:16" x14ac:dyDescent="0.25">
      <c r="A107" s="3">
        <v>106</v>
      </c>
      <c r="B107" s="3">
        <v>111</v>
      </c>
      <c r="C107" s="3">
        <v>112</v>
      </c>
      <c r="D107" s="2">
        <v>12280</v>
      </c>
      <c r="E107" s="2">
        <f t="shared" si="6"/>
        <v>5492.5</v>
      </c>
      <c r="F107" s="2">
        <v>2380</v>
      </c>
      <c r="G107" s="2">
        <f t="shared" si="7"/>
        <v>991.66666666666674</v>
      </c>
      <c r="H107" s="4">
        <f>VLOOKUP(B107,nodes!A:D,2,0)</f>
        <v>150</v>
      </c>
      <c r="I107" s="4">
        <f>VLOOKUP(B107,nodes!A:D,4,0)</f>
        <v>150</v>
      </c>
      <c r="J107" s="4">
        <f>VLOOKUP(C107,nodes!A:D,2,0)</f>
        <v>180</v>
      </c>
      <c r="K107" s="4">
        <f>VLOOKUP(C107,nodes!A:D,4,0)</f>
        <v>150</v>
      </c>
      <c r="L107" s="4">
        <f t="shared" si="8"/>
        <v>30</v>
      </c>
      <c r="N107" s="12">
        <f t="shared" si="9"/>
        <v>7437500</v>
      </c>
      <c r="O107" s="12">
        <f t="shared" si="10"/>
        <v>42840000</v>
      </c>
      <c r="P107" s="12">
        <f t="shared" si="11"/>
        <v>11900</v>
      </c>
    </row>
    <row r="108" spans="1:16" x14ac:dyDescent="0.25">
      <c r="A108" s="3">
        <v>107</v>
      </c>
      <c r="B108" s="3">
        <v>112</v>
      </c>
      <c r="C108" s="3">
        <v>113</v>
      </c>
      <c r="D108" s="2">
        <v>12280</v>
      </c>
      <c r="E108" s="2">
        <f t="shared" si="6"/>
        <v>5492.5</v>
      </c>
      <c r="F108" s="2">
        <v>2380</v>
      </c>
      <c r="G108" s="2">
        <f t="shared" si="7"/>
        <v>991.66666666666674</v>
      </c>
      <c r="H108" s="4">
        <f>VLOOKUP(B108,nodes!A:D,2,0)</f>
        <v>180</v>
      </c>
      <c r="I108" s="4">
        <f>VLOOKUP(B108,nodes!A:D,4,0)</f>
        <v>150</v>
      </c>
      <c r="J108" s="4">
        <f>VLOOKUP(C108,nodes!A:D,2,0)</f>
        <v>210</v>
      </c>
      <c r="K108" s="4">
        <f>VLOOKUP(C108,nodes!A:D,4,0)</f>
        <v>150</v>
      </c>
      <c r="L108" s="4">
        <f t="shared" si="8"/>
        <v>30</v>
      </c>
      <c r="N108" s="12">
        <f t="shared" si="9"/>
        <v>7437500</v>
      </c>
      <c r="O108" s="12">
        <f t="shared" si="10"/>
        <v>42840000</v>
      </c>
      <c r="P108" s="12">
        <f t="shared" si="11"/>
        <v>11900</v>
      </c>
    </row>
    <row r="109" spans="1:16" x14ac:dyDescent="0.25">
      <c r="A109" s="3">
        <v>108</v>
      </c>
      <c r="B109" s="3">
        <v>113</v>
      </c>
      <c r="C109" s="3">
        <v>114</v>
      </c>
      <c r="D109" s="2">
        <v>12280</v>
      </c>
      <c r="E109" s="2">
        <f t="shared" si="6"/>
        <v>5492.5</v>
      </c>
      <c r="F109" s="2">
        <v>2380</v>
      </c>
      <c r="G109" s="2">
        <f t="shared" si="7"/>
        <v>991.66666666666674</v>
      </c>
      <c r="H109" s="4">
        <f>VLOOKUP(B109,nodes!A:D,2,0)</f>
        <v>210</v>
      </c>
      <c r="I109" s="4">
        <f>VLOOKUP(B109,nodes!A:D,4,0)</f>
        <v>150</v>
      </c>
      <c r="J109" s="4">
        <f>VLOOKUP(C109,nodes!A:D,2,0)</f>
        <v>240</v>
      </c>
      <c r="K109" s="4">
        <f>VLOOKUP(C109,nodes!A:D,4,0)</f>
        <v>150</v>
      </c>
      <c r="L109" s="4">
        <f t="shared" si="8"/>
        <v>30</v>
      </c>
      <c r="N109" s="12">
        <f t="shared" si="9"/>
        <v>7437500</v>
      </c>
      <c r="O109" s="12">
        <f t="shared" si="10"/>
        <v>42840000</v>
      </c>
      <c r="P109" s="12">
        <f t="shared" si="11"/>
        <v>11900</v>
      </c>
    </row>
    <row r="110" spans="1:16" x14ac:dyDescent="0.25">
      <c r="A110" s="3">
        <v>109</v>
      </c>
      <c r="B110" s="3">
        <v>114</v>
      </c>
      <c r="C110" s="3">
        <v>115</v>
      </c>
      <c r="D110" s="2">
        <v>12280</v>
      </c>
      <c r="E110" s="2">
        <f t="shared" si="6"/>
        <v>5492.5</v>
      </c>
      <c r="F110" s="2">
        <v>2380</v>
      </c>
      <c r="G110" s="2">
        <f t="shared" si="7"/>
        <v>991.66666666666674</v>
      </c>
      <c r="H110" s="4">
        <f>VLOOKUP(B110,nodes!A:D,2,0)</f>
        <v>240</v>
      </c>
      <c r="I110" s="4">
        <f>VLOOKUP(B110,nodes!A:D,4,0)</f>
        <v>150</v>
      </c>
      <c r="J110" s="4">
        <f>VLOOKUP(C110,nodes!A:D,2,0)</f>
        <v>270</v>
      </c>
      <c r="K110" s="4">
        <f>VLOOKUP(C110,nodes!A:D,4,0)</f>
        <v>150</v>
      </c>
      <c r="L110" s="4">
        <f t="shared" si="8"/>
        <v>30</v>
      </c>
      <c r="N110" s="12">
        <f t="shared" si="9"/>
        <v>7437500</v>
      </c>
      <c r="O110" s="12">
        <f t="shared" si="10"/>
        <v>42840000</v>
      </c>
      <c r="P110" s="12">
        <f t="shared" si="11"/>
        <v>11900</v>
      </c>
    </row>
    <row r="111" spans="1:16" x14ac:dyDescent="0.25">
      <c r="A111" s="3">
        <v>110</v>
      </c>
      <c r="B111" s="3">
        <v>115</v>
      </c>
      <c r="C111" s="3">
        <v>116</v>
      </c>
      <c r="D111" s="2">
        <v>12280</v>
      </c>
      <c r="E111" s="2">
        <f t="shared" si="6"/>
        <v>5492.5</v>
      </c>
      <c r="F111" s="2">
        <v>2380</v>
      </c>
      <c r="G111" s="2">
        <f t="shared" si="7"/>
        <v>991.66666666666674</v>
      </c>
      <c r="H111" s="4">
        <f>VLOOKUP(B111,nodes!A:D,2,0)</f>
        <v>270</v>
      </c>
      <c r="I111" s="4">
        <f>VLOOKUP(B111,nodes!A:D,4,0)</f>
        <v>150</v>
      </c>
      <c r="J111" s="4">
        <f>VLOOKUP(C111,nodes!A:D,2,0)</f>
        <v>300</v>
      </c>
      <c r="K111" s="4">
        <f>VLOOKUP(C111,nodes!A:D,4,0)</f>
        <v>150</v>
      </c>
      <c r="L111" s="4">
        <f t="shared" si="8"/>
        <v>30</v>
      </c>
      <c r="N111" s="12">
        <f t="shared" si="9"/>
        <v>7437500</v>
      </c>
      <c r="O111" s="12">
        <f t="shared" si="10"/>
        <v>42840000</v>
      </c>
      <c r="P111" s="12">
        <f t="shared" si="11"/>
        <v>11900</v>
      </c>
    </row>
    <row r="112" spans="1:16" x14ac:dyDescent="0.25">
      <c r="A112" s="3">
        <v>111</v>
      </c>
      <c r="B112" s="3">
        <v>116</v>
      </c>
      <c r="C112" s="3">
        <v>117</v>
      </c>
      <c r="D112" s="2">
        <v>12280</v>
      </c>
      <c r="E112" s="2">
        <f t="shared" si="6"/>
        <v>5492.5</v>
      </c>
      <c r="F112" s="2">
        <v>2380</v>
      </c>
      <c r="G112" s="2">
        <f t="shared" si="7"/>
        <v>991.66666666666674</v>
      </c>
      <c r="H112" s="4">
        <f>VLOOKUP(B112,nodes!A:D,2,0)</f>
        <v>300</v>
      </c>
      <c r="I112" s="4">
        <f>VLOOKUP(B112,nodes!A:D,4,0)</f>
        <v>150</v>
      </c>
      <c r="J112" s="4">
        <f>VLOOKUP(C112,nodes!A:D,2,0)</f>
        <v>330</v>
      </c>
      <c r="K112" s="4">
        <f>VLOOKUP(C112,nodes!A:D,4,0)</f>
        <v>150</v>
      </c>
      <c r="L112" s="4">
        <f t="shared" si="8"/>
        <v>30</v>
      </c>
      <c r="N112" s="12">
        <f t="shared" si="9"/>
        <v>7437500</v>
      </c>
      <c r="O112" s="12">
        <f t="shared" si="10"/>
        <v>42840000</v>
      </c>
      <c r="P112" s="12">
        <f t="shared" si="11"/>
        <v>11900</v>
      </c>
    </row>
    <row r="113" spans="1:16" x14ac:dyDescent="0.25">
      <c r="A113" s="3">
        <v>112</v>
      </c>
      <c r="B113" s="3">
        <v>117</v>
      </c>
      <c r="C113" s="3">
        <v>118</v>
      </c>
      <c r="D113" s="2">
        <v>12280</v>
      </c>
      <c r="E113" s="2">
        <f t="shared" si="6"/>
        <v>5492.5</v>
      </c>
      <c r="F113" s="2">
        <v>2380</v>
      </c>
      <c r="G113" s="2">
        <f t="shared" si="7"/>
        <v>991.66666666666674</v>
      </c>
      <c r="H113" s="4">
        <f>VLOOKUP(B113,nodes!A:D,2,0)</f>
        <v>330</v>
      </c>
      <c r="I113" s="4">
        <f>VLOOKUP(B113,nodes!A:D,4,0)</f>
        <v>150</v>
      </c>
      <c r="J113" s="4">
        <f>VLOOKUP(C113,nodes!A:D,2,0)</f>
        <v>360</v>
      </c>
      <c r="K113" s="4">
        <f>VLOOKUP(C113,nodes!A:D,4,0)</f>
        <v>150</v>
      </c>
      <c r="L113" s="4">
        <f t="shared" si="8"/>
        <v>30</v>
      </c>
      <c r="N113" s="12">
        <f t="shared" si="9"/>
        <v>7437500</v>
      </c>
      <c r="O113" s="12">
        <f t="shared" si="10"/>
        <v>42840000</v>
      </c>
      <c r="P113" s="12">
        <f t="shared" si="11"/>
        <v>11900</v>
      </c>
    </row>
    <row r="114" spans="1:16" x14ac:dyDescent="0.25">
      <c r="A114" s="3">
        <v>113</v>
      </c>
      <c r="B114" s="3">
        <v>118</v>
      </c>
      <c r="C114" s="3">
        <v>119</v>
      </c>
      <c r="D114" s="2">
        <v>12280</v>
      </c>
      <c r="E114" s="2">
        <f t="shared" si="6"/>
        <v>5492.5</v>
      </c>
      <c r="F114" s="2">
        <v>2380</v>
      </c>
      <c r="G114" s="2">
        <f t="shared" si="7"/>
        <v>991.66666666666674</v>
      </c>
      <c r="H114" s="4">
        <f>VLOOKUP(B114,nodes!A:D,2,0)</f>
        <v>360</v>
      </c>
      <c r="I114" s="4">
        <f>VLOOKUP(B114,nodes!A:D,4,0)</f>
        <v>150</v>
      </c>
      <c r="J114" s="4">
        <f>VLOOKUP(C114,nodes!A:D,2,0)</f>
        <v>390</v>
      </c>
      <c r="K114" s="4">
        <f>VLOOKUP(C114,nodes!A:D,4,0)</f>
        <v>150</v>
      </c>
      <c r="L114" s="4">
        <f t="shared" si="8"/>
        <v>30</v>
      </c>
      <c r="N114" s="12">
        <f t="shared" si="9"/>
        <v>7437500</v>
      </c>
      <c r="O114" s="12">
        <f t="shared" si="10"/>
        <v>42840000</v>
      </c>
      <c r="P114" s="12">
        <f t="shared" si="11"/>
        <v>11900</v>
      </c>
    </row>
    <row r="115" spans="1:16" x14ac:dyDescent="0.25">
      <c r="A115" s="3">
        <v>114</v>
      </c>
      <c r="B115" s="3">
        <v>119</v>
      </c>
      <c r="C115" s="3">
        <v>120</v>
      </c>
      <c r="D115" s="2">
        <v>12280</v>
      </c>
      <c r="E115" s="2">
        <f t="shared" si="6"/>
        <v>5492.5</v>
      </c>
      <c r="F115" s="2">
        <v>2380</v>
      </c>
      <c r="G115" s="2">
        <f t="shared" si="7"/>
        <v>991.66666666666674</v>
      </c>
      <c r="H115" s="4">
        <f>VLOOKUP(B115,nodes!A:D,2,0)</f>
        <v>390</v>
      </c>
      <c r="I115" s="4">
        <f>VLOOKUP(B115,nodes!A:D,4,0)</f>
        <v>150</v>
      </c>
      <c r="J115" s="4">
        <f>VLOOKUP(C115,nodes!A:D,2,0)</f>
        <v>420</v>
      </c>
      <c r="K115" s="4">
        <f>VLOOKUP(C115,nodes!A:D,4,0)</f>
        <v>150</v>
      </c>
      <c r="L115" s="4">
        <f t="shared" si="8"/>
        <v>30</v>
      </c>
      <c r="N115" s="12">
        <f t="shared" si="9"/>
        <v>7437500</v>
      </c>
      <c r="O115" s="12">
        <f t="shared" si="10"/>
        <v>42840000</v>
      </c>
      <c r="P115" s="12">
        <f t="shared" si="11"/>
        <v>11900</v>
      </c>
    </row>
    <row r="116" spans="1:16" x14ac:dyDescent="0.25">
      <c r="A116" s="3">
        <v>115</v>
      </c>
      <c r="B116" s="3">
        <v>120</v>
      </c>
      <c r="C116" s="3">
        <v>121</v>
      </c>
      <c r="D116" s="2">
        <v>12280</v>
      </c>
      <c r="E116" s="2">
        <f t="shared" si="6"/>
        <v>5492.5</v>
      </c>
      <c r="F116" s="2">
        <v>2380</v>
      </c>
      <c r="G116" s="2">
        <f t="shared" si="7"/>
        <v>991.66666666666674</v>
      </c>
      <c r="H116" s="4">
        <f>VLOOKUP(B116,nodes!A:D,2,0)</f>
        <v>420</v>
      </c>
      <c r="I116" s="4">
        <f>VLOOKUP(B116,nodes!A:D,4,0)</f>
        <v>150</v>
      </c>
      <c r="J116" s="4">
        <f>VLOOKUP(C116,nodes!A:D,2,0)</f>
        <v>450</v>
      </c>
      <c r="K116" s="4">
        <f>VLOOKUP(C116,nodes!A:D,4,0)</f>
        <v>150</v>
      </c>
      <c r="L116" s="4">
        <f t="shared" si="8"/>
        <v>30</v>
      </c>
      <c r="N116" s="12">
        <f t="shared" si="9"/>
        <v>7437500</v>
      </c>
      <c r="O116" s="12">
        <f t="shared" si="10"/>
        <v>42840000</v>
      </c>
      <c r="P116" s="12">
        <f t="shared" si="11"/>
        <v>11900</v>
      </c>
    </row>
    <row r="117" spans="1:16" x14ac:dyDescent="0.25">
      <c r="A117" s="3">
        <v>116</v>
      </c>
      <c r="B117" s="3">
        <v>121</v>
      </c>
      <c r="C117" s="3">
        <v>122</v>
      </c>
      <c r="D117" s="2">
        <v>12280</v>
      </c>
      <c r="E117" s="2">
        <f t="shared" si="6"/>
        <v>5492.5</v>
      </c>
      <c r="F117" s="2">
        <v>2380</v>
      </c>
      <c r="G117" s="2">
        <f t="shared" si="7"/>
        <v>991.66666666666674</v>
      </c>
      <c r="H117" s="4">
        <f>VLOOKUP(B117,nodes!A:D,2,0)</f>
        <v>450</v>
      </c>
      <c r="I117" s="4">
        <f>VLOOKUP(B117,nodes!A:D,4,0)</f>
        <v>150</v>
      </c>
      <c r="J117" s="4">
        <f>VLOOKUP(C117,nodes!A:D,2,0)</f>
        <v>480</v>
      </c>
      <c r="K117" s="4">
        <f>VLOOKUP(C117,nodes!A:D,4,0)</f>
        <v>150</v>
      </c>
      <c r="L117" s="4">
        <f t="shared" si="8"/>
        <v>30</v>
      </c>
      <c r="N117" s="12">
        <f t="shared" si="9"/>
        <v>7437500</v>
      </c>
      <c r="O117" s="12">
        <f t="shared" si="10"/>
        <v>42840000</v>
      </c>
      <c r="P117" s="12">
        <f t="shared" si="11"/>
        <v>11900</v>
      </c>
    </row>
    <row r="118" spans="1:16" x14ac:dyDescent="0.25">
      <c r="A118" s="3">
        <v>117</v>
      </c>
      <c r="B118" s="3">
        <v>122</v>
      </c>
      <c r="C118" s="3">
        <v>123</v>
      </c>
      <c r="D118" s="2">
        <v>12280</v>
      </c>
      <c r="E118" s="2">
        <f t="shared" si="6"/>
        <v>5492.5</v>
      </c>
      <c r="F118" s="2">
        <v>2380</v>
      </c>
      <c r="G118" s="2">
        <f t="shared" si="7"/>
        <v>991.66666666666674</v>
      </c>
      <c r="H118" s="4">
        <f>VLOOKUP(B118,nodes!A:D,2,0)</f>
        <v>480</v>
      </c>
      <c r="I118" s="4">
        <f>VLOOKUP(B118,nodes!A:D,4,0)</f>
        <v>150</v>
      </c>
      <c r="J118" s="4">
        <f>VLOOKUP(C118,nodes!A:D,2,0)</f>
        <v>509.99999999999994</v>
      </c>
      <c r="K118" s="4">
        <f>VLOOKUP(C118,nodes!A:D,4,0)</f>
        <v>150</v>
      </c>
      <c r="L118" s="4">
        <f t="shared" si="8"/>
        <v>29.999999999999943</v>
      </c>
      <c r="N118" s="12">
        <f t="shared" si="9"/>
        <v>7437500</v>
      </c>
      <c r="O118" s="12">
        <f t="shared" si="10"/>
        <v>42840000</v>
      </c>
      <c r="P118" s="12">
        <f t="shared" si="11"/>
        <v>11900</v>
      </c>
    </row>
    <row r="119" spans="1:16" x14ac:dyDescent="0.25">
      <c r="A119" s="3">
        <v>118</v>
      </c>
      <c r="B119" s="3">
        <v>123</v>
      </c>
      <c r="C119" s="3">
        <v>124</v>
      </c>
      <c r="D119" s="2">
        <v>12280</v>
      </c>
      <c r="E119" s="2">
        <f t="shared" si="6"/>
        <v>5492.5</v>
      </c>
      <c r="F119" s="2">
        <v>2380</v>
      </c>
      <c r="G119" s="2">
        <f t="shared" si="7"/>
        <v>991.66666666666674</v>
      </c>
      <c r="H119" s="4">
        <f>VLOOKUP(B119,nodes!A:D,2,0)</f>
        <v>509.99999999999994</v>
      </c>
      <c r="I119" s="4">
        <f>VLOOKUP(B119,nodes!A:D,4,0)</f>
        <v>150</v>
      </c>
      <c r="J119" s="4">
        <f>VLOOKUP(C119,nodes!A:D,2,0)</f>
        <v>540</v>
      </c>
      <c r="K119" s="4">
        <f>VLOOKUP(C119,nodes!A:D,4,0)</f>
        <v>150</v>
      </c>
      <c r="L119" s="4">
        <f t="shared" si="8"/>
        <v>30.000000000000057</v>
      </c>
      <c r="N119" s="12">
        <f t="shared" si="9"/>
        <v>7437500</v>
      </c>
      <c r="O119" s="12">
        <f t="shared" si="10"/>
        <v>42840000</v>
      </c>
      <c r="P119" s="12">
        <f t="shared" si="11"/>
        <v>11900</v>
      </c>
    </row>
    <row r="120" spans="1:16" x14ac:dyDescent="0.25">
      <c r="A120" s="3">
        <v>119</v>
      </c>
      <c r="B120" s="3">
        <v>124</v>
      </c>
      <c r="C120" s="3">
        <v>125</v>
      </c>
      <c r="D120" s="2">
        <v>12280</v>
      </c>
      <c r="E120" s="2">
        <f t="shared" si="6"/>
        <v>5492.5</v>
      </c>
      <c r="F120" s="2">
        <v>2380</v>
      </c>
      <c r="G120" s="2">
        <f t="shared" si="7"/>
        <v>991.66666666666674</v>
      </c>
      <c r="H120" s="4">
        <f>VLOOKUP(B120,nodes!A:D,2,0)</f>
        <v>540</v>
      </c>
      <c r="I120" s="4">
        <f>VLOOKUP(B120,nodes!A:D,4,0)</f>
        <v>150</v>
      </c>
      <c r="J120" s="4">
        <f>VLOOKUP(C120,nodes!A:D,2,0)</f>
        <v>570</v>
      </c>
      <c r="K120" s="4">
        <f>VLOOKUP(C120,nodes!A:D,4,0)</f>
        <v>150</v>
      </c>
      <c r="L120" s="4">
        <f t="shared" si="8"/>
        <v>30</v>
      </c>
      <c r="N120" s="12">
        <f t="shared" si="9"/>
        <v>7437500</v>
      </c>
      <c r="O120" s="12">
        <f t="shared" si="10"/>
        <v>42840000</v>
      </c>
      <c r="P120" s="12">
        <f t="shared" si="11"/>
        <v>11900</v>
      </c>
    </row>
    <row r="121" spans="1:16" x14ac:dyDescent="0.25">
      <c r="A121" s="3">
        <v>120</v>
      </c>
      <c r="B121" s="3">
        <v>125</v>
      </c>
      <c r="C121" s="3">
        <v>126</v>
      </c>
      <c r="D121" s="2">
        <v>12280</v>
      </c>
      <c r="E121" s="2">
        <f t="shared" si="6"/>
        <v>5492.5</v>
      </c>
      <c r="F121" s="2">
        <v>2380</v>
      </c>
      <c r="G121" s="2">
        <f t="shared" si="7"/>
        <v>991.66666666666674</v>
      </c>
      <c r="H121" s="4">
        <f>VLOOKUP(B121,nodes!A:D,2,0)</f>
        <v>570</v>
      </c>
      <c r="I121" s="4">
        <f>VLOOKUP(B121,nodes!A:D,4,0)</f>
        <v>150</v>
      </c>
      <c r="J121" s="4">
        <f>VLOOKUP(C121,nodes!A:D,2,0)</f>
        <v>600</v>
      </c>
      <c r="K121" s="4">
        <f>VLOOKUP(C121,nodes!A:D,4,0)</f>
        <v>150</v>
      </c>
      <c r="L121" s="4">
        <f t="shared" si="8"/>
        <v>30</v>
      </c>
      <c r="N121" s="12">
        <f t="shared" si="9"/>
        <v>7437500</v>
      </c>
      <c r="O121" s="12">
        <f t="shared" si="10"/>
        <v>42840000</v>
      </c>
      <c r="P121" s="12">
        <f t="shared" si="11"/>
        <v>11900</v>
      </c>
    </row>
    <row r="122" spans="1:16" x14ac:dyDescent="0.25">
      <c r="A122" s="3">
        <v>121</v>
      </c>
      <c r="B122" s="3">
        <v>127</v>
      </c>
      <c r="C122" s="3">
        <v>128</v>
      </c>
      <c r="D122" s="2">
        <v>12280</v>
      </c>
      <c r="E122" s="2">
        <f t="shared" si="6"/>
        <v>5492.5</v>
      </c>
      <c r="F122" s="2">
        <v>2380</v>
      </c>
      <c r="G122" s="2">
        <f t="shared" si="7"/>
        <v>991.66666666666674</v>
      </c>
      <c r="H122" s="4">
        <f>VLOOKUP(B122,nodes!A:D,2,0)</f>
        <v>0</v>
      </c>
      <c r="I122" s="4">
        <f>VLOOKUP(B122,nodes!A:D,4,0)</f>
        <v>120</v>
      </c>
      <c r="J122" s="4">
        <f>VLOOKUP(C122,nodes!A:D,2,0)</f>
        <v>30</v>
      </c>
      <c r="K122" s="4">
        <f>VLOOKUP(C122,nodes!A:D,4,0)</f>
        <v>120</v>
      </c>
      <c r="L122" s="4">
        <f t="shared" si="8"/>
        <v>30</v>
      </c>
      <c r="N122" s="12">
        <f t="shared" si="9"/>
        <v>7437500</v>
      </c>
      <c r="O122" s="12">
        <f t="shared" si="10"/>
        <v>42840000</v>
      </c>
      <c r="P122" s="12">
        <f t="shared" si="11"/>
        <v>11900</v>
      </c>
    </row>
    <row r="123" spans="1:16" x14ac:dyDescent="0.25">
      <c r="A123" s="3">
        <v>122</v>
      </c>
      <c r="B123" s="3">
        <v>128</v>
      </c>
      <c r="C123" s="3">
        <v>129</v>
      </c>
      <c r="D123" s="2">
        <v>12280</v>
      </c>
      <c r="E123" s="2">
        <f t="shared" si="6"/>
        <v>5492.5</v>
      </c>
      <c r="F123" s="2">
        <v>2380</v>
      </c>
      <c r="G123" s="2">
        <f t="shared" si="7"/>
        <v>991.66666666666674</v>
      </c>
      <c r="H123" s="4">
        <f>VLOOKUP(B123,nodes!A:D,2,0)</f>
        <v>30</v>
      </c>
      <c r="I123" s="4">
        <f>VLOOKUP(B123,nodes!A:D,4,0)</f>
        <v>120</v>
      </c>
      <c r="J123" s="4">
        <f>VLOOKUP(C123,nodes!A:D,2,0)</f>
        <v>60</v>
      </c>
      <c r="K123" s="4">
        <f>VLOOKUP(C123,nodes!A:D,4,0)</f>
        <v>120</v>
      </c>
      <c r="L123" s="4">
        <f t="shared" si="8"/>
        <v>30</v>
      </c>
      <c r="N123" s="12">
        <f t="shared" si="9"/>
        <v>7437500</v>
      </c>
      <c r="O123" s="12">
        <f t="shared" si="10"/>
        <v>42840000</v>
      </c>
      <c r="P123" s="12">
        <f t="shared" si="11"/>
        <v>11900</v>
      </c>
    </row>
    <row r="124" spans="1:16" x14ac:dyDescent="0.25">
      <c r="A124" s="3">
        <v>123</v>
      </c>
      <c r="B124" s="3">
        <v>129</v>
      </c>
      <c r="C124" s="3">
        <v>130</v>
      </c>
      <c r="D124" s="2">
        <v>12280</v>
      </c>
      <c r="E124" s="2">
        <f t="shared" si="6"/>
        <v>5492.5</v>
      </c>
      <c r="F124" s="2">
        <v>2380</v>
      </c>
      <c r="G124" s="2">
        <f t="shared" si="7"/>
        <v>991.66666666666674</v>
      </c>
      <c r="H124" s="4">
        <f>VLOOKUP(B124,nodes!A:D,2,0)</f>
        <v>60</v>
      </c>
      <c r="I124" s="4">
        <f>VLOOKUP(B124,nodes!A:D,4,0)</f>
        <v>120</v>
      </c>
      <c r="J124" s="4">
        <f>VLOOKUP(C124,nodes!A:D,2,0)</f>
        <v>90</v>
      </c>
      <c r="K124" s="4">
        <f>VLOOKUP(C124,nodes!A:D,4,0)</f>
        <v>120</v>
      </c>
      <c r="L124" s="4">
        <f t="shared" si="8"/>
        <v>30</v>
      </c>
      <c r="N124" s="12">
        <f t="shared" si="9"/>
        <v>7437500</v>
      </c>
      <c r="O124" s="12">
        <f t="shared" si="10"/>
        <v>42840000</v>
      </c>
      <c r="P124" s="12">
        <f t="shared" si="11"/>
        <v>11900</v>
      </c>
    </row>
    <row r="125" spans="1:16" x14ac:dyDescent="0.25">
      <c r="A125" s="3">
        <v>124</v>
      </c>
      <c r="B125" s="3">
        <v>130</v>
      </c>
      <c r="C125" s="3">
        <v>131</v>
      </c>
      <c r="D125" s="2">
        <v>12280</v>
      </c>
      <c r="E125" s="2">
        <f t="shared" si="6"/>
        <v>5492.5</v>
      </c>
      <c r="F125" s="2">
        <v>2380</v>
      </c>
      <c r="G125" s="2">
        <f t="shared" si="7"/>
        <v>991.66666666666674</v>
      </c>
      <c r="H125" s="4">
        <f>VLOOKUP(B125,nodes!A:D,2,0)</f>
        <v>90</v>
      </c>
      <c r="I125" s="4">
        <f>VLOOKUP(B125,nodes!A:D,4,0)</f>
        <v>120</v>
      </c>
      <c r="J125" s="4">
        <f>VLOOKUP(C125,nodes!A:D,2,0)</f>
        <v>120</v>
      </c>
      <c r="K125" s="4">
        <f>VLOOKUP(C125,nodes!A:D,4,0)</f>
        <v>120</v>
      </c>
      <c r="L125" s="4">
        <f t="shared" si="8"/>
        <v>30</v>
      </c>
      <c r="N125" s="12">
        <f t="shared" si="9"/>
        <v>7437500</v>
      </c>
      <c r="O125" s="12">
        <f t="shared" si="10"/>
        <v>42840000</v>
      </c>
      <c r="P125" s="12">
        <f t="shared" si="11"/>
        <v>11900</v>
      </c>
    </row>
    <row r="126" spans="1:16" x14ac:dyDescent="0.25">
      <c r="A126" s="3">
        <v>125</v>
      </c>
      <c r="B126" s="3">
        <v>131</v>
      </c>
      <c r="C126" s="3">
        <v>132</v>
      </c>
      <c r="D126" s="2">
        <v>12280</v>
      </c>
      <c r="E126" s="2">
        <f t="shared" si="6"/>
        <v>5492.5</v>
      </c>
      <c r="F126" s="2">
        <v>2380</v>
      </c>
      <c r="G126" s="2">
        <f t="shared" si="7"/>
        <v>991.66666666666674</v>
      </c>
      <c r="H126" s="4">
        <f>VLOOKUP(B126,nodes!A:D,2,0)</f>
        <v>120</v>
      </c>
      <c r="I126" s="4">
        <f>VLOOKUP(B126,nodes!A:D,4,0)</f>
        <v>120</v>
      </c>
      <c r="J126" s="4">
        <f>VLOOKUP(C126,nodes!A:D,2,0)</f>
        <v>150</v>
      </c>
      <c r="K126" s="4">
        <f>VLOOKUP(C126,nodes!A:D,4,0)</f>
        <v>120</v>
      </c>
      <c r="L126" s="4">
        <f t="shared" si="8"/>
        <v>30</v>
      </c>
      <c r="N126" s="12">
        <f t="shared" si="9"/>
        <v>7437500</v>
      </c>
      <c r="O126" s="12">
        <f t="shared" si="10"/>
        <v>42840000</v>
      </c>
      <c r="P126" s="12">
        <f t="shared" si="11"/>
        <v>11900</v>
      </c>
    </row>
    <row r="127" spans="1:16" x14ac:dyDescent="0.25">
      <c r="A127" s="3">
        <v>126</v>
      </c>
      <c r="B127" s="3">
        <v>132</v>
      </c>
      <c r="C127" s="3">
        <v>133</v>
      </c>
      <c r="D127" s="2">
        <v>12280</v>
      </c>
      <c r="E127" s="2">
        <f t="shared" si="6"/>
        <v>5492.5</v>
      </c>
      <c r="F127" s="2">
        <v>2380</v>
      </c>
      <c r="G127" s="2">
        <f t="shared" si="7"/>
        <v>991.66666666666674</v>
      </c>
      <c r="H127" s="4">
        <f>VLOOKUP(B127,nodes!A:D,2,0)</f>
        <v>150</v>
      </c>
      <c r="I127" s="4">
        <f>VLOOKUP(B127,nodes!A:D,4,0)</f>
        <v>120</v>
      </c>
      <c r="J127" s="4">
        <f>VLOOKUP(C127,nodes!A:D,2,0)</f>
        <v>180</v>
      </c>
      <c r="K127" s="4">
        <f>VLOOKUP(C127,nodes!A:D,4,0)</f>
        <v>120</v>
      </c>
      <c r="L127" s="4">
        <f t="shared" si="8"/>
        <v>30</v>
      </c>
      <c r="N127" s="12">
        <f t="shared" si="9"/>
        <v>7437500</v>
      </c>
      <c r="O127" s="12">
        <f t="shared" si="10"/>
        <v>42840000</v>
      </c>
      <c r="P127" s="12">
        <f t="shared" si="11"/>
        <v>11900</v>
      </c>
    </row>
    <row r="128" spans="1:16" x14ac:dyDescent="0.25">
      <c r="A128" s="3">
        <v>127</v>
      </c>
      <c r="B128" s="3">
        <v>133</v>
      </c>
      <c r="C128" s="3">
        <v>134</v>
      </c>
      <c r="D128" s="2">
        <v>12280</v>
      </c>
      <c r="E128" s="2">
        <f t="shared" si="6"/>
        <v>5492.5</v>
      </c>
      <c r="F128" s="2">
        <v>2380</v>
      </c>
      <c r="G128" s="2">
        <f t="shared" si="7"/>
        <v>991.66666666666674</v>
      </c>
      <c r="H128" s="4">
        <f>VLOOKUP(B128,nodes!A:D,2,0)</f>
        <v>180</v>
      </c>
      <c r="I128" s="4">
        <f>VLOOKUP(B128,nodes!A:D,4,0)</f>
        <v>120</v>
      </c>
      <c r="J128" s="4">
        <f>VLOOKUP(C128,nodes!A:D,2,0)</f>
        <v>210</v>
      </c>
      <c r="K128" s="4">
        <f>VLOOKUP(C128,nodes!A:D,4,0)</f>
        <v>120</v>
      </c>
      <c r="L128" s="4">
        <f t="shared" si="8"/>
        <v>30</v>
      </c>
      <c r="N128" s="12">
        <f t="shared" si="9"/>
        <v>7437500</v>
      </c>
      <c r="O128" s="12">
        <f t="shared" si="10"/>
        <v>42840000</v>
      </c>
      <c r="P128" s="12">
        <f t="shared" si="11"/>
        <v>11900</v>
      </c>
    </row>
    <row r="129" spans="1:16" x14ac:dyDescent="0.25">
      <c r="A129" s="3">
        <v>128</v>
      </c>
      <c r="B129" s="3">
        <v>134</v>
      </c>
      <c r="C129" s="3">
        <v>135</v>
      </c>
      <c r="D129" s="2">
        <v>12280</v>
      </c>
      <c r="E129" s="2">
        <f t="shared" si="6"/>
        <v>5492.5</v>
      </c>
      <c r="F129" s="2">
        <v>2380</v>
      </c>
      <c r="G129" s="2">
        <f t="shared" si="7"/>
        <v>991.66666666666674</v>
      </c>
      <c r="H129" s="4">
        <f>VLOOKUP(B129,nodes!A:D,2,0)</f>
        <v>210</v>
      </c>
      <c r="I129" s="4">
        <f>VLOOKUP(B129,nodes!A:D,4,0)</f>
        <v>120</v>
      </c>
      <c r="J129" s="4">
        <f>VLOOKUP(C129,nodes!A:D,2,0)</f>
        <v>240</v>
      </c>
      <c r="K129" s="4">
        <f>VLOOKUP(C129,nodes!A:D,4,0)</f>
        <v>120</v>
      </c>
      <c r="L129" s="4">
        <f t="shared" si="8"/>
        <v>30</v>
      </c>
      <c r="N129" s="12">
        <f t="shared" si="9"/>
        <v>7437500</v>
      </c>
      <c r="O129" s="12">
        <f t="shared" si="10"/>
        <v>42840000</v>
      </c>
      <c r="P129" s="12">
        <f t="shared" si="11"/>
        <v>11900</v>
      </c>
    </row>
    <row r="130" spans="1:16" x14ac:dyDescent="0.25">
      <c r="A130" s="3">
        <v>129</v>
      </c>
      <c r="B130" s="3">
        <v>135</v>
      </c>
      <c r="C130" s="3">
        <v>136</v>
      </c>
      <c r="D130" s="2">
        <v>12280</v>
      </c>
      <c r="E130" s="2">
        <f t="shared" si="6"/>
        <v>5492.5</v>
      </c>
      <c r="F130" s="2">
        <v>2380</v>
      </c>
      <c r="G130" s="2">
        <f t="shared" si="7"/>
        <v>991.66666666666674</v>
      </c>
      <c r="H130" s="4">
        <f>VLOOKUP(B130,nodes!A:D,2,0)</f>
        <v>240</v>
      </c>
      <c r="I130" s="4">
        <f>VLOOKUP(B130,nodes!A:D,4,0)</f>
        <v>120</v>
      </c>
      <c r="J130" s="4">
        <f>VLOOKUP(C130,nodes!A:D,2,0)</f>
        <v>270</v>
      </c>
      <c r="K130" s="4">
        <f>VLOOKUP(C130,nodes!A:D,4,0)</f>
        <v>120</v>
      </c>
      <c r="L130" s="4">
        <f t="shared" si="8"/>
        <v>30</v>
      </c>
      <c r="N130" s="12">
        <f t="shared" si="9"/>
        <v>7437500</v>
      </c>
      <c r="O130" s="12">
        <f t="shared" si="10"/>
        <v>42840000</v>
      </c>
      <c r="P130" s="12">
        <f t="shared" si="11"/>
        <v>11900</v>
      </c>
    </row>
    <row r="131" spans="1:16" x14ac:dyDescent="0.25">
      <c r="A131" s="3">
        <v>130</v>
      </c>
      <c r="B131" s="3">
        <v>136</v>
      </c>
      <c r="C131" s="3">
        <v>137</v>
      </c>
      <c r="D131" s="2">
        <v>12280</v>
      </c>
      <c r="E131" s="2">
        <f t="shared" ref="E131:E194" si="12">(30*13^3)/12</f>
        <v>5492.5</v>
      </c>
      <c r="F131" s="2">
        <v>2380</v>
      </c>
      <c r="G131" s="2">
        <f t="shared" ref="G131:G194" si="13">F131/(2*(1+0.2))</f>
        <v>991.66666666666674</v>
      </c>
      <c r="H131" s="4">
        <f>VLOOKUP(B131,nodes!A:D,2,0)</f>
        <v>270</v>
      </c>
      <c r="I131" s="4">
        <f>VLOOKUP(B131,nodes!A:D,4,0)</f>
        <v>120</v>
      </c>
      <c r="J131" s="4">
        <f>VLOOKUP(C131,nodes!A:D,2,0)</f>
        <v>300</v>
      </c>
      <c r="K131" s="4">
        <f>VLOOKUP(C131,nodes!A:D,4,0)</f>
        <v>120</v>
      </c>
      <c r="L131" s="4">
        <f t="shared" ref="L131:L194" si="14">((J131-H131)^2+(K131-I131)^2)^0.5</f>
        <v>30</v>
      </c>
      <c r="N131" s="12">
        <f t="shared" ref="N131:N194" si="15">12*2380*60*(25^3)/(300*12)</f>
        <v>7437500</v>
      </c>
      <c r="O131" s="12">
        <f t="shared" ref="O131:O194" si="16">12*2380*25*(60^3)/(300*12)</f>
        <v>42840000</v>
      </c>
      <c r="P131" s="12">
        <f t="shared" ref="P131:P194" si="17">2380*25*60/300</f>
        <v>11900</v>
      </c>
    </row>
    <row r="132" spans="1:16" x14ac:dyDescent="0.25">
      <c r="A132" s="3">
        <v>131</v>
      </c>
      <c r="B132" s="3">
        <v>137</v>
      </c>
      <c r="C132" s="3">
        <v>138</v>
      </c>
      <c r="D132" s="2">
        <v>12280</v>
      </c>
      <c r="E132" s="2">
        <f t="shared" si="12"/>
        <v>5492.5</v>
      </c>
      <c r="F132" s="2">
        <v>2380</v>
      </c>
      <c r="G132" s="2">
        <f t="shared" si="13"/>
        <v>991.66666666666674</v>
      </c>
      <c r="H132" s="4">
        <f>VLOOKUP(B132,nodes!A:D,2,0)</f>
        <v>300</v>
      </c>
      <c r="I132" s="4">
        <f>VLOOKUP(B132,nodes!A:D,4,0)</f>
        <v>120</v>
      </c>
      <c r="J132" s="4">
        <f>VLOOKUP(C132,nodes!A:D,2,0)</f>
        <v>330</v>
      </c>
      <c r="K132" s="4">
        <f>VLOOKUP(C132,nodes!A:D,4,0)</f>
        <v>120</v>
      </c>
      <c r="L132" s="4">
        <f t="shared" si="14"/>
        <v>30</v>
      </c>
      <c r="N132" s="12">
        <f t="shared" si="15"/>
        <v>7437500</v>
      </c>
      <c r="O132" s="12">
        <f t="shared" si="16"/>
        <v>42840000</v>
      </c>
      <c r="P132" s="12">
        <f t="shared" si="17"/>
        <v>11900</v>
      </c>
    </row>
    <row r="133" spans="1:16" x14ac:dyDescent="0.25">
      <c r="A133" s="3">
        <v>132</v>
      </c>
      <c r="B133" s="3">
        <v>138</v>
      </c>
      <c r="C133" s="3">
        <v>139</v>
      </c>
      <c r="D133" s="2">
        <v>12280</v>
      </c>
      <c r="E133" s="2">
        <f t="shared" si="12"/>
        <v>5492.5</v>
      </c>
      <c r="F133" s="2">
        <v>2380</v>
      </c>
      <c r="G133" s="2">
        <f t="shared" si="13"/>
        <v>991.66666666666674</v>
      </c>
      <c r="H133" s="4">
        <f>VLOOKUP(B133,nodes!A:D,2,0)</f>
        <v>330</v>
      </c>
      <c r="I133" s="4">
        <f>VLOOKUP(B133,nodes!A:D,4,0)</f>
        <v>120</v>
      </c>
      <c r="J133" s="4">
        <f>VLOOKUP(C133,nodes!A:D,2,0)</f>
        <v>360</v>
      </c>
      <c r="K133" s="4">
        <f>VLOOKUP(C133,nodes!A:D,4,0)</f>
        <v>120</v>
      </c>
      <c r="L133" s="4">
        <f t="shared" si="14"/>
        <v>30</v>
      </c>
      <c r="N133" s="12">
        <f t="shared" si="15"/>
        <v>7437500</v>
      </c>
      <c r="O133" s="12">
        <f t="shared" si="16"/>
        <v>42840000</v>
      </c>
      <c r="P133" s="12">
        <f t="shared" si="17"/>
        <v>11900</v>
      </c>
    </row>
    <row r="134" spans="1:16" x14ac:dyDescent="0.25">
      <c r="A134" s="3">
        <v>133</v>
      </c>
      <c r="B134" s="3">
        <v>139</v>
      </c>
      <c r="C134" s="3">
        <v>140</v>
      </c>
      <c r="D134" s="2">
        <v>12280</v>
      </c>
      <c r="E134" s="2">
        <f t="shared" si="12"/>
        <v>5492.5</v>
      </c>
      <c r="F134" s="2">
        <v>2380</v>
      </c>
      <c r="G134" s="2">
        <f t="shared" si="13"/>
        <v>991.66666666666674</v>
      </c>
      <c r="H134" s="4">
        <f>VLOOKUP(B134,nodes!A:D,2,0)</f>
        <v>360</v>
      </c>
      <c r="I134" s="4">
        <f>VLOOKUP(B134,nodes!A:D,4,0)</f>
        <v>120</v>
      </c>
      <c r="J134" s="4">
        <f>VLOOKUP(C134,nodes!A:D,2,0)</f>
        <v>390</v>
      </c>
      <c r="K134" s="4">
        <f>VLOOKUP(C134,nodes!A:D,4,0)</f>
        <v>120</v>
      </c>
      <c r="L134" s="4">
        <f t="shared" si="14"/>
        <v>30</v>
      </c>
      <c r="N134" s="12">
        <f t="shared" si="15"/>
        <v>7437500</v>
      </c>
      <c r="O134" s="12">
        <f t="shared" si="16"/>
        <v>42840000</v>
      </c>
      <c r="P134" s="12">
        <f t="shared" si="17"/>
        <v>11900</v>
      </c>
    </row>
    <row r="135" spans="1:16" x14ac:dyDescent="0.25">
      <c r="A135" s="3">
        <v>134</v>
      </c>
      <c r="B135" s="3">
        <v>140</v>
      </c>
      <c r="C135" s="3">
        <v>141</v>
      </c>
      <c r="D135" s="2">
        <v>12280</v>
      </c>
      <c r="E135" s="2">
        <f t="shared" si="12"/>
        <v>5492.5</v>
      </c>
      <c r="F135" s="2">
        <v>2380</v>
      </c>
      <c r="G135" s="2">
        <f t="shared" si="13"/>
        <v>991.66666666666674</v>
      </c>
      <c r="H135" s="4">
        <f>VLOOKUP(B135,nodes!A:D,2,0)</f>
        <v>390</v>
      </c>
      <c r="I135" s="4">
        <f>VLOOKUP(B135,nodes!A:D,4,0)</f>
        <v>120</v>
      </c>
      <c r="J135" s="4">
        <f>VLOOKUP(C135,nodes!A:D,2,0)</f>
        <v>420</v>
      </c>
      <c r="K135" s="4">
        <f>VLOOKUP(C135,nodes!A:D,4,0)</f>
        <v>120</v>
      </c>
      <c r="L135" s="4">
        <f t="shared" si="14"/>
        <v>30</v>
      </c>
      <c r="N135" s="12">
        <f t="shared" si="15"/>
        <v>7437500</v>
      </c>
      <c r="O135" s="12">
        <f t="shared" si="16"/>
        <v>42840000</v>
      </c>
      <c r="P135" s="12">
        <f t="shared" si="17"/>
        <v>11900</v>
      </c>
    </row>
    <row r="136" spans="1:16" x14ac:dyDescent="0.25">
      <c r="A136" s="3">
        <v>135</v>
      </c>
      <c r="B136" s="3">
        <v>141</v>
      </c>
      <c r="C136" s="3">
        <v>142</v>
      </c>
      <c r="D136" s="2">
        <v>12280</v>
      </c>
      <c r="E136" s="2">
        <f t="shared" si="12"/>
        <v>5492.5</v>
      </c>
      <c r="F136" s="2">
        <v>2380</v>
      </c>
      <c r="G136" s="2">
        <f t="shared" si="13"/>
        <v>991.66666666666674</v>
      </c>
      <c r="H136" s="4">
        <f>VLOOKUP(B136,nodes!A:D,2,0)</f>
        <v>420</v>
      </c>
      <c r="I136" s="4">
        <f>VLOOKUP(B136,nodes!A:D,4,0)</f>
        <v>120</v>
      </c>
      <c r="J136" s="4">
        <f>VLOOKUP(C136,nodes!A:D,2,0)</f>
        <v>450</v>
      </c>
      <c r="K136" s="4">
        <f>VLOOKUP(C136,nodes!A:D,4,0)</f>
        <v>120</v>
      </c>
      <c r="L136" s="4">
        <f t="shared" si="14"/>
        <v>30</v>
      </c>
      <c r="N136" s="12">
        <f t="shared" si="15"/>
        <v>7437500</v>
      </c>
      <c r="O136" s="12">
        <f t="shared" si="16"/>
        <v>42840000</v>
      </c>
      <c r="P136" s="12">
        <f t="shared" si="17"/>
        <v>11900</v>
      </c>
    </row>
    <row r="137" spans="1:16" x14ac:dyDescent="0.25">
      <c r="A137" s="3">
        <v>136</v>
      </c>
      <c r="B137" s="3">
        <v>142</v>
      </c>
      <c r="C137" s="3">
        <v>143</v>
      </c>
      <c r="D137" s="2">
        <v>12280</v>
      </c>
      <c r="E137" s="2">
        <f t="shared" si="12"/>
        <v>5492.5</v>
      </c>
      <c r="F137" s="2">
        <v>2380</v>
      </c>
      <c r="G137" s="2">
        <f t="shared" si="13"/>
        <v>991.66666666666674</v>
      </c>
      <c r="H137" s="4">
        <f>VLOOKUP(B137,nodes!A:D,2,0)</f>
        <v>450</v>
      </c>
      <c r="I137" s="4">
        <f>VLOOKUP(B137,nodes!A:D,4,0)</f>
        <v>120</v>
      </c>
      <c r="J137" s="4">
        <f>VLOOKUP(C137,nodes!A:D,2,0)</f>
        <v>480</v>
      </c>
      <c r="K137" s="4">
        <f>VLOOKUP(C137,nodes!A:D,4,0)</f>
        <v>120</v>
      </c>
      <c r="L137" s="4">
        <f t="shared" si="14"/>
        <v>30</v>
      </c>
      <c r="N137" s="12">
        <f t="shared" si="15"/>
        <v>7437500</v>
      </c>
      <c r="O137" s="12">
        <f t="shared" si="16"/>
        <v>42840000</v>
      </c>
      <c r="P137" s="12">
        <f t="shared" si="17"/>
        <v>11900</v>
      </c>
    </row>
    <row r="138" spans="1:16" x14ac:dyDescent="0.25">
      <c r="A138" s="3">
        <v>137</v>
      </c>
      <c r="B138" s="3">
        <v>143</v>
      </c>
      <c r="C138" s="3">
        <v>144</v>
      </c>
      <c r="D138" s="2">
        <v>12280</v>
      </c>
      <c r="E138" s="2">
        <f t="shared" si="12"/>
        <v>5492.5</v>
      </c>
      <c r="F138" s="2">
        <v>2380</v>
      </c>
      <c r="G138" s="2">
        <f t="shared" si="13"/>
        <v>991.66666666666674</v>
      </c>
      <c r="H138" s="4">
        <f>VLOOKUP(B138,nodes!A:D,2,0)</f>
        <v>480</v>
      </c>
      <c r="I138" s="4">
        <f>VLOOKUP(B138,nodes!A:D,4,0)</f>
        <v>120</v>
      </c>
      <c r="J138" s="4">
        <f>VLOOKUP(C138,nodes!A:D,2,0)</f>
        <v>509.99999999999994</v>
      </c>
      <c r="K138" s="4">
        <f>VLOOKUP(C138,nodes!A:D,4,0)</f>
        <v>120</v>
      </c>
      <c r="L138" s="4">
        <f t="shared" si="14"/>
        <v>29.999999999999943</v>
      </c>
      <c r="N138" s="12">
        <f t="shared" si="15"/>
        <v>7437500</v>
      </c>
      <c r="O138" s="12">
        <f t="shared" si="16"/>
        <v>42840000</v>
      </c>
      <c r="P138" s="12">
        <f t="shared" si="17"/>
        <v>11900</v>
      </c>
    </row>
    <row r="139" spans="1:16" x14ac:dyDescent="0.25">
      <c r="A139" s="3">
        <v>138</v>
      </c>
      <c r="B139" s="3">
        <v>144</v>
      </c>
      <c r="C139" s="3">
        <v>145</v>
      </c>
      <c r="D139" s="2">
        <v>12280</v>
      </c>
      <c r="E139" s="2">
        <f t="shared" si="12"/>
        <v>5492.5</v>
      </c>
      <c r="F139" s="2">
        <v>2380</v>
      </c>
      <c r="G139" s="2">
        <f t="shared" si="13"/>
        <v>991.66666666666674</v>
      </c>
      <c r="H139" s="4">
        <f>VLOOKUP(B139,nodes!A:D,2,0)</f>
        <v>509.99999999999994</v>
      </c>
      <c r="I139" s="4">
        <f>VLOOKUP(B139,nodes!A:D,4,0)</f>
        <v>120</v>
      </c>
      <c r="J139" s="4">
        <f>VLOOKUP(C139,nodes!A:D,2,0)</f>
        <v>540</v>
      </c>
      <c r="K139" s="4">
        <f>VLOOKUP(C139,nodes!A:D,4,0)</f>
        <v>120</v>
      </c>
      <c r="L139" s="4">
        <f t="shared" si="14"/>
        <v>30.000000000000057</v>
      </c>
      <c r="N139" s="12">
        <f t="shared" si="15"/>
        <v>7437500</v>
      </c>
      <c r="O139" s="12">
        <f t="shared" si="16"/>
        <v>42840000</v>
      </c>
      <c r="P139" s="12">
        <f t="shared" si="17"/>
        <v>11900</v>
      </c>
    </row>
    <row r="140" spans="1:16" x14ac:dyDescent="0.25">
      <c r="A140" s="3">
        <v>139</v>
      </c>
      <c r="B140" s="3">
        <v>145</v>
      </c>
      <c r="C140" s="3">
        <v>146</v>
      </c>
      <c r="D140" s="2">
        <v>12280</v>
      </c>
      <c r="E140" s="2">
        <f t="shared" si="12"/>
        <v>5492.5</v>
      </c>
      <c r="F140" s="2">
        <v>2380</v>
      </c>
      <c r="G140" s="2">
        <f t="shared" si="13"/>
        <v>991.66666666666674</v>
      </c>
      <c r="H140" s="4">
        <f>VLOOKUP(B140,nodes!A:D,2,0)</f>
        <v>540</v>
      </c>
      <c r="I140" s="4">
        <f>VLOOKUP(B140,nodes!A:D,4,0)</f>
        <v>120</v>
      </c>
      <c r="J140" s="4">
        <f>VLOOKUP(C140,nodes!A:D,2,0)</f>
        <v>570</v>
      </c>
      <c r="K140" s="4">
        <f>VLOOKUP(C140,nodes!A:D,4,0)</f>
        <v>120</v>
      </c>
      <c r="L140" s="4">
        <f t="shared" si="14"/>
        <v>30</v>
      </c>
      <c r="N140" s="12">
        <f t="shared" si="15"/>
        <v>7437500</v>
      </c>
      <c r="O140" s="12">
        <f t="shared" si="16"/>
        <v>42840000</v>
      </c>
      <c r="P140" s="12">
        <f t="shared" si="17"/>
        <v>11900</v>
      </c>
    </row>
    <row r="141" spans="1:16" x14ac:dyDescent="0.25">
      <c r="A141" s="3">
        <v>140</v>
      </c>
      <c r="B141" s="3">
        <v>146</v>
      </c>
      <c r="C141" s="3">
        <v>147</v>
      </c>
      <c r="D141" s="2">
        <v>12280</v>
      </c>
      <c r="E141" s="2">
        <f t="shared" si="12"/>
        <v>5492.5</v>
      </c>
      <c r="F141" s="2">
        <v>2380</v>
      </c>
      <c r="G141" s="2">
        <f t="shared" si="13"/>
        <v>991.66666666666674</v>
      </c>
      <c r="H141" s="4">
        <f>VLOOKUP(B141,nodes!A:D,2,0)</f>
        <v>570</v>
      </c>
      <c r="I141" s="4">
        <f>VLOOKUP(B141,nodes!A:D,4,0)</f>
        <v>120</v>
      </c>
      <c r="J141" s="4">
        <f>VLOOKUP(C141,nodes!A:D,2,0)</f>
        <v>600</v>
      </c>
      <c r="K141" s="4">
        <f>VLOOKUP(C141,nodes!A:D,4,0)</f>
        <v>120</v>
      </c>
      <c r="L141" s="4">
        <f t="shared" si="14"/>
        <v>30</v>
      </c>
      <c r="N141" s="12">
        <f t="shared" si="15"/>
        <v>7437500</v>
      </c>
      <c r="O141" s="12">
        <f t="shared" si="16"/>
        <v>42840000</v>
      </c>
      <c r="P141" s="12">
        <f t="shared" si="17"/>
        <v>11900</v>
      </c>
    </row>
    <row r="142" spans="1:16" x14ac:dyDescent="0.25">
      <c r="A142" s="3">
        <v>141</v>
      </c>
      <c r="B142" s="3">
        <v>148</v>
      </c>
      <c r="C142" s="3">
        <v>149</v>
      </c>
      <c r="D142" s="2">
        <v>12280</v>
      </c>
      <c r="E142" s="2">
        <f t="shared" si="12"/>
        <v>5492.5</v>
      </c>
      <c r="F142" s="2">
        <v>2380</v>
      </c>
      <c r="G142" s="2">
        <f t="shared" si="13"/>
        <v>991.66666666666674</v>
      </c>
      <c r="H142" s="4">
        <f>VLOOKUP(B142,nodes!A:D,2,0)</f>
        <v>0</v>
      </c>
      <c r="I142" s="4">
        <f>VLOOKUP(B142,nodes!A:D,4,0)</f>
        <v>90</v>
      </c>
      <c r="J142" s="4">
        <f>VLOOKUP(C142,nodes!A:D,2,0)</f>
        <v>30</v>
      </c>
      <c r="K142" s="4">
        <f>VLOOKUP(C142,nodes!A:D,4,0)</f>
        <v>90</v>
      </c>
      <c r="L142" s="4">
        <f t="shared" si="14"/>
        <v>30</v>
      </c>
      <c r="N142" s="12">
        <f t="shared" si="15"/>
        <v>7437500</v>
      </c>
      <c r="O142" s="12">
        <f t="shared" si="16"/>
        <v>42840000</v>
      </c>
      <c r="P142" s="12">
        <f t="shared" si="17"/>
        <v>11900</v>
      </c>
    </row>
    <row r="143" spans="1:16" x14ac:dyDescent="0.25">
      <c r="A143" s="3">
        <v>142</v>
      </c>
      <c r="B143" s="3">
        <v>149</v>
      </c>
      <c r="C143" s="3">
        <v>150</v>
      </c>
      <c r="D143" s="2">
        <v>12280</v>
      </c>
      <c r="E143" s="2">
        <f t="shared" si="12"/>
        <v>5492.5</v>
      </c>
      <c r="F143" s="2">
        <v>2380</v>
      </c>
      <c r="G143" s="2">
        <f t="shared" si="13"/>
        <v>991.66666666666674</v>
      </c>
      <c r="H143" s="4">
        <f>VLOOKUP(B143,nodes!A:D,2,0)</f>
        <v>30</v>
      </c>
      <c r="I143" s="4">
        <f>VLOOKUP(B143,nodes!A:D,4,0)</f>
        <v>90</v>
      </c>
      <c r="J143" s="4">
        <f>VLOOKUP(C143,nodes!A:D,2,0)</f>
        <v>60</v>
      </c>
      <c r="K143" s="4">
        <f>VLOOKUP(C143,nodes!A:D,4,0)</f>
        <v>90</v>
      </c>
      <c r="L143" s="4">
        <f t="shared" si="14"/>
        <v>30</v>
      </c>
      <c r="N143" s="12">
        <f t="shared" si="15"/>
        <v>7437500</v>
      </c>
      <c r="O143" s="12">
        <f t="shared" si="16"/>
        <v>42840000</v>
      </c>
      <c r="P143" s="12">
        <f t="shared" si="17"/>
        <v>11900</v>
      </c>
    </row>
    <row r="144" spans="1:16" x14ac:dyDescent="0.25">
      <c r="A144" s="3">
        <v>143</v>
      </c>
      <c r="B144" s="3">
        <v>150</v>
      </c>
      <c r="C144" s="3">
        <v>151</v>
      </c>
      <c r="D144" s="2">
        <v>12280</v>
      </c>
      <c r="E144" s="2">
        <f t="shared" si="12"/>
        <v>5492.5</v>
      </c>
      <c r="F144" s="2">
        <v>2380</v>
      </c>
      <c r="G144" s="2">
        <f t="shared" si="13"/>
        <v>991.66666666666674</v>
      </c>
      <c r="H144" s="4">
        <f>VLOOKUP(B144,nodes!A:D,2,0)</f>
        <v>60</v>
      </c>
      <c r="I144" s="4">
        <f>VLOOKUP(B144,nodes!A:D,4,0)</f>
        <v>90</v>
      </c>
      <c r="J144" s="4">
        <f>VLOOKUP(C144,nodes!A:D,2,0)</f>
        <v>90</v>
      </c>
      <c r="K144" s="4">
        <f>VLOOKUP(C144,nodes!A:D,4,0)</f>
        <v>90</v>
      </c>
      <c r="L144" s="4">
        <f t="shared" si="14"/>
        <v>30</v>
      </c>
      <c r="N144" s="12">
        <f t="shared" si="15"/>
        <v>7437500</v>
      </c>
      <c r="O144" s="12">
        <f t="shared" si="16"/>
        <v>42840000</v>
      </c>
      <c r="P144" s="12">
        <f t="shared" si="17"/>
        <v>11900</v>
      </c>
    </row>
    <row r="145" spans="1:16" x14ac:dyDescent="0.25">
      <c r="A145" s="3">
        <v>144</v>
      </c>
      <c r="B145" s="3">
        <v>151</v>
      </c>
      <c r="C145" s="3">
        <v>152</v>
      </c>
      <c r="D145" s="2">
        <v>12280</v>
      </c>
      <c r="E145" s="2">
        <f t="shared" si="12"/>
        <v>5492.5</v>
      </c>
      <c r="F145" s="2">
        <v>2380</v>
      </c>
      <c r="G145" s="2">
        <f t="shared" si="13"/>
        <v>991.66666666666674</v>
      </c>
      <c r="H145" s="4">
        <f>VLOOKUP(B145,nodes!A:D,2,0)</f>
        <v>90</v>
      </c>
      <c r="I145" s="4">
        <f>VLOOKUP(B145,nodes!A:D,4,0)</f>
        <v>90</v>
      </c>
      <c r="J145" s="4">
        <f>VLOOKUP(C145,nodes!A:D,2,0)</f>
        <v>120</v>
      </c>
      <c r="K145" s="4">
        <f>VLOOKUP(C145,nodes!A:D,4,0)</f>
        <v>90</v>
      </c>
      <c r="L145" s="4">
        <f t="shared" si="14"/>
        <v>30</v>
      </c>
      <c r="N145" s="12">
        <f t="shared" si="15"/>
        <v>7437500</v>
      </c>
      <c r="O145" s="12">
        <f t="shared" si="16"/>
        <v>42840000</v>
      </c>
      <c r="P145" s="12">
        <f t="shared" si="17"/>
        <v>11900</v>
      </c>
    </row>
    <row r="146" spans="1:16" x14ac:dyDescent="0.25">
      <c r="A146" s="3">
        <v>145</v>
      </c>
      <c r="B146" s="3">
        <v>152</v>
      </c>
      <c r="C146" s="3">
        <v>153</v>
      </c>
      <c r="D146" s="2">
        <v>12280</v>
      </c>
      <c r="E146" s="2">
        <f t="shared" si="12"/>
        <v>5492.5</v>
      </c>
      <c r="F146" s="2">
        <v>2380</v>
      </c>
      <c r="G146" s="2">
        <f t="shared" si="13"/>
        <v>991.66666666666674</v>
      </c>
      <c r="H146" s="4">
        <f>VLOOKUP(B146,nodes!A:D,2,0)</f>
        <v>120</v>
      </c>
      <c r="I146" s="4">
        <f>VLOOKUP(B146,nodes!A:D,4,0)</f>
        <v>90</v>
      </c>
      <c r="J146" s="4">
        <f>VLOOKUP(C146,nodes!A:D,2,0)</f>
        <v>150</v>
      </c>
      <c r="K146" s="4">
        <f>VLOOKUP(C146,nodes!A:D,4,0)</f>
        <v>90</v>
      </c>
      <c r="L146" s="4">
        <f t="shared" si="14"/>
        <v>30</v>
      </c>
      <c r="N146" s="12">
        <f t="shared" si="15"/>
        <v>7437500</v>
      </c>
      <c r="O146" s="12">
        <f t="shared" si="16"/>
        <v>42840000</v>
      </c>
      <c r="P146" s="12">
        <f t="shared" si="17"/>
        <v>11900</v>
      </c>
    </row>
    <row r="147" spans="1:16" x14ac:dyDescent="0.25">
      <c r="A147" s="3">
        <v>146</v>
      </c>
      <c r="B147" s="3">
        <v>153</v>
      </c>
      <c r="C147" s="3">
        <v>154</v>
      </c>
      <c r="D147" s="2">
        <v>12280</v>
      </c>
      <c r="E147" s="2">
        <f t="shared" si="12"/>
        <v>5492.5</v>
      </c>
      <c r="F147" s="2">
        <v>2380</v>
      </c>
      <c r="G147" s="2">
        <f t="shared" si="13"/>
        <v>991.66666666666674</v>
      </c>
      <c r="H147" s="4">
        <f>VLOOKUP(B147,nodes!A:D,2,0)</f>
        <v>150</v>
      </c>
      <c r="I147" s="4">
        <f>VLOOKUP(B147,nodes!A:D,4,0)</f>
        <v>90</v>
      </c>
      <c r="J147" s="4">
        <f>VLOOKUP(C147,nodes!A:D,2,0)</f>
        <v>180</v>
      </c>
      <c r="K147" s="4">
        <f>VLOOKUP(C147,nodes!A:D,4,0)</f>
        <v>90</v>
      </c>
      <c r="L147" s="4">
        <f t="shared" si="14"/>
        <v>30</v>
      </c>
      <c r="N147" s="12">
        <f t="shared" si="15"/>
        <v>7437500</v>
      </c>
      <c r="O147" s="12">
        <f t="shared" si="16"/>
        <v>42840000</v>
      </c>
      <c r="P147" s="12">
        <f t="shared" si="17"/>
        <v>11900</v>
      </c>
    </row>
    <row r="148" spans="1:16" x14ac:dyDescent="0.25">
      <c r="A148" s="3">
        <v>147</v>
      </c>
      <c r="B148" s="3">
        <v>154</v>
      </c>
      <c r="C148" s="3">
        <v>155</v>
      </c>
      <c r="D148" s="2">
        <v>12280</v>
      </c>
      <c r="E148" s="2">
        <f t="shared" si="12"/>
        <v>5492.5</v>
      </c>
      <c r="F148" s="2">
        <v>2380</v>
      </c>
      <c r="G148" s="2">
        <f t="shared" si="13"/>
        <v>991.66666666666674</v>
      </c>
      <c r="H148" s="4">
        <f>VLOOKUP(B148,nodes!A:D,2,0)</f>
        <v>180</v>
      </c>
      <c r="I148" s="4">
        <f>VLOOKUP(B148,nodes!A:D,4,0)</f>
        <v>90</v>
      </c>
      <c r="J148" s="4">
        <f>VLOOKUP(C148,nodes!A:D,2,0)</f>
        <v>210</v>
      </c>
      <c r="K148" s="4">
        <f>VLOOKUP(C148,nodes!A:D,4,0)</f>
        <v>90</v>
      </c>
      <c r="L148" s="4">
        <f t="shared" si="14"/>
        <v>30</v>
      </c>
      <c r="N148" s="12">
        <f t="shared" si="15"/>
        <v>7437500</v>
      </c>
      <c r="O148" s="12">
        <f t="shared" si="16"/>
        <v>42840000</v>
      </c>
      <c r="P148" s="12">
        <f t="shared" si="17"/>
        <v>11900</v>
      </c>
    </row>
    <row r="149" spans="1:16" x14ac:dyDescent="0.25">
      <c r="A149" s="3">
        <v>148</v>
      </c>
      <c r="B149" s="3">
        <v>155</v>
      </c>
      <c r="C149" s="3">
        <v>156</v>
      </c>
      <c r="D149" s="2">
        <v>12280</v>
      </c>
      <c r="E149" s="2">
        <f t="shared" si="12"/>
        <v>5492.5</v>
      </c>
      <c r="F149" s="2">
        <v>2380</v>
      </c>
      <c r="G149" s="2">
        <f t="shared" si="13"/>
        <v>991.66666666666674</v>
      </c>
      <c r="H149" s="4">
        <f>VLOOKUP(B149,nodes!A:D,2,0)</f>
        <v>210</v>
      </c>
      <c r="I149" s="4">
        <f>VLOOKUP(B149,nodes!A:D,4,0)</f>
        <v>90</v>
      </c>
      <c r="J149" s="4">
        <f>VLOOKUP(C149,nodes!A:D,2,0)</f>
        <v>240</v>
      </c>
      <c r="K149" s="4">
        <f>VLOOKUP(C149,nodes!A:D,4,0)</f>
        <v>90</v>
      </c>
      <c r="L149" s="4">
        <f t="shared" si="14"/>
        <v>30</v>
      </c>
      <c r="N149" s="12">
        <f t="shared" si="15"/>
        <v>7437500</v>
      </c>
      <c r="O149" s="12">
        <f t="shared" si="16"/>
        <v>42840000</v>
      </c>
      <c r="P149" s="12">
        <f t="shared" si="17"/>
        <v>11900</v>
      </c>
    </row>
    <row r="150" spans="1:16" x14ac:dyDescent="0.25">
      <c r="A150" s="3">
        <v>149</v>
      </c>
      <c r="B150" s="3">
        <v>156</v>
      </c>
      <c r="C150" s="3">
        <v>157</v>
      </c>
      <c r="D150" s="2">
        <v>12280</v>
      </c>
      <c r="E150" s="2">
        <f t="shared" si="12"/>
        <v>5492.5</v>
      </c>
      <c r="F150" s="2">
        <v>2380</v>
      </c>
      <c r="G150" s="2">
        <f t="shared" si="13"/>
        <v>991.66666666666674</v>
      </c>
      <c r="H150" s="4">
        <f>VLOOKUP(B150,nodes!A:D,2,0)</f>
        <v>240</v>
      </c>
      <c r="I150" s="4">
        <f>VLOOKUP(B150,nodes!A:D,4,0)</f>
        <v>90</v>
      </c>
      <c r="J150" s="4">
        <f>VLOOKUP(C150,nodes!A:D,2,0)</f>
        <v>270</v>
      </c>
      <c r="K150" s="4">
        <f>VLOOKUP(C150,nodes!A:D,4,0)</f>
        <v>90</v>
      </c>
      <c r="L150" s="4">
        <f t="shared" si="14"/>
        <v>30</v>
      </c>
      <c r="N150" s="12">
        <f t="shared" si="15"/>
        <v>7437500</v>
      </c>
      <c r="O150" s="12">
        <f t="shared" si="16"/>
        <v>42840000</v>
      </c>
      <c r="P150" s="12">
        <f t="shared" si="17"/>
        <v>11900</v>
      </c>
    </row>
    <row r="151" spans="1:16" x14ac:dyDescent="0.25">
      <c r="A151" s="3">
        <v>150</v>
      </c>
      <c r="B151" s="3">
        <v>157</v>
      </c>
      <c r="C151" s="3">
        <v>158</v>
      </c>
      <c r="D151" s="2">
        <v>12280</v>
      </c>
      <c r="E151" s="2">
        <f t="shared" si="12"/>
        <v>5492.5</v>
      </c>
      <c r="F151" s="2">
        <v>2380</v>
      </c>
      <c r="G151" s="2">
        <f t="shared" si="13"/>
        <v>991.66666666666674</v>
      </c>
      <c r="H151" s="4">
        <f>VLOOKUP(B151,nodes!A:D,2,0)</f>
        <v>270</v>
      </c>
      <c r="I151" s="4">
        <f>VLOOKUP(B151,nodes!A:D,4,0)</f>
        <v>90</v>
      </c>
      <c r="J151" s="4">
        <f>VLOOKUP(C151,nodes!A:D,2,0)</f>
        <v>300</v>
      </c>
      <c r="K151" s="4">
        <f>VLOOKUP(C151,nodes!A:D,4,0)</f>
        <v>90</v>
      </c>
      <c r="L151" s="4">
        <f t="shared" si="14"/>
        <v>30</v>
      </c>
      <c r="N151" s="12">
        <f t="shared" si="15"/>
        <v>7437500</v>
      </c>
      <c r="O151" s="12">
        <f t="shared" si="16"/>
        <v>42840000</v>
      </c>
      <c r="P151" s="12">
        <f t="shared" si="17"/>
        <v>11900</v>
      </c>
    </row>
    <row r="152" spans="1:16" x14ac:dyDescent="0.25">
      <c r="A152" s="3">
        <v>151</v>
      </c>
      <c r="B152" s="3">
        <v>158</v>
      </c>
      <c r="C152" s="3">
        <v>159</v>
      </c>
      <c r="D152" s="2">
        <v>12280</v>
      </c>
      <c r="E152" s="2">
        <f t="shared" si="12"/>
        <v>5492.5</v>
      </c>
      <c r="F152" s="2">
        <v>2380</v>
      </c>
      <c r="G152" s="2">
        <f t="shared" si="13"/>
        <v>991.66666666666674</v>
      </c>
      <c r="H152" s="4">
        <f>VLOOKUP(B152,nodes!A:D,2,0)</f>
        <v>300</v>
      </c>
      <c r="I152" s="4">
        <f>VLOOKUP(B152,nodes!A:D,4,0)</f>
        <v>90</v>
      </c>
      <c r="J152" s="4">
        <f>VLOOKUP(C152,nodes!A:D,2,0)</f>
        <v>330</v>
      </c>
      <c r="K152" s="4">
        <f>VLOOKUP(C152,nodes!A:D,4,0)</f>
        <v>90</v>
      </c>
      <c r="L152" s="4">
        <f t="shared" si="14"/>
        <v>30</v>
      </c>
      <c r="N152" s="12">
        <f t="shared" si="15"/>
        <v>7437500</v>
      </c>
      <c r="O152" s="12">
        <f t="shared" si="16"/>
        <v>42840000</v>
      </c>
      <c r="P152" s="12">
        <f t="shared" si="17"/>
        <v>11900</v>
      </c>
    </row>
    <row r="153" spans="1:16" x14ac:dyDescent="0.25">
      <c r="A153" s="3">
        <v>152</v>
      </c>
      <c r="B153" s="3">
        <v>159</v>
      </c>
      <c r="C153" s="3">
        <v>160</v>
      </c>
      <c r="D153" s="2">
        <v>12280</v>
      </c>
      <c r="E153" s="2">
        <f t="shared" si="12"/>
        <v>5492.5</v>
      </c>
      <c r="F153" s="2">
        <v>2380</v>
      </c>
      <c r="G153" s="2">
        <f t="shared" si="13"/>
        <v>991.66666666666674</v>
      </c>
      <c r="H153" s="4">
        <f>VLOOKUP(B153,nodes!A:D,2,0)</f>
        <v>330</v>
      </c>
      <c r="I153" s="4">
        <f>VLOOKUP(B153,nodes!A:D,4,0)</f>
        <v>90</v>
      </c>
      <c r="J153" s="4">
        <f>VLOOKUP(C153,nodes!A:D,2,0)</f>
        <v>360</v>
      </c>
      <c r="K153" s="4">
        <f>VLOOKUP(C153,nodes!A:D,4,0)</f>
        <v>90</v>
      </c>
      <c r="L153" s="4">
        <f t="shared" si="14"/>
        <v>30</v>
      </c>
      <c r="N153" s="12">
        <f t="shared" si="15"/>
        <v>7437500</v>
      </c>
      <c r="O153" s="12">
        <f t="shared" si="16"/>
        <v>42840000</v>
      </c>
      <c r="P153" s="12">
        <f t="shared" si="17"/>
        <v>11900</v>
      </c>
    </row>
    <row r="154" spans="1:16" x14ac:dyDescent="0.25">
      <c r="A154" s="3">
        <v>153</v>
      </c>
      <c r="B154" s="3">
        <v>160</v>
      </c>
      <c r="C154" s="3">
        <v>161</v>
      </c>
      <c r="D154" s="2">
        <v>12280</v>
      </c>
      <c r="E154" s="2">
        <f t="shared" si="12"/>
        <v>5492.5</v>
      </c>
      <c r="F154" s="2">
        <v>2380</v>
      </c>
      <c r="G154" s="2">
        <f t="shared" si="13"/>
        <v>991.66666666666674</v>
      </c>
      <c r="H154" s="4">
        <f>VLOOKUP(B154,nodes!A:D,2,0)</f>
        <v>360</v>
      </c>
      <c r="I154" s="4">
        <f>VLOOKUP(B154,nodes!A:D,4,0)</f>
        <v>90</v>
      </c>
      <c r="J154" s="4">
        <f>VLOOKUP(C154,nodes!A:D,2,0)</f>
        <v>390</v>
      </c>
      <c r="K154" s="4">
        <f>VLOOKUP(C154,nodes!A:D,4,0)</f>
        <v>90</v>
      </c>
      <c r="L154" s="4">
        <f t="shared" si="14"/>
        <v>30</v>
      </c>
      <c r="N154" s="12">
        <f t="shared" si="15"/>
        <v>7437500</v>
      </c>
      <c r="O154" s="12">
        <f t="shared" si="16"/>
        <v>42840000</v>
      </c>
      <c r="P154" s="12">
        <f t="shared" si="17"/>
        <v>11900</v>
      </c>
    </row>
    <row r="155" spans="1:16" x14ac:dyDescent="0.25">
      <c r="A155" s="3">
        <v>154</v>
      </c>
      <c r="B155" s="3">
        <v>161</v>
      </c>
      <c r="C155" s="3">
        <v>162</v>
      </c>
      <c r="D155" s="2">
        <v>12280</v>
      </c>
      <c r="E155" s="2">
        <f t="shared" si="12"/>
        <v>5492.5</v>
      </c>
      <c r="F155" s="2">
        <v>2380</v>
      </c>
      <c r="G155" s="2">
        <f t="shared" si="13"/>
        <v>991.66666666666674</v>
      </c>
      <c r="H155" s="4">
        <f>VLOOKUP(B155,nodes!A:D,2,0)</f>
        <v>390</v>
      </c>
      <c r="I155" s="4">
        <f>VLOOKUP(B155,nodes!A:D,4,0)</f>
        <v>90</v>
      </c>
      <c r="J155" s="4">
        <f>VLOOKUP(C155,nodes!A:D,2,0)</f>
        <v>420</v>
      </c>
      <c r="K155" s="4">
        <f>VLOOKUP(C155,nodes!A:D,4,0)</f>
        <v>90</v>
      </c>
      <c r="L155" s="4">
        <f t="shared" si="14"/>
        <v>30</v>
      </c>
      <c r="N155" s="12">
        <f t="shared" si="15"/>
        <v>7437500</v>
      </c>
      <c r="O155" s="12">
        <f t="shared" si="16"/>
        <v>42840000</v>
      </c>
      <c r="P155" s="12">
        <f t="shared" si="17"/>
        <v>11900</v>
      </c>
    </row>
    <row r="156" spans="1:16" x14ac:dyDescent="0.25">
      <c r="A156" s="3">
        <v>155</v>
      </c>
      <c r="B156" s="3">
        <v>162</v>
      </c>
      <c r="C156" s="3">
        <v>163</v>
      </c>
      <c r="D156" s="2">
        <v>12280</v>
      </c>
      <c r="E156" s="2">
        <f t="shared" si="12"/>
        <v>5492.5</v>
      </c>
      <c r="F156" s="2">
        <v>2380</v>
      </c>
      <c r="G156" s="2">
        <f t="shared" si="13"/>
        <v>991.66666666666674</v>
      </c>
      <c r="H156" s="4">
        <f>VLOOKUP(B156,nodes!A:D,2,0)</f>
        <v>420</v>
      </c>
      <c r="I156" s="4">
        <f>VLOOKUP(B156,nodes!A:D,4,0)</f>
        <v>90</v>
      </c>
      <c r="J156" s="4">
        <f>VLOOKUP(C156,nodes!A:D,2,0)</f>
        <v>450</v>
      </c>
      <c r="K156" s="4">
        <f>VLOOKUP(C156,nodes!A:D,4,0)</f>
        <v>90</v>
      </c>
      <c r="L156" s="4">
        <f t="shared" si="14"/>
        <v>30</v>
      </c>
      <c r="N156" s="12">
        <f t="shared" si="15"/>
        <v>7437500</v>
      </c>
      <c r="O156" s="12">
        <f t="shared" si="16"/>
        <v>42840000</v>
      </c>
      <c r="P156" s="12">
        <f t="shared" si="17"/>
        <v>11900</v>
      </c>
    </row>
    <row r="157" spans="1:16" x14ac:dyDescent="0.25">
      <c r="A157" s="3">
        <v>156</v>
      </c>
      <c r="B157" s="3">
        <v>163</v>
      </c>
      <c r="C157" s="3">
        <v>164</v>
      </c>
      <c r="D157" s="2">
        <v>12280</v>
      </c>
      <c r="E157" s="2">
        <f t="shared" si="12"/>
        <v>5492.5</v>
      </c>
      <c r="F157" s="2">
        <v>2380</v>
      </c>
      <c r="G157" s="2">
        <f t="shared" si="13"/>
        <v>991.66666666666674</v>
      </c>
      <c r="H157" s="4">
        <f>VLOOKUP(B157,nodes!A:D,2,0)</f>
        <v>450</v>
      </c>
      <c r="I157" s="4">
        <f>VLOOKUP(B157,nodes!A:D,4,0)</f>
        <v>90</v>
      </c>
      <c r="J157" s="4">
        <f>VLOOKUP(C157,nodes!A:D,2,0)</f>
        <v>480</v>
      </c>
      <c r="K157" s="4">
        <f>VLOOKUP(C157,nodes!A:D,4,0)</f>
        <v>90</v>
      </c>
      <c r="L157" s="4">
        <f t="shared" si="14"/>
        <v>30</v>
      </c>
      <c r="N157" s="12">
        <f t="shared" si="15"/>
        <v>7437500</v>
      </c>
      <c r="O157" s="12">
        <f t="shared" si="16"/>
        <v>42840000</v>
      </c>
      <c r="P157" s="12">
        <f t="shared" si="17"/>
        <v>11900</v>
      </c>
    </row>
    <row r="158" spans="1:16" x14ac:dyDescent="0.25">
      <c r="A158" s="3">
        <v>157</v>
      </c>
      <c r="B158" s="3">
        <v>164</v>
      </c>
      <c r="C158" s="3">
        <v>165</v>
      </c>
      <c r="D158" s="2">
        <v>12280</v>
      </c>
      <c r="E158" s="2">
        <f t="shared" si="12"/>
        <v>5492.5</v>
      </c>
      <c r="F158" s="2">
        <v>2380</v>
      </c>
      <c r="G158" s="2">
        <f t="shared" si="13"/>
        <v>991.66666666666674</v>
      </c>
      <c r="H158" s="4">
        <f>VLOOKUP(B158,nodes!A:D,2,0)</f>
        <v>480</v>
      </c>
      <c r="I158" s="4">
        <f>VLOOKUP(B158,nodes!A:D,4,0)</f>
        <v>90</v>
      </c>
      <c r="J158" s="4">
        <f>VLOOKUP(C158,nodes!A:D,2,0)</f>
        <v>509.99999999999994</v>
      </c>
      <c r="K158" s="4">
        <f>VLOOKUP(C158,nodes!A:D,4,0)</f>
        <v>90</v>
      </c>
      <c r="L158" s="4">
        <f t="shared" si="14"/>
        <v>29.999999999999943</v>
      </c>
      <c r="N158" s="12">
        <f t="shared" si="15"/>
        <v>7437500</v>
      </c>
      <c r="O158" s="12">
        <f t="shared" si="16"/>
        <v>42840000</v>
      </c>
      <c r="P158" s="12">
        <f t="shared" si="17"/>
        <v>11900</v>
      </c>
    </row>
    <row r="159" spans="1:16" x14ac:dyDescent="0.25">
      <c r="A159" s="3">
        <v>158</v>
      </c>
      <c r="B159" s="3">
        <v>165</v>
      </c>
      <c r="C159" s="3">
        <v>166</v>
      </c>
      <c r="D159" s="2">
        <v>12280</v>
      </c>
      <c r="E159" s="2">
        <f t="shared" si="12"/>
        <v>5492.5</v>
      </c>
      <c r="F159" s="2">
        <v>2380</v>
      </c>
      <c r="G159" s="2">
        <f t="shared" si="13"/>
        <v>991.66666666666674</v>
      </c>
      <c r="H159" s="4">
        <f>VLOOKUP(B159,nodes!A:D,2,0)</f>
        <v>509.99999999999994</v>
      </c>
      <c r="I159" s="4">
        <f>VLOOKUP(B159,nodes!A:D,4,0)</f>
        <v>90</v>
      </c>
      <c r="J159" s="4">
        <f>VLOOKUP(C159,nodes!A:D,2,0)</f>
        <v>540</v>
      </c>
      <c r="K159" s="4">
        <f>VLOOKUP(C159,nodes!A:D,4,0)</f>
        <v>90</v>
      </c>
      <c r="L159" s="4">
        <f t="shared" si="14"/>
        <v>30.000000000000057</v>
      </c>
      <c r="N159" s="12">
        <f t="shared" si="15"/>
        <v>7437500</v>
      </c>
      <c r="O159" s="12">
        <f t="shared" si="16"/>
        <v>42840000</v>
      </c>
      <c r="P159" s="12">
        <f t="shared" si="17"/>
        <v>11900</v>
      </c>
    </row>
    <row r="160" spans="1:16" x14ac:dyDescent="0.25">
      <c r="A160" s="3">
        <v>159</v>
      </c>
      <c r="B160" s="3">
        <v>166</v>
      </c>
      <c r="C160" s="3">
        <v>167</v>
      </c>
      <c r="D160" s="2">
        <v>12280</v>
      </c>
      <c r="E160" s="2">
        <f t="shared" si="12"/>
        <v>5492.5</v>
      </c>
      <c r="F160" s="2">
        <v>2380</v>
      </c>
      <c r="G160" s="2">
        <f t="shared" si="13"/>
        <v>991.66666666666674</v>
      </c>
      <c r="H160" s="4">
        <f>VLOOKUP(B160,nodes!A:D,2,0)</f>
        <v>540</v>
      </c>
      <c r="I160" s="4">
        <f>VLOOKUP(B160,nodes!A:D,4,0)</f>
        <v>90</v>
      </c>
      <c r="J160" s="4">
        <f>VLOOKUP(C160,nodes!A:D,2,0)</f>
        <v>570</v>
      </c>
      <c r="K160" s="4">
        <f>VLOOKUP(C160,nodes!A:D,4,0)</f>
        <v>90</v>
      </c>
      <c r="L160" s="4">
        <f t="shared" si="14"/>
        <v>30</v>
      </c>
      <c r="N160" s="12">
        <f t="shared" si="15"/>
        <v>7437500</v>
      </c>
      <c r="O160" s="12">
        <f t="shared" si="16"/>
        <v>42840000</v>
      </c>
      <c r="P160" s="12">
        <f t="shared" si="17"/>
        <v>11900</v>
      </c>
    </row>
    <row r="161" spans="1:16" x14ac:dyDescent="0.25">
      <c r="A161" s="3">
        <v>160</v>
      </c>
      <c r="B161" s="3">
        <v>167</v>
      </c>
      <c r="C161" s="3">
        <v>168</v>
      </c>
      <c r="D161" s="2">
        <v>12280</v>
      </c>
      <c r="E161" s="2">
        <f t="shared" si="12"/>
        <v>5492.5</v>
      </c>
      <c r="F161" s="2">
        <v>2380</v>
      </c>
      <c r="G161" s="2">
        <f t="shared" si="13"/>
        <v>991.66666666666674</v>
      </c>
      <c r="H161" s="4">
        <f>VLOOKUP(B161,nodes!A:D,2,0)</f>
        <v>570</v>
      </c>
      <c r="I161" s="4">
        <f>VLOOKUP(B161,nodes!A:D,4,0)</f>
        <v>90</v>
      </c>
      <c r="J161" s="4">
        <f>VLOOKUP(C161,nodes!A:D,2,0)</f>
        <v>600</v>
      </c>
      <c r="K161" s="4">
        <f>VLOOKUP(C161,nodes!A:D,4,0)</f>
        <v>90</v>
      </c>
      <c r="L161" s="4">
        <f t="shared" si="14"/>
        <v>30</v>
      </c>
      <c r="N161" s="12">
        <f t="shared" si="15"/>
        <v>7437500</v>
      </c>
      <c r="O161" s="12">
        <f t="shared" si="16"/>
        <v>42840000</v>
      </c>
      <c r="P161" s="12">
        <f t="shared" si="17"/>
        <v>11900</v>
      </c>
    </row>
    <row r="162" spans="1:16" x14ac:dyDescent="0.25">
      <c r="A162" s="3">
        <v>161</v>
      </c>
      <c r="B162" s="3">
        <v>169</v>
      </c>
      <c r="C162" s="3">
        <v>170</v>
      </c>
      <c r="D162" s="2">
        <v>12280</v>
      </c>
      <c r="E162" s="2">
        <f t="shared" si="12"/>
        <v>5492.5</v>
      </c>
      <c r="F162" s="2">
        <v>2380</v>
      </c>
      <c r="G162" s="2">
        <f t="shared" si="13"/>
        <v>991.66666666666674</v>
      </c>
      <c r="H162" s="4">
        <f>VLOOKUP(B162,nodes!A:D,2,0)</f>
        <v>0</v>
      </c>
      <c r="I162" s="4">
        <f>VLOOKUP(B162,nodes!A:D,4,0)</f>
        <v>60</v>
      </c>
      <c r="J162" s="4">
        <f>VLOOKUP(C162,nodes!A:D,2,0)</f>
        <v>30</v>
      </c>
      <c r="K162" s="4">
        <f>VLOOKUP(C162,nodes!A:D,4,0)</f>
        <v>60</v>
      </c>
      <c r="L162" s="4">
        <f t="shared" si="14"/>
        <v>30</v>
      </c>
      <c r="N162" s="12">
        <f t="shared" si="15"/>
        <v>7437500</v>
      </c>
      <c r="O162" s="12">
        <f t="shared" si="16"/>
        <v>42840000</v>
      </c>
      <c r="P162" s="12">
        <f t="shared" si="17"/>
        <v>11900</v>
      </c>
    </row>
    <row r="163" spans="1:16" x14ac:dyDescent="0.25">
      <c r="A163" s="3">
        <v>162</v>
      </c>
      <c r="B163" s="3">
        <v>170</v>
      </c>
      <c r="C163" s="3">
        <v>171</v>
      </c>
      <c r="D163" s="2">
        <v>12280</v>
      </c>
      <c r="E163" s="2">
        <f t="shared" si="12"/>
        <v>5492.5</v>
      </c>
      <c r="F163" s="2">
        <v>2380</v>
      </c>
      <c r="G163" s="2">
        <f t="shared" si="13"/>
        <v>991.66666666666674</v>
      </c>
      <c r="H163" s="4">
        <f>VLOOKUP(B163,nodes!A:D,2,0)</f>
        <v>30</v>
      </c>
      <c r="I163" s="4">
        <f>VLOOKUP(B163,nodes!A:D,4,0)</f>
        <v>60</v>
      </c>
      <c r="J163" s="4">
        <f>VLOOKUP(C163,nodes!A:D,2,0)</f>
        <v>60</v>
      </c>
      <c r="K163" s="4">
        <f>VLOOKUP(C163,nodes!A:D,4,0)</f>
        <v>60</v>
      </c>
      <c r="L163" s="4">
        <f t="shared" si="14"/>
        <v>30</v>
      </c>
      <c r="N163" s="12">
        <f t="shared" si="15"/>
        <v>7437500</v>
      </c>
      <c r="O163" s="12">
        <f t="shared" si="16"/>
        <v>42840000</v>
      </c>
      <c r="P163" s="12">
        <f t="shared" si="17"/>
        <v>11900</v>
      </c>
    </row>
    <row r="164" spans="1:16" x14ac:dyDescent="0.25">
      <c r="A164" s="3">
        <v>163</v>
      </c>
      <c r="B164" s="3">
        <v>171</v>
      </c>
      <c r="C164" s="3">
        <v>172</v>
      </c>
      <c r="D164" s="2">
        <v>12280</v>
      </c>
      <c r="E164" s="2">
        <f t="shared" si="12"/>
        <v>5492.5</v>
      </c>
      <c r="F164" s="2">
        <v>2380</v>
      </c>
      <c r="G164" s="2">
        <f t="shared" si="13"/>
        <v>991.66666666666674</v>
      </c>
      <c r="H164" s="4">
        <f>VLOOKUP(B164,nodes!A:D,2,0)</f>
        <v>60</v>
      </c>
      <c r="I164" s="4">
        <f>VLOOKUP(B164,nodes!A:D,4,0)</f>
        <v>60</v>
      </c>
      <c r="J164" s="4">
        <f>VLOOKUP(C164,nodes!A:D,2,0)</f>
        <v>90</v>
      </c>
      <c r="K164" s="4">
        <f>VLOOKUP(C164,nodes!A:D,4,0)</f>
        <v>60</v>
      </c>
      <c r="L164" s="4">
        <f t="shared" si="14"/>
        <v>30</v>
      </c>
      <c r="N164" s="12">
        <f t="shared" si="15"/>
        <v>7437500</v>
      </c>
      <c r="O164" s="12">
        <f t="shared" si="16"/>
        <v>42840000</v>
      </c>
      <c r="P164" s="12">
        <f t="shared" si="17"/>
        <v>11900</v>
      </c>
    </row>
    <row r="165" spans="1:16" x14ac:dyDescent="0.25">
      <c r="A165" s="3">
        <v>164</v>
      </c>
      <c r="B165" s="3">
        <v>172</v>
      </c>
      <c r="C165" s="3">
        <v>173</v>
      </c>
      <c r="D165" s="2">
        <v>12280</v>
      </c>
      <c r="E165" s="2">
        <f t="shared" si="12"/>
        <v>5492.5</v>
      </c>
      <c r="F165" s="2">
        <v>2380</v>
      </c>
      <c r="G165" s="2">
        <f t="shared" si="13"/>
        <v>991.66666666666674</v>
      </c>
      <c r="H165" s="4">
        <f>VLOOKUP(B165,nodes!A:D,2,0)</f>
        <v>90</v>
      </c>
      <c r="I165" s="4">
        <f>VLOOKUP(B165,nodes!A:D,4,0)</f>
        <v>60</v>
      </c>
      <c r="J165" s="4">
        <f>VLOOKUP(C165,nodes!A:D,2,0)</f>
        <v>120</v>
      </c>
      <c r="K165" s="4">
        <f>VLOOKUP(C165,nodes!A:D,4,0)</f>
        <v>60</v>
      </c>
      <c r="L165" s="4">
        <f t="shared" si="14"/>
        <v>30</v>
      </c>
      <c r="N165" s="12">
        <f t="shared" si="15"/>
        <v>7437500</v>
      </c>
      <c r="O165" s="12">
        <f t="shared" si="16"/>
        <v>42840000</v>
      </c>
      <c r="P165" s="12">
        <f t="shared" si="17"/>
        <v>11900</v>
      </c>
    </row>
    <row r="166" spans="1:16" x14ac:dyDescent="0.25">
      <c r="A166" s="3">
        <v>165</v>
      </c>
      <c r="B166" s="3">
        <v>173</v>
      </c>
      <c r="C166" s="3">
        <v>174</v>
      </c>
      <c r="D166" s="2">
        <v>12280</v>
      </c>
      <c r="E166" s="2">
        <f t="shared" si="12"/>
        <v>5492.5</v>
      </c>
      <c r="F166" s="2">
        <v>2380</v>
      </c>
      <c r="G166" s="2">
        <f t="shared" si="13"/>
        <v>991.66666666666674</v>
      </c>
      <c r="H166" s="4">
        <f>VLOOKUP(B166,nodes!A:D,2,0)</f>
        <v>120</v>
      </c>
      <c r="I166" s="4">
        <f>VLOOKUP(B166,nodes!A:D,4,0)</f>
        <v>60</v>
      </c>
      <c r="J166" s="4">
        <f>VLOOKUP(C166,nodes!A:D,2,0)</f>
        <v>150</v>
      </c>
      <c r="K166" s="4">
        <f>VLOOKUP(C166,nodes!A:D,4,0)</f>
        <v>60</v>
      </c>
      <c r="L166" s="4">
        <f t="shared" si="14"/>
        <v>30</v>
      </c>
      <c r="N166" s="12">
        <f t="shared" si="15"/>
        <v>7437500</v>
      </c>
      <c r="O166" s="12">
        <f t="shared" si="16"/>
        <v>42840000</v>
      </c>
      <c r="P166" s="12">
        <f t="shared" si="17"/>
        <v>11900</v>
      </c>
    </row>
    <row r="167" spans="1:16" x14ac:dyDescent="0.25">
      <c r="A167" s="3">
        <v>166</v>
      </c>
      <c r="B167" s="3">
        <v>174</v>
      </c>
      <c r="C167" s="3">
        <v>175</v>
      </c>
      <c r="D167" s="2">
        <v>12280</v>
      </c>
      <c r="E167" s="2">
        <f t="shared" si="12"/>
        <v>5492.5</v>
      </c>
      <c r="F167" s="2">
        <v>2380</v>
      </c>
      <c r="G167" s="2">
        <f t="shared" si="13"/>
        <v>991.66666666666674</v>
      </c>
      <c r="H167" s="4">
        <f>VLOOKUP(B167,nodes!A:D,2,0)</f>
        <v>150</v>
      </c>
      <c r="I167" s="4">
        <f>VLOOKUP(B167,nodes!A:D,4,0)</f>
        <v>60</v>
      </c>
      <c r="J167" s="4">
        <f>VLOOKUP(C167,nodes!A:D,2,0)</f>
        <v>180</v>
      </c>
      <c r="K167" s="4">
        <f>VLOOKUP(C167,nodes!A:D,4,0)</f>
        <v>60</v>
      </c>
      <c r="L167" s="4">
        <f t="shared" si="14"/>
        <v>30</v>
      </c>
      <c r="N167" s="12">
        <f t="shared" si="15"/>
        <v>7437500</v>
      </c>
      <c r="O167" s="12">
        <f t="shared" si="16"/>
        <v>42840000</v>
      </c>
      <c r="P167" s="12">
        <f t="shared" si="17"/>
        <v>11900</v>
      </c>
    </row>
    <row r="168" spans="1:16" x14ac:dyDescent="0.25">
      <c r="A168" s="3">
        <v>167</v>
      </c>
      <c r="B168" s="3">
        <v>175</v>
      </c>
      <c r="C168" s="3">
        <v>176</v>
      </c>
      <c r="D168" s="2">
        <v>12280</v>
      </c>
      <c r="E168" s="2">
        <f t="shared" si="12"/>
        <v>5492.5</v>
      </c>
      <c r="F168" s="2">
        <v>2380</v>
      </c>
      <c r="G168" s="2">
        <f t="shared" si="13"/>
        <v>991.66666666666674</v>
      </c>
      <c r="H168" s="4">
        <f>VLOOKUP(B168,nodes!A:D,2,0)</f>
        <v>180</v>
      </c>
      <c r="I168" s="4">
        <f>VLOOKUP(B168,nodes!A:D,4,0)</f>
        <v>60</v>
      </c>
      <c r="J168" s="4">
        <f>VLOOKUP(C168,nodes!A:D,2,0)</f>
        <v>210</v>
      </c>
      <c r="K168" s="4">
        <f>VLOOKUP(C168,nodes!A:D,4,0)</f>
        <v>60</v>
      </c>
      <c r="L168" s="4">
        <f t="shared" si="14"/>
        <v>30</v>
      </c>
      <c r="N168" s="12">
        <f t="shared" si="15"/>
        <v>7437500</v>
      </c>
      <c r="O168" s="12">
        <f t="shared" si="16"/>
        <v>42840000</v>
      </c>
      <c r="P168" s="12">
        <f t="shared" si="17"/>
        <v>11900</v>
      </c>
    </row>
    <row r="169" spans="1:16" x14ac:dyDescent="0.25">
      <c r="A169" s="3">
        <v>168</v>
      </c>
      <c r="B169" s="3">
        <v>176</v>
      </c>
      <c r="C169" s="3">
        <v>177</v>
      </c>
      <c r="D169" s="2">
        <v>12280</v>
      </c>
      <c r="E169" s="2">
        <f t="shared" si="12"/>
        <v>5492.5</v>
      </c>
      <c r="F169" s="2">
        <v>2380</v>
      </c>
      <c r="G169" s="2">
        <f t="shared" si="13"/>
        <v>991.66666666666674</v>
      </c>
      <c r="H169" s="4">
        <f>VLOOKUP(B169,nodes!A:D,2,0)</f>
        <v>210</v>
      </c>
      <c r="I169" s="4">
        <f>VLOOKUP(B169,nodes!A:D,4,0)</f>
        <v>60</v>
      </c>
      <c r="J169" s="4">
        <f>VLOOKUP(C169,nodes!A:D,2,0)</f>
        <v>240</v>
      </c>
      <c r="K169" s="4">
        <f>VLOOKUP(C169,nodes!A:D,4,0)</f>
        <v>60</v>
      </c>
      <c r="L169" s="4">
        <f t="shared" si="14"/>
        <v>30</v>
      </c>
      <c r="N169" s="12">
        <f t="shared" si="15"/>
        <v>7437500</v>
      </c>
      <c r="O169" s="12">
        <f t="shared" si="16"/>
        <v>42840000</v>
      </c>
      <c r="P169" s="12">
        <f t="shared" si="17"/>
        <v>11900</v>
      </c>
    </row>
    <row r="170" spans="1:16" x14ac:dyDescent="0.25">
      <c r="A170" s="3">
        <v>169</v>
      </c>
      <c r="B170" s="3">
        <v>177</v>
      </c>
      <c r="C170" s="3">
        <v>178</v>
      </c>
      <c r="D170" s="2">
        <v>12280</v>
      </c>
      <c r="E170" s="2">
        <f t="shared" si="12"/>
        <v>5492.5</v>
      </c>
      <c r="F170" s="2">
        <v>2380</v>
      </c>
      <c r="G170" s="2">
        <f t="shared" si="13"/>
        <v>991.66666666666674</v>
      </c>
      <c r="H170" s="4">
        <f>VLOOKUP(B170,nodes!A:D,2,0)</f>
        <v>240</v>
      </c>
      <c r="I170" s="4">
        <f>VLOOKUP(B170,nodes!A:D,4,0)</f>
        <v>60</v>
      </c>
      <c r="J170" s="4">
        <f>VLOOKUP(C170,nodes!A:D,2,0)</f>
        <v>270</v>
      </c>
      <c r="K170" s="4">
        <f>VLOOKUP(C170,nodes!A:D,4,0)</f>
        <v>60</v>
      </c>
      <c r="L170" s="4">
        <f t="shared" si="14"/>
        <v>30</v>
      </c>
      <c r="N170" s="12">
        <f t="shared" si="15"/>
        <v>7437500</v>
      </c>
      <c r="O170" s="12">
        <f t="shared" si="16"/>
        <v>42840000</v>
      </c>
      <c r="P170" s="12">
        <f t="shared" si="17"/>
        <v>11900</v>
      </c>
    </row>
    <row r="171" spans="1:16" x14ac:dyDescent="0.25">
      <c r="A171" s="3">
        <v>170</v>
      </c>
      <c r="B171" s="3">
        <v>178</v>
      </c>
      <c r="C171" s="3">
        <v>179</v>
      </c>
      <c r="D171" s="2">
        <v>12280</v>
      </c>
      <c r="E171" s="2">
        <f t="shared" si="12"/>
        <v>5492.5</v>
      </c>
      <c r="F171" s="2">
        <v>2380</v>
      </c>
      <c r="G171" s="2">
        <f t="shared" si="13"/>
        <v>991.66666666666674</v>
      </c>
      <c r="H171" s="4">
        <f>VLOOKUP(B171,nodes!A:D,2,0)</f>
        <v>270</v>
      </c>
      <c r="I171" s="4">
        <f>VLOOKUP(B171,nodes!A:D,4,0)</f>
        <v>60</v>
      </c>
      <c r="J171" s="4">
        <f>VLOOKUP(C171,nodes!A:D,2,0)</f>
        <v>300</v>
      </c>
      <c r="K171" s="4">
        <f>VLOOKUP(C171,nodes!A:D,4,0)</f>
        <v>60</v>
      </c>
      <c r="L171" s="4">
        <f t="shared" si="14"/>
        <v>30</v>
      </c>
      <c r="N171" s="12">
        <f t="shared" si="15"/>
        <v>7437500</v>
      </c>
      <c r="O171" s="12">
        <f t="shared" si="16"/>
        <v>42840000</v>
      </c>
      <c r="P171" s="12">
        <f t="shared" si="17"/>
        <v>11900</v>
      </c>
    </row>
    <row r="172" spans="1:16" x14ac:dyDescent="0.25">
      <c r="A172" s="3">
        <v>171</v>
      </c>
      <c r="B172" s="3">
        <v>179</v>
      </c>
      <c r="C172" s="3">
        <v>180</v>
      </c>
      <c r="D172" s="2">
        <v>12280</v>
      </c>
      <c r="E172" s="2">
        <f t="shared" si="12"/>
        <v>5492.5</v>
      </c>
      <c r="F172" s="2">
        <v>2380</v>
      </c>
      <c r="G172" s="2">
        <f t="shared" si="13"/>
        <v>991.66666666666674</v>
      </c>
      <c r="H172" s="4">
        <f>VLOOKUP(B172,nodes!A:D,2,0)</f>
        <v>300</v>
      </c>
      <c r="I172" s="4">
        <f>VLOOKUP(B172,nodes!A:D,4,0)</f>
        <v>60</v>
      </c>
      <c r="J172" s="4">
        <f>VLOOKUP(C172,nodes!A:D,2,0)</f>
        <v>330</v>
      </c>
      <c r="K172" s="4">
        <f>VLOOKUP(C172,nodes!A:D,4,0)</f>
        <v>60</v>
      </c>
      <c r="L172" s="4">
        <f t="shared" si="14"/>
        <v>30</v>
      </c>
      <c r="N172" s="12">
        <f t="shared" si="15"/>
        <v>7437500</v>
      </c>
      <c r="O172" s="12">
        <f t="shared" si="16"/>
        <v>42840000</v>
      </c>
      <c r="P172" s="12">
        <f t="shared" si="17"/>
        <v>11900</v>
      </c>
    </row>
    <row r="173" spans="1:16" x14ac:dyDescent="0.25">
      <c r="A173" s="3">
        <v>172</v>
      </c>
      <c r="B173" s="3">
        <v>180</v>
      </c>
      <c r="C173" s="3">
        <v>181</v>
      </c>
      <c r="D173" s="2">
        <v>12280</v>
      </c>
      <c r="E173" s="2">
        <f t="shared" si="12"/>
        <v>5492.5</v>
      </c>
      <c r="F173" s="2">
        <v>2380</v>
      </c>
      <c r="G173" s="2">
        <f t="shared" si="13"/>
        <v>991.66666666666674</v>
      </c>
      <c r="H173" s="4">
        <f>VLOOKUP(B173,nodes!A:D,2,0)</f>
        <v>330</v>
      </c>
      <c r="I173" s="4">
        <f>VLOOKUP(B173,nodes!A:D,4,0)</f>
        <v>60</v>
      </c>
      <c r="J173" s="4">
        <f>VLOOKUP(C173,nodes!A:D,2,0)</f>
        <v>360</v>
      </c>
      <c r="K173" s="4">
        <f>VLOOKUP(C173,nodes!A:D,4,0)</f>
        <v>60</v>
      </c>
      <c r="L173" s="4">
        <f t="shared" si="14"/>
        <v>30</v>
      </c>
      <c r="N173" s="12">
        <f t="shared" si="15"/>
        <v>7437500</v>
      </c>
      <c r="O173" s="12">
        <f t="shared" si="16"/>
        <v>42840000</v>
      </c>
      <c r="P173" s="12">
        <f t="shared" si="17"/>
        <v>11900</v>
      </c>
    </row>
    <row r="174" spans="1:16" x14ac:dyDescent="0.25">
      <c r="A174" s="3">
        <v>173</v>
      </c>
      <c r="B174" s="3">
        <v>181</v>
      </c>
      <c r="C174" s="3">
        <v>182</v>
      </c>
      <c r="D174" s="2">
        <v>12280</v>
      </c>
      <c r="E174" s="2">
        <f t="shared" si="12"/>
        <v>5492.5</v>
      </c>
      <c r="F174" s="2">
        <v>2380</v>
      </c>
      <c r="G174" s="2">
        <f t="shared" si="13"/>
        <v>991.66666666666674</v>
      </c>
      <c r="H174" s="4">
        <f>VLOOKUP(B174,nodes!A:D,2,0)</f>
        <v>360</v>
      </c>
      <c r="I174" s="4">
        <f>VLOOKUP(B174,nodes!A:D,4,0)</f>
        <v>60</v>
      </c>
      <c r="J174" s="4">
        <f>VLOOKUP(C174,nodes!A:D,2,0)</f>
        <v>390</v>
      </c>
      <c r="K174" s="4">
        <f>VLOOKUP(C174,nodes!A:D,4,0)</f>
        <v>60</v>
      </c>
      <c r="L174" s="4">
        <f t="shared" si="14"/>
        <v>30</v>
      </c>
      <c r="N174" s="12">
        <f t="shared" si="15"/>
        <v>7437500</v>
      </c>
      <c r="O174" s="12">
        <f t="shared" si="16"/>
        <v>42840000</v>
      </c>
      <c r="P174" s="12">
        <f t="shared" si="17"/>
        <v>11900</v>
      </c>
    </row>
    <row r="175" spans="1:16" x14ac:dyDescent="0.25">
      <c r="A175" s="3">
        <v>174</v>
      </c>
      <c r="B175" s="3">
        <v>182</v>
      </c>
      <c r="C175" s="3">
        <v>183</v>
      </c>
      <c r="D175" s="2">
        <v>12280</v>
      </c>
      <c r="E175" s="2">
        <f t="shared" si="12"/>
        <v>5492.5</v>
      </c>
      <c r="F175" s="2">
        <v>2380</v>
      </c>
      <c r="G175" s="2">
        <f t="shared" si="13"/>
        <v>991.66666666666674</v>
      </c>
      <c r="H175" s="4">
        <f>VLOOKUP(B175,nodes!A:D,2,0)</f>
        <v>390</v>
      </c>
      <c r="I175" s="4">
        <f>VLOOKUP(B175,nodes!A:D,4,0)</f>
        <v>60</v>
      </c>
      <c r="J175" s="4">
        <f>VLOOKUP(C175,nodes!A:D,2,0)</f>
        <v>420</v>
      </c>
      <c r="K175" s="4">
        <f>VLOOKUP(C175,nodes!A:D,4,0)</f>
        <v>60</v>
      </c>
      <c r="L175" s="4">
        <f t="shared" si="14"/>
        <v>30</v>
      </c>
      <c r="N175" s="12">
        <f t="shared" si="15"/>
        <v>7437500</v>
      </c>
      <c r="O175" s="12">
        <f t="shared" si="16"/>
        <v>42840000</v>
      </c>
      <c r="P175" s="12">
        <f t="shared" si="17"/>
        <v>11900</v>
      </c>
    </row>
    <row r="176" spans="1:16" x14ac:dyDescent="0.25">
      <c r="A176" s="3">
        <v>175</v>
      </c>
      <c r="B176" s="3">
        <v>183</v>
      </c>
      <c r="C176" s="3">
        <v>184</v>
      </c>
      <c r="D176" s="2">
        <v>12280</v>
      </c>
      <c r="E176" s="2">
        <f t="shared" si="12"/>
        <v>5492.5</v>
      </c>
      <c r="F176" s="2">
        <v>2380</v>
      </c>
      <c r="G176" s="2">
        <f t="shared" si="13"/>
        <v>991.66666666666674</v>
      </c>
      <c r="H176" s="4">
        <f>VLOOKUP(B176,nodes!A:D,2,0)</f>
        <v>420</v>
      </c>
      <c r="I176" s="4">
        <f>VLOOKUP(B176,nodes!A:D,4,0)</f>
        <v>60</v>
      </c>
      <c r="J176" s="4">
        <f>VLOOKUP(C176,nodes!A:D,2,0)</f>
        <v>450</v>
      </c>
      <c r="K176" s="4">
        <f>VLOOKUP(C176,nodes!A:D,4,0)</f>
        <v>60</v>
      </c>
      <c r="L176" s="4">
        <f t="shared" si="14"/>
        <v>30</v>
      </c>
      <c r="N176" s="12">
        <f t="shared" si="15"/>
        <v>7437500</v>
      </c>
      <c r="O176" s="12">
        <f t="shared" si="16"/>
        <v>42840000</v>
      </c>
      <c r="P176" s="12">
        <f t="shared" si="17"/>
        <v>11900</v>
      </c>
    </row>
    <row r="177" spans="1:16" x14ac:dyDescent="0.25">
      <c r="A177" s="3">
        <v>176</v>
      </c>
      <c r="B177" s="3">
        <v>184</v>
      </c>
      <c r="C177" s="3">
        <v>185</v>
      </c>
      <c r="D177" s="2">
        <v>12280</v>
      </c>
      <c r="E177" s="2">
        <f t="shared" si="12"/>
        <v>5492.5</v>
      </c>
      <c r="F177" s="2">
        <v>2380</v>
      </c>
      <c r="G177" s="2">
        <f t="shared" si="13"/>
        <v>991.66666666666674</v>
      </c>
      <c r="H177" s="4">
        <f>VLOOKUP(B177,nodes!A:D,2,0)</f>
        <v>450</v>
      </c>
      <c r="I177" s="4">
        <f>VLOOKUP(B177,nodes!A:D,4,0)</f>
        <v>60</v>
      </c>
      <c r="J177" s="4">
        <f>VLOOKUP(C177,nodes!A:D,2,0)</f>
        <v>480</v>
      </c>
      <c r="K177" s="4">
        <f>VLOOKUP(C177,nodes!A:D,4,0)</f>
        <v>60</v>
      </c>
      <c r="L177" s="4">
        <f t="shared" si="14"/>
        <v>30</v>
      </c>
      <c r="N177" s="12">
        <f t="shared" si="15"/>
        <v>7437500</v>
      </c>
      <c r="O177" s="12">
        <f t="shared" si="16"/>
        <v>42840000</v>
      </c>
      <c r="P177" s="12">
        <f t="shared" si="17"/>
        <v>11900</v>
      </c>
    </row>
    <row r="178" spans="1:16" x14ac:dyDescent="0.25">
      <c r="A178" s="3">
        <v>177</v>
      </c>
      <c r="B178" s="3">
        <v>185</v>
      </c>
      <c r="C178" s="3">
        <v>186</v>
      </c>
      <c r="D178" s="2">
        <v>12280</v>
      </c>
      <c r="E178" s="2">
        <f t="shared" si="12"/>
        <v>5492.5</v>
      </c>
      <c r="F178" s="2">
        <v>2380</v>
      </c>
      <c r="G178" s="2">
        <f t="shared" si="13"/>
        <v>991.66666666666674</v>
      </c>
      <c r="H178" s="4">
        <f>VLOOKUP(B178,nodes!A:D,2,0)</f>
        <v>480</v>
      </c>
      <c r="I178" s="4">
        <f>VLOOKUP(B178,nodes!A:D,4,0)</f>
        <v>60</v>
      </c>
      <c r="J178" s="4">
        <f>VLOOKUP(C178,nodes!A:D,2,0)</f>
        <v>509.99999999999994</v>
      </c>
      <c r="K178" s="4">
        <f>VLOOKUP(C178,nodes!A:D,4,0)</f>
        <v>60</v>
      </c>
      <c r="L178" s="4">
        <f t="shared" si="14"/>
        <v>29.999999999999943</v>
      </c>
      <c r="N178" s="12">
        <f t="shared" si="15"/>
        <v>7437500</v>
      </c>
      <c r="O178" s="12">
        <f t="shared" si="16"/>
        <v>42840000</v>
      </c>
      <c r="P178" s="12">
        <f t="shared" si="17"/>
        <v>11900</v>
      </c>
    </row>
    <row r="179" spans="1:16" x14ac:dyDescent="0.25">
      <c r="A179" s="3">
        <v>178</v>
      </c>
      <c r="B179" s="3">
        <v>186</v>
      </c>
      <c r="C179" s="3">
        <v>187</v>
      </c>
      <c r="D179" s="2">
        <v>12280</v>
      </c>
      <c r="E179" s="2">
        <f t="shared" si="12"/>
        <v>5492.5</v>
      </c>
      <c r="F179" s="2">
        <v>2380</v>
      </c>
      <c r="G179" s="2">
        <f t="shared" si="13"/>
        <v>991.66666666666674</v>
      </c>
      <c r="H179" s="4">
        <f>VLOOKUP(B179,nodes!A:D,2,0)</f>
        <v>509.99999999999994</v>
      </c>
      <c r="I179" s="4">
        <f>VLOOKUP(B179,nodes!A:D,4,0)</f>
        <v>60</v>
      </c>
      <c r="J179" s="4">
        <f>VLOOKUP(C179,nodes!A:D,2,0)</f>
        <v>540</v>
      </c>
      <c r="K179" s="4">
        <f>VLOOKUP(C179,nodes!A:D,4,0)</f>
        <v>60</v>
      </c>
      <c r="L179" s="4">
        <f t="shared" si="14"/>
        <v>30.000000000000057</v>
      </c>
      <c r="N179" s="12">
        <f t="shared" si="15"/>
        <v>7437500</v>
      </c>
      <c r="O179" s="12">
        <f t="shared" si="16"/>
        <v>42840000</v>
      </c>
      <c r="P179" s="12">
        <f t="shared" si="17"/>
        <v>11900</v>
      </c>
    </row>
    <row r="180" spans="1:16" x14ac:dyDescent="0.25">
      <c r="A180" s="3">
        <v>179</v>
      </c>
      <c r="B180" s="3">
        <v>187</v>
      </c>
      <c r="C180" s="3">
        <v>188</v>
      </c>
      <c r="D180" s="2">
        <v>12280</v>
      </c>
      <c r="E180" s="2">
        <f t="shared" si="12"/>
        <v>5492.5</v>
      </c>
      <c r="F180" s="2">
        <v>2380</v>
      </c>
      <c r="G180" s="2">
        <f t="shared" si="13"/>
        <v>991.66666666666674</v>
      </c>
      <c r="H180" s="4">
        <f>VLOOKUP(B180,nodes!A:D,2,0)</f>
        <v>540</v>
      </c>
      <c r="I180" s="4">
        <f>VLOOKUP(B180,nodes!A:D,4,0)</f>
        <v>60</v>
      </c>
      <c r="J180" s="4">
        <f>VLOOKUP(C180,nodes!A:D,2,0)</f>
        <v>570</v>
      </c>
      <c r="K180" s="4">
        <f>VLOOKUP(C180,nodes!A:D,4,0)</f>
        <v>60</v>
      </c>
      <c r="L180" s="4">
        <f t="shared" si="14"/>
        <v>30</v>
      </c>
      <c r="N180" s="12">
        <f t="shared" si="15"/>
        <v>7437500</v>
      </c>
      <c r="O180" s="12">
        <f t="shared" si="16"/>
        <v>42840000</v>
      </c>
      <c r="P180" s="12">
        <f t="shared" si="17"/>
        <v>11900</v>
      </c>
    </row>
    <row r="181" spans="1:16" x14ac:dyDescent="0.25">
      <c r="A181" s="3">
        <v>180</v>
      </c>
      <c r="B181" s="3">
        <v>188</v>
      </c>
      <c r="C181" s="3">
        <v>189</v>
      </c>
      <c r="D181" s="2">
        <v>12280</v>
      </c>
      <c r="E181" s="2">
        <f t="shared" si="12"/>
        <v>5492.5</v>
      </c>
      <c r="F181" s="2">
        <v>2380</v>
      </c>
      <c r="G181" s="2">
        <f t="shared" si="13"/>
        <v>991.66666666666674</v>
      </c>
      <c r="H181" s="4">
        <f>VLOOKUP(B181,nodes!A:D,2,0)</f>
        <v>570</v>
      </c>
      <c r="I181" s="4">
        <f>VLOOKUP(B181,nodes!A:D,4,0)</f>
        <v>60</v>
      </c>
      <c r="J181" s="4">
        <f>VLOOKUP(C181,nodes!A:D,2,0)</f>
        <v>600</v>
      </c>
      <c r="K181" s="4">
        <f>VLOOKUP(C181,nodes!A:D,4,0)</f>
        <v>60</v>
      </c>
      <c r="L181" s="4">
        <f t="shared" si="14"/>
        <v>30</v>
      </c>
      <c r="N181" s="12">
        <f t="shared" si="15"/>
        <v>7437500</v>
      </c>
      <c r="O181" s="12">
        <f t="shared" si="16"/>
        <v>42840000</v>
      </c>
      <c r="P181" s="12">
        <f t="shared" si="17"/>
        <v>11900</v>
      </c>
    </row>
    <row r="182" spans="1:16" x14ac:dyDescent="0.25">
      <c r="A182" s="3">
        <v>181</v>
      </c>
      <c r="B182" s="3">
        <v>190</v>
      </c>
      <c r="C182" s="3">
        <v>191</v>
      </c>
      <c r="D182" s="2">
        <v>12280</v>
      </c>
      <c r="E182" s="2">
        <f t="shared" si="12"/>
        <v>5492.5</v>
      </c>
      <c r="F182" s="2">
        <v>2380</v>
      </c>
      <c r="G182" s="2">
        <f t="shared" si="13"/>
        <v>991.66666666666674</v>
      </c>
      <c r="H182" s="4">
        <f>VLOOKUP(B182,nodes!A:D,2,0)</f>
        <v>0</v>
      </c>
      <c r="I182" s="4">
        <f>VLOOKUP(B182,nodes!A:D,4,0)</f>
        <v>30</v>
      </c>
      <c r="J182" s="4">
        <f>VLOOKUP(C182,nodes!A:D,2,0)</f>
        <v>30</v>
      </c>
      <c r="K182" s="4">
        <f>VLOOKUP(C182,nodes!A:D,4,0)</f>
        <v>30</v>
      </c>
      <c r="L182" s="4">
        <f t="shared" si="14"/>
        <v>30</v>
      </c>
      <c r="N182" s="12">
        <f t="shared" si="15"/>
        <v>7437500</v>
      </c>
      <c r="O182" s="12">
        <f t="shared" si="16"/>
        <v>42840000</v>
      </c>
      <c r="P182" s="12">
        <f t="shared" si="17"/>
        <v>11900</v>
      </c>
    </row>
    <row r="183" spans="1:16" x14ac:dyDescent="0.25">
      <c r="A183" s="3">
        <v>182</v>
      </c>
      <c r="B183" s="3">
        <v>191</v>
      </c>
      <c r="C183" s="3">
        <v>192</v>
      </c>
      <c r="D183" s="2">
        <v>12280</v>
      </c>
      <c r="E183" s="2">
        <f t="shared" si="12"/>
        <v>5492.5</v>
      </c>
      <c r="F183" s="2">
        <v>2380</v>
      </c>
      <c r="G183" s="2">
        <f t="shared" si="13"/>
        <v>991.66666666666674</v>
      </c>
      <c r="H183" s="4">
        <f>VLOOKUP(B183,nodes!A:D,2,0)</f>
        <v>30</v>
      </c>
      <c r="I183" s="4">
        <f>VLOOKUP(B183,nodes!A:D,4,0)</f>
        <v>30</v>
      </c>
      <c r="J183" s="4">
        <f>VLOOKUP(C183,nodes!A:D,2,0)</f>
        <v>60</v>
      </c>
      <c r="K183" s="4">
        <f>VLOOKUP(C183,nodes!A:D,4,0)</f>
        <v>30</v>
      </c>
      <c r="L183" s="4">
        <f t="shared" si="14"/>
        <v>30</v>
      </c>
      <c r="N183" s="12">
        <f t="shared" si="15"/>
        <v>7437500</v>
      </c>
      <c r="O183" s="12">
        <f t="shared" si="16"/>
        <v>42840000</v>
      </c>
      <c r="P183" s="12">
        <f t="shared" si="17"/>
        <v>11900</v>
      </c>
    </row>
    <row r="184" spans="1:16" x14ac:dyDescent="0.25">
      <c r="A184" s="3">
        <v>183</v>
      </c>
      <c r="B184" s="3">
        <v>192</v>
      </c>
      <c r="C184" s="3">
        <v>193</v>
      </c>
      <c r="D184" s="2">
        <v>12280</v>
      </c>
      <c r="E184" s="2">
        <f t="shared" si="12"/>
        <v>5492.5</v>
      </c>
      <c r="F184" s="2">
        <v>2380</v>
      </c>
      <c r="G184" s="2">
        <f t="shared" si="13"/>
        <v>991.66666666666674</v>
      </c>
      <c r="H184" s="4">
        <f>VLOOKUP(B184,nodes!A:D,2,0)</f>
        <v>60</v>
      </c>
      <c r="I184" s="4">
        <f>VLOOKUP(B184,nodes!A:D,4,0)</f>
        <v>30</v>
      </c>
      <c r="J184" s="4">
        <f>VLOOKUP(C184,nodes!A:D,2,0)</f>
        <v>90</v>
      </c>
      <c r="K184" s="4">
        <f>VLOOKUP(C184,nodes!A:D,4,0)</f>
        <v>30</v>
      </c>
      <c r="L184" s="4">
        <f t="shared" si="14"/>
        <v>30</v>
      </c>
      <c r="N184" s="12">
        <f t="shared" si="15"/>
        <v>7437500</v>
      </c>
      <c r="O184" s="12">
        <f t="shared" si="16"/>
        <v>42840000</v>
      </c>
      <c r="P184" s="12">
        <f t="shared" si="17"/>
        <v>11900</v>
      </c>
    </row>
    <row r="185" spans="1:16" x14ac:dyDescent="0.25">
      <c r="A185" s="3">
        <v>184</v>
      </c>
      <c r="B185" s="3">
        <v>193</v>
      </c>
      <c r="C185" s="3">
        <v>194</v>
      </c>
      <c r="D185" s="2">
        <v>12280</v>
      </c>
      <c r="E185" s="2">
        <f t="shared" si="12"/>
        <v>5492.5</v>
      </c>
      <c r="F185" s="2">
        <v>2380</v>
      </c>
      <c r="G185" s="2">
        <f t="shared" si="13"/>
        <v>991.66666666666674</v>
      </c>
      <c r="H185" s="4">
        <f>VLOOKUP(B185,nodes!A:D,2,0)</f>
        <v>90</v>
      </c>
      <c r="I185" s="4">
        <f>VLOOKUP(B185,nodes!A:D,4,0)</f>
        <v>30</v>
      </c>
      <c r="J185" s="4">
        <f>VLOOKUP(C185,nodes!A:D,2,0)</f>
        <v>120</v>
      </c>
      <c r="K185" s="4">
        <f>VLOOKUP(C185,nodes!A:D,4,0)</f>
        <v>30</v>
      </c>
      <c r="L185" s="4">
        <f t="shared" si="14"/>
        <v>30</v>
      </c>
      <c r="N185" s="12">
        <f t="shared" si="15"/>
        <v>7437500</v>
      </c>
      <c r="O185" s="12">
        <f t="shared" si="16"/>
        <v>42840000</v>
      </c>
      <c r="P185" s="12">
        <f t="shared" si="17"/>
        <v>11900</v>
      </c>
    </row>
    <row r="186" spans="1:16" x14ac:dyDescent="0.25">
      <c r="A186" s="3">
        <v>185</v>
      </c>
      <c r="B186" s="3">
        <v>194</v>
      </c>
      <c r="C186" s="3">
        <v>195</v>
      </c>
      <c r="D186" s="2">
        <v>12280</v>
      </c>
      <c r="E186" s="2">
        <f t="shared" si="12"/>
        <v>5492.5</v>
      </c>
      <c r="F186" s="2">
        <v>2380</v>
      </c>
      <c r="G186" s="2">
        <f t="shared" si="13"/>
        <v>991.66666666666674</v>
      </c>
      <c r="H186" s="4">
        <f>VLOOKUP(B186,nodes!A:D,2,0)</f>
        <v>120</v>
      </c>
      <c r="I186" s="4">
        <f>VLOOKUP(B186,nodes!A:D,4,0)</f>
        <v>30</v>
      </c>
      <c r="J186" s="4">
        <f>VLOOKUP(C186,nodes!A:D,2,0)</f>
        <v>150</v>
      </c>
      <c r="K186" s="4">
        <f>VLOOKUP(C186,nodes!A:D,4,0)</f>
        <v>30</v>
      </c>
      <c r="L186" s="4">
        <f t="shared" si="14"/>
        <v>30</v>
      </c>
      <c r="N186" s="12">
        <f t="shared" si="15"/>
        <v>7437500</v>
      </c>
      <c r="O186" s="12">
        <f t="shared" si="16"/>
        <v>42840000</v>
      </c>
      <c r="P186" s="12">
        <f t="shared" si="17"/>
        <v>11900</v>
      </c>
    </row>
    <row r="187" spans="1:16" x14ac:dyDescent="0.25">
      <c r="A187" s="3">
        <v>186</v>
      </c>
      <c r="B187" s="3">
        <v>195</v>
      </c>
      <c r="C187" s="3">
        <v>196</v>
      </c>
      <c r="D187" s="2">
        <v>12280</v>
      </c>
      <c r="E187" s="2">
        <f t="shared" si="12"/>
        <v>5492.5</v>
      </c>
      <c r="F187" s="2">
        <v>2380</v>
      </c>
      <c r="G187" s="2">
        <f t="shared" si="13"/>
        <v>991.66666666666674</v>
      </c>
      <c r="H187" s="4">
        <f>VLOOKUP(B187,nodes!A:D,2,0)</f>
        <v>150</v>
      </c>
      <c r="I187" s="4">
        <f>VLOOKUP(B187,nodes!A:D,4,0)</f>
        <v>30</v>
      </c>
      <c r="J187" s="4">
        <f>VLOOKUP(C187,nodes!A:D,2,0)</f>
        <v>180</v>
      </c>
      <c r="K187" s="4">
        <f>VLOOKUP(C187,nodes!A:D,4,0)</f>
        <v>30</v>
      </c>
      <c r="L187" s="4">
        <f t="shared" si="14"/>
        <v>30</v>
      </c>
      <c r="N187" s="12">
        <f t="shared" si="15"/>
        <v>7437500</v>
      </c>
      <c r="O187" s="12">
        <f t="shared" si="16"/>
        <v>42840000</v>
      </c>
      <c r="P187" s="12">
        <f t="shared" si="17"/>
        <v>11900</v>
      </c>
    </row>
    <row r="188" spans="1:16" x14ac:dyDescent="0.25">
      <c r="A188" s="3">
        <v>187</v>
      </c>
      <c r="B188" s="3">
        <v>196</v>
      </c>
      <c r="C188" s="3">
        <v>197</v>
      </c>
      <c r="D188" s="2">
        <v>12280</v>
      </c>
      <c r="E188" s="2">
        <f t="shared" si="12"/>
        <v>5492.5</v>
      </c>
      <c r="F188" s="2">
        <v>2380</v>
      </c>
      <c r="G188" s="2">
        <f t="shared" si="13"/>
        <v>991.66666666666674</v>
      </c>
      <c r="H188" s="4">
        <f>VLOOKUP(B188,nodes!A:D,2,0)</f>
        <v>180</v>
      </c>
      <c r="I188" s="4">
        <f>VLOOKUP(B188,nodes!A:D,4,0)</f>
        <v>30</v>
      </c>
      <c r="J188" s="4">
        <f>VLOOKUP(C188,nodes!A:D,2,0)</f>
        <v>210</v>
      </c>
      <c r="K188" s="4">
        <f>VLOOKUP(C188,nodes!A:D,4,0)</f>
        <v>30</v>
      </c>
      <c r="L188" s="4">
        <f t="shared" si="14"/>
        <v>30</v>
      </c>
      <c r="N188" s="12">
        <f t="shared" si="15"/>
        <v>7437500</v>
      </c>
      <c r="O188" s="12">
        <f t="shared" si="16"/>
        <v>42840000</v>
      </c>
      <c r="P188" s="12">
        <f t="shared" si="17"/>
        <v>11900</v>
      </c>
    </row>
    <row r="189" spans="1:16" x14ac:dyDescent="0.25">
      <c r="A189" s="3">
        <v>188</v>
      </c>
      <c r="B189" s="3">
        <v>197</v>
      </c>
      <c r="C189" s="3">
        <v>198</v>
      </c>
      <c r="D189" s="2">
        <v>12280</v>
      </c>
      <c r="E189" s="2">
        <f t="shared" si="12"/>
        <v>5492.5</v>
      </c>
      <c r="F189" s="2">
        <v>2380</v>
      </c>
      <c r="G189" s="2">
        <f t="shared" si="13"/>
        <v>991.66666666666674</v>
      </c>
      <c r="H189" s="4">
        <f>VLOOKUP(B189,nodes!A:D,2,0)</f>
        <v>210</v>
      </c>
      <c r="I189" s="4">
        <f>VLOOKUP(B189,nodes!A:D,4,0)</f>
        <v>30</v>
      </c>
      <c r="J189" s="4">
        <f>VLOOKUP(C189,nodes!A:D,2,0)</f>
        <v>240</v>
      </c>
      <c r="K189" s="4">
        <f>VLOOKUP(C189,nodes!A:D,4,0)</f>
        <v>30</v>
      </c>
      <c r="L189" s="4">
        <f t="shared" si="14"/>
        <v>30</v>
      </c>
      <c r="N189" s="12">
        <f t="shared" si="15"/>
        <v>7437500</v>
      </c>
      <c r="O189" s="12">
        <f t="shared" si="16"/>
        <v>42840000</v>
      </c>
      <c r="P189" s="12">
        <f t="shared" si="17"/>
        <v>11900</v>
      </c>
    </row>
    <row r="190" spans="1:16" x14ac:dyDescent="0.25">
      <c r="A190" s="3">
        <v>189</v>
      </c>
      <c r="B190" s="3">
        <v>198</v>
      </c>
      <c r="C190" s="3">
        <v>199</v>
      </c>
      <c r="D190" s="2">
        <v>12280</v>
      </c>
      <c r="E190" s="2">
        <f t="shared" si="12"/>
        <v>5492.5</v>
      </c>
      <c r="F190" s="2">
        <v>2380</v>
      </c>
      <c r="G190" s="2">
        <f t="shared" si="13"/>
        <v>991.66666666666674</v>
      </c>
      <c r="H190" s="4">
        <f>VLOOKUP(B190,nodes!A:D,2,0)</f>
        <v>240</v>
      </c>
      <c r="I190" s="4">
        <f>VLOOKUP(B190,nodes!A:D,4,0)</f>
        <v>30</v>
      </c>
      <c r="J190" s="4">
        <f>VLOOKUP(C190,nodes!A:D,2,0)</f>
        <v>270</v>
      </c>
      <c r="K190" s="4">
        <f>VLOOKUP(C190,nodes!A:D,4,0)</f>
        <v>30</v>
      </c>
      <c r="L190" s="4">
        <f t="shared" si="14"/>
        <v>30</v>
      </c>
      <c r="N190" s="12">
        <f t="shared" si="15"/>
        <v>7437500</v>
      </c>
      <c r="O190" s="12">
        <f t="shared" si="16"/>
        <v>42840000</v>
      </c>
      <c r="P190" s="12">
        <f t="shared" si="17"/>
        <v>11900</v>
      </c>
    </row>
    <row r="191" spans="1:16" x14ac:dyDescent="0.25">
      <c r="A191" s="3">
        <v>190</v>
      </c>
      <c r="B191" s="3">
        <v>199</v>
      </c>
      <c r="C191" s="3">
        <v>200</v>
      </c>
      <c r="D191" s="2">
        <v>12280</v>
      </c>
      <c r="E191" s="2">
        <f t="shared" si="12"/>
        <v>5492.5</v>
      </c>
      <c r="F191" s="2">
        <v>2380</v>
      </c>
      <c r="G191" s="2">
        <f t="shared" si="13"/>
        <v>991.66666666666674</v>
      </c>
      <c r="H191" s="4">
        <f>VLOOKUP(B191,nodes!A:D,2,0)</f>
        <v>270</v>
      </c>
      <c r="I191" s="4">
        <f>VLOOKUP(B191,nodes!A:D,4,0)</f>
        <v>30</v>
      </c>
      <c r="J191" s="4">
        <f>VLOOKUP(C191,nodes!A:D,2,0)</f>
        <v>300</v>
      </c>
      <c r="K191" s="4">
        <f>VLOOKUP(C191,nodes!A:D,4,0)</f>
        <v>30</v>
      </c>
      <c r="L191" s="4">
        <f t="shared" si="14"/>
        <v>30</v>
      </c>
      <c r="N191" s="12">
        <f t="shared" si="15"/>
        <v>7437500</v>
      </c>
      <c r="O191" s="12">
        <f t="shared" si="16"/>
        <v>42840000</v>
      </c>
      <c r="P191" s="12">
        <f t="shared" si="17"/>
        <v>11900</v>
      </c>
    </row>
    <row r="192" spans="1:16" x14ac:dyDescent="0.25">
      <c r="A192" s="3">
        <v>191</v>
      </c>
      <c r="B192" s="3">
        <v>200</v>
      </c>
      <c r="C192" s="3">
        <v>201</v>
      </c>
      <c r="D192" s="2">
        <v>12280</v>
      </c>
      <c r="E192" s="2">
        <f t="shared" si="12"/>
        <v>5492.5</v>
      </c>
      <c r="F192" s="2">
        <v>2380</v>
      </c>
      <c r="G192" s="2">
        <f t="shared" si="13"/>
        <v>991.66666666666674</v>
      </c>
      <c r="H192" s="4">
        <f>VLOOKUP(B192,nodes!A:D,2,0)</f>
        <v>300</v>
      </c>
      <c r="I192" s="4">
        <f>VLOOKUP(B192,nodes!A:D,4,0)</f>
        <v>30</v>
      </c>
      <c r="J192" s="4">
        <f>VLOOKUP(C192,nodes!A:D,2,0)</f>
        <v>330</v>
      </c>
      <c r="K192" s="4">
        <f>VLOOKUP(C192,nodes!A:D,4,0)</f>
        <v>30</v>
      </c>
      <c r="L192" s="4">
        <f t="shared" si="14"/>
        <v>30</v>
      </c>
      <c r="N192" s="12">
        <f t="shared" si="15"/>
        <v>7437500</v>
      </c>
      <c r="O192" s="12">
        <f t="shared" si="16"/>
        <v>42840000</v>
      </c>
      <c r="P192" s="12">
        <f t="shared" si="17"/>
        <v>11900</v>
      </c>
    </row>
    <row r="193" spans="1:16" x14ac:dyDescent="0.25">
      <c r="A193" s="3">
        <v>192</v>
      </c>
      <c r="B193" s="3">
        <v>201</v>
      </c>
      <c r="C193" s="3">
        <v>202</v>
      </c>
      <c r="D193" s="2">
        <v>12280</v>
      </c>
      <c r="E193" s="2">
        <f t="shared" si="12"/>
        <v>5492.5</v>
      </c>
      <c r="F193" s="2">
        <v>2380</v>
      </c>
      <c r="G193" s="2">
        <f t="shared" si="13"/>
        <v>991.66666666666674</v>
      </c>
      <c r="H193" s="4">
        <f>VLOOKUP(B193,nodes!A:D,2,0)</f>
        <v>330</v>
      </c>
      <c r="I193" s="4">
        <f>VLOOKUP(B193,nodes!A:D,4,0)</f>
        <v>30</v>
      </c>
      <c r="J193" s="4">
        <f>VLOOKUP(C193,nodes!A:D,2,0)</f>
        <v>360</v>
      </c>
      <c r="K193" s="4">
        <f>VLOOKUP(C193,nodes!A:D,4,0)</f>
        <v>30</v>
      </c>
      <c r="L193" s="4">
        <f t="shared" si="14"/>
        <v>30</v>
      </c>
      <c r="N193" s="12">
        <f t="shared" si="15"/>
        <v>7437500</v>
      </c>
      <c r="O193" s="12">
        <f t="shared" si="16"/>
        <v>42840000</v>
      </c>
      <c r="P193" s="12">
        <f t="shared" si="17"/>
        <v>11900</v>
      </c>
    </row>
    <row r="194" spans="1:16" x14ac:dyDescent="0.25">
      <c r="A194" s="3">
        <v>193</v>
      </c>
      <c r="B194" s="3">
        <v>202</v>
      </c>
      <c r="C194" s="3">
        <v>203</v>
      </c>
      <c r="D194" s="2">
        <v>12280</v>
      </c>
      <c r="E194" s="2">
        <f t="shared" si="12"/>
        <v>5492.5</v>
      </c>
      <c r="F194" s="2">
        <v>2380</v>
      </c>
      <c r="G194" s="2">
        <f t="shared" si="13"/>
        <v>991.66666666666674</v>
      </c>
      <c r="H194" s="4">
        <f>VLOOKUP(B194,nodes!A:D,2,0)</f>
        <v>360</v>
      </c>
      <c r="I194" s="4">
        <f>VLOOKUP(B194,nodes!A:D,4,0)</f>
        <v>30</v>
      </c>
      <c r="J194" s="4">
        <f>VLOOKUP(C194,nodes!A:D,2,0)</f>
        <v>390</v>
      </c>
      <c r="K194" s="4">
        <f>VLOOKUP(C194,nodes!A:D,4,0)</f>
        <v>30</v>
      </c>
      <c r="L194" s="4">
        <f t="shared" si="14"/>
        <v>30</v>
      </c>
      <c r="N194" s="12">
        <f t="shared" si="15"/>
        <v>7437500</v>
      </c>
      <c r="O194" s="12">
        <f t="shared" si="16"/>
        <v>42840000</v>
      </c>
      <c r="P194" s="12">
        <f t="shared" si="17"/>
        <v>11900</v>
      </c>
    </row>
    <row r="195" spans="1:16" x14ac:dyDescent="0.25">
      <c r="A195" s="3">
        <v>194</v>
      </c>
      <c r="B195" s="3">
        <v>203</v>
      </c>
      <c r="C195" s="3">
        <v>204</v>
      </c>
      <c r="D195" s="2">
        <v>12280</v>
      </c>
      <c r="E195" s="2">
        <f t="shared" ref="E195:E258" si="18">(30*13^3)/12</f>
        <v>5492.5</v>
      </c>
      <c r="F195" s="2">
        <v>2380</v>
      </c>
      <c r="G195" s="2">
        <f t="shared" ref="G195:G258" si="19">F195/(2*(1+0.2))</f>
        <v>991.66666666666674</v>
      </c>
      <c r="H195" s="4">
        <f>VLOOKUP(B195,nodes!A:D,2,0)</f>
        <v>390</v>
      </c>
      <c r="I195" s="4">
        <f>VLOOKUP(B195,nodes!A:D,4,0)</f>
        <v>30</v>
      </c>
      <c r="J195" s="4">
        <f>VLOOKUP(C195,nodes!A:D,2,0)</f>
        <v>420</v>
      </c>
      <c r="K195" s="4">
        <f>VLOOKUP(C195,nodes!A:D,4,0)</f>
        <v>30</v>
      </c>
      <c r="L195" s="4">
        <f t="shared" ref="L195:L258" si="20">((J195-H195)^2+(K195-I195)^2)^0.5</f>
        <v>30</v>
      </c>
      <c r="N195" s="12">
        <f t="shared" ref="N195:N258" si="21">12*2380*60*(25^3)/(300*12)</f>
        <v>7437500</v>
      </c>
      <c r="O195" s="12">
        <f t="shared" ref="O195:O258" si="22">12*2380*25*(60^3)/(300*12)</f>
        <v>42840000</v>
      </c>
      <c r="P195" s="12">
        <f t="shared" ref="P195:P258" si="23">2380*25*60/300</f>
        <v>11900</v>
      </c>
    </row>
    <row r="196" spans="1:16" x14ac:dyDescent="0.25">
      <c r="A196" s="3">
        <v>195</v>
      </c>
      <c r="B196" s="3">
        <v>204</v>
      </c>
      <c r="C196" s="3">
        <v>205</v>
      </c>
      <c r="D196" s="2">
        <v>12280</v>
      </c>
      <c r="E196" s="2">
        <f t="shared" si="18"/>
        <v>5492.5</v>
      </c>
      <c r="F196" s="2">
        <v>2380</v>
      </c>
      <c r="G196" s="2">
        <f t="shared" si="19"/>
        <v>991.66666666666674</v>
      </c>
      <c r="H196" s="4">
        <f>VLOOKUP(B196,nodes!A:D,2,0)</f>
        <v>420</v>
      </c>
      <c r="I196" s="4">
        <f>VLOOKUP(B196,nodes!A:D,4,0)</f>
        <v>30</v>
      </c>
      <c r="J196" s="4">
        <f>VLOOKUP(C196,nodes!A:D,2,0)</f>
        <v>450</v>
      </c>
      <c r="K196" s="4">
        <f>VLOOKUP(C196,nodes!A:D,4,0)</f>
        <v>30</v>
      </c>
      <c r="L196" s="4">
        <f t="shared" si="20"/>
        <v>30</v>
      </c>
      <c r="N196" s="12">
        <f t="shared" si="21"/>
        <v>7437500</v>
      </c>
      <c r="O196" s="12">
        <f t="shared" si="22"/>
        <v>42840000</v>
      </c>
      <c r="P196" s="12">
        <f t="shared" si="23"/>
        <v>11900</v>
      </c>
    </row>
    <row r="197" spans="1:16" x14ac:dyDescent="0.25">
      <c r="A197" s="3">
        <v>196</v>
      </c>
      <c r="B197" s="3">
        <v>205</v>
      </c>
      <c r="C197" s="3">
        <v>206</v>
      </c>
      <c r="D197" s="2">
        <v>12280</v>
      </c>
      <c r="E197" s="2">
        <f t="shared" si="18"/>
        <v>5492.5</v>
      </c>
      <c r="F197" s="2">
        <v>2380</v>
      </c>
      <c r="G197" s="2">
        <f t="shared" si="19"/>
        <v>991.66666666666674</v>
      </c>
      <c r="H197" s="4">
        <f>VLOOKUP(B197,nodes!A:D,2,0)</f>
        <v>450</v>
      </c>
      <c r="I197" s="4">
        <f>VLOOKUP(B197,nodes!A:D,4,0)</f>
        <v>30</v>
      </c>
      <c r="J197" s="4">
        <f>VLOOKUP(C197,nodes!A:D,2,0)</f>
        <v>480</v>
      </c>
      <c r="K197" s="4">
        <f>VLOOKUP(C197,nodes!A:D,4,0)</f>
        <v>30</v>
      </c>
      <c r="L197" s="4">
        <f t="shared" si="20"/>
        <v>30</v>
      </c>
      <c r="N197" s="12">
        <f t="shared" si="21"/>
        <v>7437500</v>
      </c>
      <c r="O197" s="12">
        <f t="shared" si="22"/>
        <v>42840000</v>
      </c>
      <c r="P197" s="12">
        <f t="shared" si="23"/>
        <v>11900</v>
      </c>
    </row>
    <row r="198" spans="1:16" x14ac:dyDescent="0.25">
      <c r="A198" s="3">
        <v>197</v>
      </c>
      <c r="B198" s="3">
        <v>206</v>
      </c>
      <c r="C198" s="3">
        <v>207</v>
      </c>
      <c r="D198" s="2">
        <v>12280</v>
      </c>
      <c r="E198" s="2">
        <f t="shared" si="18"/>
        <v>5492.5</v>
      </c>
      <c r="F198" s="2">
        <v>2380</v>
      </c>
      <c r="G198" s="2">
        <f t="shared" si="19"/>
        <v>991.66666666666674</v>
      </c>
      <c r="H198" s="4">
        <f>VLOOKUP(B198,nodes!A:D,2,0)</f>
        <v>480</v>
      </c>
      <c r="I198" s="4">
        <f>VLOOKUP(B198,nodes!A:D,4,0)</f>
        <v>30</v>
      </c>
      <c r="J198" s="4">
        <f>VLOOKUP(C198,nodes!A:D,2,0)</f>
        <v>509.99999999999994</v>
      </c>
      <c r="K198" s="4">
        <f>VLOOKUP(C198,nodes!A:D,4,0)</f>
        <v>30</v>
      </c>
      <c r="L198" s="4">
        <f t="shared" si="20"/>
        <v>29.999999999999943</v>
      </c>
      <c r="N198" s="12">
        <f t="shared" si="21"/>
        <v>7437500</v>
      </c>
      <c r="O198" s="12">
        <f t="shared" si="22"/>
        <v>42840000</v>
      </c>
      <c r="P198" s="12">
        <f t="shared" si="23"/>
        <v>11900</v>
      </c>
    </row>
    <row r="199" spans="1:16" x14ac:dyDescent="0.25">
      <c r="A199" s="3">
        <v>198</v>
      </c>
      <c r="B199" s="3">
        <v>207</v>
      </c>
      <c r="C199" s="3">
        <v>208</v>
      </c>
      <c r="D199" s="2">
        <v>12280</v>
      </c>
      <c r="E199" s="2">
        <f t="shared" si="18"/>
        <v>5492.5</v>
      </c>
      <c r="F199" s="2">
        <v>2380</v>
      </c>
      <c r="G199" s="2">
        <f t="shared" si="19"/>
        <v>991.66666666666674</v>
      </c>
      <c r="H199" s="4">
        <f>VLOOKUP(B199,nodes!A:D,2,0)</f>
        <v>509.99999999999994</v>
      </c>
      <c r="I199" s="4">
        <f>VLOOKUP(B199,nodes!A:D,4,0)</f>
        <v>30</v>
      </c>
      <c r="J199" s="4">
        <f>VLOOKUP(C199,nodes!A:D,2,0)</f>
        <v>540</v>
      </c>
      <c r="K199" s="4">
        <f>VLOOKUP(C199,nodes!A:D,4,0)</f>
        <v>30</v>
      </c>
      <c r="L199" s="4">
        <f t="shared" si="20"/>
        <v>30.000000000000057</v>
      </c>
      <c r="N199" s="12">
        <f t="shared" si="21"/>
        <v>7437500</v>
      </c>
      <c r="O199" s="12">
        <f t="shared" si="22"/>
        <v>42840000</v>
      </c>
      <c r="P199" s="12">
        <f t="shared" si="23"/>
        <v>11900</v>
      </c>
    </row>
    <row r="200" spans="1:16" x14ac:dyDescent="0.25">
      <c r="A200" s="3">
        <v>199</v>
      </c>
      <c r="B200" s="3">
        <v>208</v>
      </c>
      <c r="C200" s="3">
        <v>209</v>
      </c>
      <c r="D200" s="2">
        <v>12280</v>
      </c>
      <c r="E200" s="2">
        <f t="shared" si="18"/>
        <v>5492.5</v>
      </c>
      <c r="F200" s="2">
        <v>2380</v>
      </c>
      <c r="G200" s="2">
        <f t="shared" si="19"/>
        <v>991.66666666666674</v>
      </c>
      <c r="H200" s="4">
        <f>VLOOKUP(B200,nodes!A:D,2,0)</f>
        <v>540</v>
      </c>
      <c r="I200" s="4">
        <f>VLOOKUP(B200,nodes!A:D,4,0)</f>
        <v>30</v>
      </c>
      <c r="J200" s="4">
        <f>VLOOKUP(C200,nodes!A:D,2,0)</f>
        <v>570</v>
      </c>
      <c r="K200" s="4">
        <f>VLOOKUP(C200,nodes!A:D,4,0)</f>
        <v>30</v>
      </c>
      <c r="L200" s="4">
        <f t="shared" si="20"/>
        <v>30</v>
      </c>
      <c r="N200" s="12">
        <f t="shared" si="21"/>
        <v>7437500</v>
      </c>
      <c r="O200" s="12">
        <f t="shared" si="22"/>
        <v>42840000</v>
      </c>
      <c r="P200" s="12">
        <f t="shared" si="23"/>
        <v>11900</v>
      </c>
    </row>
    <row r="201" spans="1:16" x14ac:dyDescent="0.25">
      <c r="A201" s="3">
        <v>200</v>
      </c>
      <c r="B201" s="3">
        <v>209</v>
      </c>
      <c r="C201" s="3">
        <v>210</v>
      </c>
      <c r="D201" s="2">
        <v>12280</v>
      </c>
      <c r="E201" s="2">
        <f t="shared" si="18"/>
        <v>5492.5</v>
      </c>
      <c r="F201" s="2">
        <v>2380</v>
      </c>
      <c r="G201" s="2">
        <f t="shared" si="19"/>
        <v>991.66666666666674</v>
      </c>
      <c r="H201" s="4">
        <f>VLOOKUP(B201,nodes!A:D,2,0)</f>
        <v>570</v>
      </c>
      <c r="I201" s="4">
        <f>VLOOKUP(B201,nodes!A:D,4,0)</f>
        <v>30</v>
      </c>
      <c r="J201" s="4">
        <f>VLOOKUP(C201,nodes!A:D,2,0)</f>
        <v>600</v>
      </c>
      <c r="K201" s="4">
        <f>VLOOKUP(C201,nodes!A:D,4,0)</f>
        <v>30</v>
      </c>
      <c r="L201" s="4">
        <f t="shared" si="20"/>
        <v>30</v>
      </c>
      <c r="N201" s="12">
        <f t="shared" si="21"/>
        <v>7437500</v>
      </c>
      <c r="O201" s="12">
        <f t="shared" si="22"/>
        <v>42840000</v>
      </c>
      <c r="P201" s="12">
        <f t="shared" si="23"/>
        <v>11900</v>
      </c>
    </row>
    <row r="202" spans="1:16" x14ac:dyDescent="0.25">
      <c r="A202" s="3">
        <v>201</v>
      </c>
      <c r="B202" s="3">
        <v>211</v>
      </c>
      <c r="C202" s="3">
        <v>212</v>
      </c>
      <c r="D202" s="2">
        <v>12280</v>
      </c>
      <c r="E202" s="2">
        <f t="shared" si="18"/>
        <v>5492.5</v>
      </c>
      <c r="F202" s="2">
        <v>2380</v>
      </c>
      <c r="G202" s="2">
        <f t="shared" si="19"/>
        <v>991.66666666666674</v>
      </c>
      <c r="H202" s="4">
        <f>VLOOKUP(B202,nodes!A:D,2,0)</f>
        <v>0</v>
      </c>
      <c r="I202" s="4">
        <f>VLOOKUP(B202,nodes!A:D,4,0)</f>
        <v>0</v>
      </c>
      <c r="J202" s="4">
        <f>VLOOKUP(C202,nodes!A:D,2,0)</f>
        <v>30</v>
      </c>
      <c r="K202" s="4">
        <f>VLOOKUP(C202,nodes!A:D,4,0)</f>
        <v>0</v>
      </c>
      <c r="L202" s="4">
        <f t="shared" si="20"/>
        <v>30</v>
      </c>
      <c r="N202" s="12">
        <f t="shared" si="21"/>
        <v>7437500</v>
      </c>
      <c r="O202" s="12">
        <f t="shared" si="22"/>
        <v>42840000</v>
      </c>
      <c r="P202" s="12">
        <f t="shared" si="23"/>
        <v>11900</v>
      </c>
    </row>
    <row r="203" spans="1:16" x14ac:dyDescent="0.25">
      <c r="A203" s="3">
        <v>202</v>
      </c>
      <c r="B203" s="3">
        <v>212</v>
      </c>
      <c r="C203" s="3">
        <v>213</v>
      </c>
      <c r="D203" s="2">
        <v>12280</v>
      </c>
      <c r="E203" s="2">
        <f t="shared" si="18"/>
        <v>5492.5</v>
      </c>
      <c r="F203" s="2">
        <v>2380</v>
      </c>
      <c r="G203" s="2">
        <f t="shared" si="19"/>
        <v>991.66666666666674</v>
      </c>
      <c r="H203" s="4">
        <f>VLOOKUP(B203,nodes!A:D,2,0)</f>
        <v>30</v>
      </c>
      <c r="I203" s="4">
        <f>VLOOKUP(B203,nodes!A:D,4,0)</f>
        <v>0</v>
      </c>
      <c r="J203" s="4">
        <f>VLOOKUP(C203,nodes!A:D,2,0)</f>
        <v>60</v>
      </c>
      <c r="K203" s="4">
        <f>VLOOKUP(C203,nodes!A:D,4,0)</f>
        <v>0</v>
      </c>
      <c r="L203" s="4">
        <f t="shared" si="20"/>
        <v>30</v>
      </c>
      <c r="N203" s="12">
        <f t="shared" si="21"/>
        <v>7437500</v>
      </c>
      <c r="O203" s="12">
        <f t="shared" si="22"/>
        <v>42840000</v>
      </c>
      <c r="P203" s="12">
        <f t="shared" si="23"/>
        <v>11900</v>
      </c>
    </row>
    <row r="204" spans="1:16" x14ac:dyDescent="0.25">
      <c r="A204" s="3">
        <v>203</v>
      </c>
      <c r="B204" s="3">
        <v>213</v>
      </c>
      <c r="C204" s="3">
        <v>214</v>
      </c>
      <c r="D204" s="2">
        <v>12280</v>
      </c>
      <c r="E204" s="2">
        <f t="shared" si="18"/>
        <v>5492.5</v>
      </c>
      <c r="F204" s="2">
        <v>2380</v>
      </c>
      <c r="G204" s="2">
        <f t="shared" si="19"/>
        <v>991.66666666666674</v>
      </c>
      <c r="H204" s="4">
        <f>VLOOKUP(B204,nodes!A:D,2,0)</f>
        <v>60</v>
      </c>
      <c r="I204" s="4">
        <f>VLOOKUP(B204,nodes!A:D,4,0)</f>
        <v>0</v>
      </c>
      <c r="J204" s="4">
        <f>VLOOKUP(C204,nodes!A:D,2,0)</f>
        <v>90</v>
      </c>
      <c r="K204" s="4">
        <f>VLOOKUP(C204,nodes!A:D,4,0)</f>
        <v>0</v>
      </c>
      <c r="L204" s="4">
        <f t="shared" si="20"/>
        <v>30</v>
      </c>
      <c r="N204" s="12">
        <f t="shared" si="21"/>
        <v>7437500</v>
      </c>
      <c r="O204" s="12">
        <f t="shared" si="22"/>
        <v>42840000</v>
      </c>
      <c r="P204" s="12">
        <f t="shared" si="23"/>
        <v>11900</v>
      </c>
    </row>
    <row r="205" spans="1:16" x14ac:dyDescent="0.25">
      <c r="A205" s="3">
        <v>204</v>
      </c>
      <c r="B205" s="3">
        <v>214</v>
      </c>
      <c r="C205" s="3">
        <v>215</v>
      </c>
      <c r="D205" s="2">
        <v>12280</v>
      </c>
      <c r="E205" s="2">
        <f t="shared" si="18"/>
        <v>5492.5</v>
      </c>
      <c r="F205" s="2">
        <v>2380</v>
      </c>
      <c r="G205" s="2">
        <f t="shared" si="19"/>
        <v>991.66666666666674</v>
      </c>
      <c r="H205" s="4">
        <f>VLOOKUP(B205,nodes!A:D,2,0)</f>
        <v>90</v>
      </c>
      <c r="I205" s="4">
        <f>VLOOKUP(B205,nodes!A:D,4,0)</f>
        <v>0</v>
      </c>
      <c r="J205" s="4">
        <f>VLOOKUP(C205,nodes!A:D,2,0)</f>
        <v>120</v>
      </c>
      <c r="K205" s="4">
        <f>VLOOKUP(C205,nodes!A:D,4,0)</f>
        <v>0</v>
      </c>
      <c r="L205" s="4">
        <f t="shared" si="20"/>
        <v>30</v>
      </c>
      <c r="N205" s="12">
        <f t="shared" si="21"/>
        <v>7437500</v>
      </c>
      <c r="O205" s="12">
        <f t="shared" si="22"/>
        <v>42840000</v>
      </c>
      <c r="P205" s="12">
        <f t="shared" si="23"/>
        <v>11900</v>
      </c>
    </row>
    <row r="206" spans="1:16" x14ac:dyDescent="0.25">
      <c r="A206" s="3">
        <v>205</v>
      </c>
      <c r="B206" s="3">
        <v>215</v>
      </c>
      <c r="C206" s="3">
        <v>216</v>
      </c>
      <c r="D206" s="2">
        <v>12280</v>
      </c>
      <c r="E206" s="2">
        <f t="shared" si="18"/>
        <v>5492.5</v>
      </c>
      <c r="F206" s="2">
        <v>2380</v>
      </c>
      <c r="G206" s="2">
        <f t="shared" si="19"/>
        <v>991.66666666666674</v>
      </c>
      <c r="H206" s="4">
        <f>VLOOKUP(B206,nodes!A:D,2,0)</f>
        <v>120</v>
      </c>
      <c r="I206" s="4">
        <f>VLOOKUP(B206,nodes!A:D,4,0)</f>
        <v>0</v>
      </c>
      <c r="J206" s="4">
        <f>VLOOKUP(C206,nodes!A:D,2,0)</f>
        <v>150</v>
      </c>
      <c r="K206" s="4">
        <f>VLOOKUP(C206,nodes!A:D,4,0)</f>
        <v>0</v>
      </c>
      <c r="L206" s="4">
        <f t="shared" si="20"/>
        <v>30</v>
      </c>
      <c r="N206" s="12">
        <f t="shared" si="21"/>
        <v>7437500</v>
      </c>
      <c r="O206" s="12">
        <f t="shared" si="22"/>
        <v>42840000</v>
      </c>
      <c r="P206" s="12">
        <f t="shared" si="23"/>
        <v>11900</v>
      </c>
    </row>
    <row r="207" spans="1:16" x14ac:dyDescent="0.25">
      <c r="A207" s="3">
        <v>206</v>
      </c>
      <c r="B207" s="3">
        <v>216</v>
      </c>
      <c r="C207" s="3">
        <v>217</v>
      </c>
      <c r="D207" s="2">
        <v>12280</v>
      </c>
      <c r="E207" s="2">
        <f t="shared" si="18"/>
        <v>5492.5</v>
      </c>
      <c r="F207" s="2">
        <v>2380</v>
      </c>
      <c r="G207" s="2">
        <f t="shared" si="19"/>
        <v>991.66666666666674</v>
      </c>
      <c r="H207" s="4">
        <f>VLOOKUP(B207,nodes!A:D,2,0)</f>
        <v>150</v>
      </c>
      <c r="I207" s="4">
        <f>VLOOKUP(B207,nodes!A:D,4,0)</f>
        <v>0</v>
      </c>
      <c r="J207" s="4">
        <f>VLOOKUP(C207,nodes!A:D,2,0)</f>
        <v>180</v>
      </c>
      <c r="K207" s="4">
        <f>VLOOKUP(C207,nodes!A:D,4,0)</f>
        <v>0</v>
      </c>
      <c r="L207" s="4">
        <f t="shared" si="20"/>
        <v>30</v>
      </c>
      <c r="N207" s="12">
        <f t="shared" si="21"/>
        <v>7437500</v>
      </c>
      <c r="O207" s="12">
        <f t="shared" si="22"/>
        <v>42840000</v>
      </c>
      <c r="P207" s="12">
        <f t="shared" si="23"/>
        <v>11900</v>
      </c>
    </row>
    <row r="208" spans="1:16" x14ac:dyDescent="0.25">
      <c r="A208" s="3">
        <v>207</v>
      </c>
      <c r="B208" s="3">
        <v>217</v>
      </c>
      <c r="C208" s="3">
        <v>218</v>
      </c>
      <c r="D208" s="2">
        <v>12280</v>
      </c>
      <c r="E208" s="2">
        <f t="shared" si="18"/>
        <v>5492.5</v>
      </c>
      <c r="F208" s="2">
        <v>2380</v>
      </c>
      <c r="G208" s="2">
        <f t="shared" si="19"/>
        <v>991.66666666666674</v>
      </c>
      <c r="H208" s="4">
        <f>VLOOKUP(B208,nodes!A:D,2,0)</f>
        <v>180</v>
      </c>
      <c r="I208" s="4">
        <f>VLOOKUP(B208,nodes!A:D,4,0)</f>
        <v>0</v>
      </c>
      <c r="J208" s="4">
        <f>VLOOKUP(C208,nodes!A:D,2,0)</f>
        <v>210</v>
      </c>
      <c r="K208" s="4">
        <f>VLOOKUP(C208,nodes!A:D,4,0)</f>
        <v>0</v>
      </c>
      <c r="L208" s="4">
        <f t="shared" si="20"/>
        <v>30</v>
      </c>
      <c r="N208" s="12">
        <f t="shared" si="21"/>
        <v>7437500</v>
      </c>
      <c r="O208" s="12">
        <f t="shared" si="22"/>
        <v>42840000</v>
      </c>
      <c r="P208" s="12">
        <f t="shared" si="23"/>
        <v>11900</v>
      </c>
    </row>
    <row r="209" spans="1:16" x14ac:dyDescent="0.25">
      <c r="A209" s="3">
        <v>208</v>
      </c>
      <c r="B209" s="3">
        <v>218</v>
      </c>
      <c r="C209" s="3">
        <v>219</v>
      </c>
      <c r="D209" s="2">
        <v>12280</v>
      </c>
      <c r="E209" s="2">
        <f t="shared" si="18"/>
        <v>5492.5</v>
      </c>
      <c r="F209" s="2">
        <v>2380</v>
      </c>
      <c r="G209" s="2">
        <f t="shared" si="19"/>
        <v>991.66666666666674</v>
      </c>
      <c r="H209" s="4">
        <f>VLOOKUP(B209,nodes!A:D,2,0)</f>
        <v>210</v>
      </c>
      <c r="I209" s="4">
        <f>VLOOKUP(B209,nodes!A:D,4,0)</f>
        <v>0</v>
      </c>
      <c r="J209" s="4">
        <f>VLOOKUP(C209,nodes!A:D,2,0)</f>
        <v>240</v>
      </c>
      <c r="K209" s="4">
        <f>VLOOKUP(C209,nodes!A:D,4,0)</f>
        <v>0</v>
      </c>
      <c r="L209" s="4">
        <f t="shared" si="20"/>
        <v>30</v>
      </c>
      <c r="N209" s="12">
        <f t="shared" si="21"/>
        <v>7437500</v>
      </c>
      <c r="O209" s="12">
        <f t="shared" si="22"/>
        <v>42840000</v>
      </c>
      <c r="P209" s="12">
        <f t="shared" si="23"/>
        <v>11900</v>
      </c>
    </row>
    <row r="210" spans="1:16" x14ac:dyDescent="0.25">
      <c r="A210" s="3">
        <v>209</v>
      </c>
      <c r="B210" s="3">
        <v>219</v>
      </c>
      <c r="C210" s="3">
        <v>220</v>
      </c>
      <c r="D210" s="2">
        <v>12280</v>
      </c>
      <c r="E210" s="2">
        <f t="shared" si="18"/>
        <v>5492.5</v>
      </c>
      <c r="F210" s="2">
        <v>2380</v>
      </c>
      <c r="G210" s="2">
        <f t="shared" si="19"/>
        <v>991.66666666666674</v>
      </c>
      <c r="H210" s="4">
        <f>VLOOKUP(B210,nodes!A:D,2,0)</f>
        <v>240</v>
      </c>
      <c r="I210" s="4">
        <f>VLOOKUP(B210,nodes!A:D,4,0)</f>
        <v>0</v>
      </c>
      <c r="J210" s="4">
        <f>VLOOKUP(C210,nodes!A:D,2,0)</f>
        <v>270</v>
      </c>
      <c r="K210" s="4">
        <f>VLOOKUP(C210,nodes!A:D,4,0)</f>
        <v>0</v>
      </c>
      <c r="L210" s="4">
        <f t="shared" si="20"/>
        <v>30</v>
      </c>
      <c r="N210" s="12">
        <f t="shared" si="21"/>
        <v>7437500</v>
      </c>
      <c r="O210" s="12">
        <f t="shared" si="22"/>
        <v>42840000</v>
      </c>
      <c r="P210" s="12">
        <f t="shared" si="23"/>
        <v>11900</v>
      </c>
    </row>
    <row r="211" spans="1:16" x14ac:dyDescent="0.25">
      <c r="A211" s="3">
        <v>210</v>
      </c>
      <c r="B211" s="3">
        <v>220</v>
      </c>
      <c r="C211" s="3">
        <v>221</v>
      </c>
      <c r="D211" s="2">
        <v>12280</v>
      </c>
      <c r="E211" s="2">
        <f t="shared" si="18"/>
        <v>5492.5</v>
      </c>
      <c r="F211" s="2">
        <v>2380</v>
      </c>
      <c r="G211" s="2">
        <f t="shared" si="19"/>
        <v>991.66666666666674</v>
      </c>
      <c r="H211" s="4">
        <f>VLOOKUP(B211,nodes!A:D,2,0)</f>
        <v>270</v>
      </c>
      <c r="I211" s="4">
        <f>VLOOKUP(B211,nodes!A:D,4,0)</f>
        <v>0</v>
      </c>
      <c r="J211" s="4">
        <f>VLOOKUP(C211,nodes!A:D,2,0)</f>
        <v>300</v>
      </c>
      <c r="K211" s="4">
        <f>VLOOKUP(C211,nodes!A:D,4,0)</f>
        <v>0</v>
      </c>
      <c r="L211" s="4">
        <f t="shared" si="20"/>
        <v>30</v>
      </c>
      <c r="N211" s="12">
        <f t="shared" si="21"/>
        <v>7437500</v>
      </c>
      <c r="O211" s="12">
        <f t="shared" si="22"/>
        <v>42840000</v>
      </c>
      <c r="P211" s="12">
        <f t="shared" si="23"/>
        <v>11900</v>
      </c>
    </row>
    <row r="212" spans="1:16" x14ac:dyDescent="0.25">
      <c r="A212" s="3">
        <v>211</v>
      </c>
      <c r="B212" s="3">
        <v>221</v>
      </c>
      <c r="C212" s="3">
        <v>222</v>
      </c>
      <c r="D212" s="2">
        <v>12280</v>
      </c>
      <c r="E212" s="2">
        <f t="shared" si="18"/>
        <v>5492.5</v>
      </c>
      <c r="F212" s="2">
        <v>2380</v>
      </c>
      <c r="G212" s="2">
        <f t="shared" si="19"/>
        <v>991.66666666666674</v>
      </c>
      <c r="H212" s="4">
        <f>VLOOKUP(B212,nodes!A:D,2,0)</f>
        <v>300</v>
      </c>
      <c r="I212" s="4">
        <f>VLOOKUP(B212,nodes!A:D,4,0)</f>
        <v>0</v>
      </c>
      <c r="J212" s="4">
        <f>VLOOKUP(C212,nodes!A:D,2,0)</f>
        <v>330</v>
      </c>
      <c r="K212" s="4">
        <f>VLOOKUP(C212,nodes!A:D,4,0)</f>
        <v>0</v>
      </c>
      <c r="L212" s="4">
        <f t="shared" si="20"/>
        <v>30</v>
      </c>
      <c r="N212" s="12">
        <f t="shared" si="21"/>
        <v>7437500</v>
      </c>
      <c r="O212" s="12">
        <f t="shared" si="22"/>
        <v>42840000</v>
      </c>
      <c r="P212" s="12">
        <f t="shared" si="23"/>
        <v>11900</v>
      </c>
    </row>
    <row r="213" spans="1:16" x14ac:dyDescent="0.25">
      <c r="A213" s="3">
        <v>212</v>
      </c>
      <c r="B213" s="3">
        <v>222</v>
      </c>
      <c r="C213" s="3">
        <v>223</v>
      </c>
      <c r="D213" s="2">
        <v>12280</v>
      </c>
      <c r="E213" s="2">
        <f t="shared" si="18"/>
        <v>5492.5</v>
      </c>
      <c r="F213" s="2">
        <v>2380</v>
      </c>
      <c r="G213" s="2">
        <f t="shared" si="19"/>
        <v>991.66666666666674</v>
      </c>
      <c r="H213" s="4">
        <f>VLOOKUP(B213,nodes!A:D,2,0)</f>
        <v>330</v>
      </c>
      <c r="I213" s="4">
        <f>VLOOKUP(B213,nodes!A:D,4,0)</f>
        <v>0</v>
      </c>
      <c r="J213" s="4">
        <f>VLOOKUP(C213,nodes!A:D,2,0)</f>
        <v>360</v>
      </c>
      <c r="K213" s="4">
        <f>VLOOKUP(C213,nodes!A:D,4,0)</f>
        <v>0</v>
      </c>
      <c r="L213" s="4">
        <f t="shared" si="20"/>
        <v>30</v>
      </c>
      <c r="N213" s="12">
        <f t="shared" si="21"/>
        <v>7437500</v>
      </c>
      <c r="O213" s="12">
        <f t="shared" si="22"/>
        <v>42840000</v>
      </c>
      <c r="P213" s="12">
        <f t="shared" si="23"/>
        <v>11900</v>
      </c>
    </row>
    <row r="214" spans="1:16" x14ac:dyDescent="0.25">
      <c r="A214" s="3">
        <v>213</v>
      </c>
      <c r="B214" s="3">
        <v>223</v>
      </c>
      <c r="C214" s="3">
        <v>224</v>
      </c>
      <c r="D214" s="2">
        <v>12280</v>
      </c>
      <c r="E214" s="2">
        <f t="shared" si="18"/>
        <v>5492.5</v>
      </c>
      <c r="F214" s="2">
        <v>2380</v>
      </c>
      <c r="G214" s="2">
        <f t="shared" si="19"/>
        <v>991.66666666666674</v>
      </c>
      <c r="H214" s="4">
        <f>VLOOKUP(B214,nodes!A:D,2,0)</f>
        <v>360</v>
      </c>
      <c r="I214" s="4">
        <f>VLOOKUP(B214,nodes!A:D,4,0)</f>
        <v>0</v>
      </c>
      <c r="J214" s="4">
        <f>VLOOKUP(C214,nodes!A:D,2,0)</f>
        <v>390</v>
      </c>
      <c r="K214" s="4">
        <f>VLOOKUP(C214,nodes!A:D,4,0)</f>
        <v>0</v>
      </c>
      <c r="L214" s="4">
        <f t="shared" si="20"/>
        <v>30</v>
      </c>
      <c r="N214" s="12">
        <f t="shared" si="21"/>
        <v>7437500</v>
      </c>
      <c r="O214" s="12">
        <f t="shared" si="22"/>
        <v>42840000</v>
      </c>
      <c r="P214" s="12">
        <f t="shared" si="23"/>
        <v>11900</v>
      </c>
    </row>
    <row r="215" spans="1:16" x14ac:dyDescent="0.25">
      <c r="A215" s="3">
        <v>214</v>
      </c>
      <c r="B215" s="3">
        <v>224</v>
      </c>
      <c r="C215" s="3">
        <v>225</v>
      </c>
      <c r="D215" s="2">
        <v>12280</v>
      </c>
      <c r="E215" s="2">
        <f t="shared" si="18"/>
        <v>5492.5</v>
      </c>
      <c r="F215" s="2">
        <v>2380</v>
      </c>
      <c r="G215" s="2">
        <f t="shared" si="19"/>
        <v>991.66666666666674</v>
      </c>
      <c r="H215" s="4">
        <f>VLOOKUP(B215,nodes!A:D,2,0)</f>
        <v>390</v>
      </c>
      <c r="I215" s="4">
        <f>VLOOKUP(B215,nodes!A:D,4,0)</f>
        <v>0</v>
      </c>
      <c r="J215" s="4">
        <f>VLOOKUP(C215,nodes!A:D,2,0)</f>
        <v>420</v>
      </c>
      <c r="K215" s="4">
        <f>VLOOKUP(C215,nodes!A:D,4,0)</f>
        <v>0</v>
      </c>
      <c r="L215" s="4">
        <f t="shared" si="20"/>
        <v>30</v>
      </c>
      <c r="N215" s="12">
        <f t="shared" si="21"/>
        <v>7437500</v>
      </c>
      <c r="O215" s="12">
        <f t="shared" si="22"/>
        <v>42840000</v>
      </c>
      <c r="P215" s="12">
        <f t="shared" si="23"/>
        <v>11900</v>
      </c>
    </row>
    <row r="216" spans="1:16" x14ac:dyDescent="0.25">
      <c r="A216" s="3">
        <v>215</v>
      </c>
      <c r="B216" s="3">
        <v>225</v>
      </c>
      <c r="C216" s="3">
        <v>226</v>
      </c>
      <c r="D216" s="2">
        <v>12280</v>
      </c>
      <c r="E216" s="2">
        <f t="shared" si="18"/>
        <v>5492.5</v>
      </c>
      <c r="F216" s="2">
        <v>2380</v>
      </c>
      <c r="G216" s="2">
        <f t="shared" si="19"/>
        <v>991.66666666666674</v>
      </c>
      <c r="H216" s="4">
        <f>VLOOKUP(B216,nodes!A:D,2,0)</f>
        <v>420</v>
      </c>
      <c r="I216" s="4">
        <f>VLOOKUP(B216,nodes!A:D,4,0)</f>
        <v>0</v>
      </c>
      <c r="J216" s="4">
        <f>VLOOKUP(C216,nodes!A:D,2,0)</f>
        <v>450</v>
      </c>
      <c r="K216" s="4">
        <f>VLOOKUP(C216,nodes!A:D,4,0)</f>
        <v>0</v>
      </c>
      <c r="L216" s="4">
        <f t="shared" si="20"/>
        <v>30</v>
      </c>
      <c r="N216" s="12">
        <f t="shared" si="21"/>
        <v>7437500</v>
      </c>
      <c r="O216" s="12">
        <f t="shared" si="22"/>
        <v>42840000</v>
      </c>
      <c r="P216" s="12">
        <f t="shared" si="23"/>
        <v>11900</v>
      </c>
    </row>
    <row r="217" spans="1:16" x14ac:dyDescent="0.25">
      <c r="A217" s="3">
        <v>216</v>
      </c>
      <c r="B217" s="3">
        <v>226</v>
      </c>
      <c r="C217" s="3">
        <v>227</v>
      </c>
      <c r="D217" s="2">
        <v>12280</v>
      </c>
      <c r="E217" s="2">
        <f t="shared" si="18"/>
        <v>5492.5</v>
      </c>
      <c r="F217" s="2">
        <v>2380</v>
      </c>
      <c r="G217" s="2">
        <f t="shared" si="19"/>
        <v>991.66666666666674</v>
      </c>
      <c r="H217" s="4">
        <f>VLOOKUP(B217,nodes!A:D,2,0)</f>
        <v>450</v>
      </c>
      <c r="I217" s="4">
        <f>VLOOKUP(B217,nodes!A:D,4,0)</f>
        <v>0</v>
      </c>
      <c r="J217" s="4">
        <f>VLOOKUP(C217,nodes!A:D,2,0)</f>
        <v>480</v>
      </c>
      <c r="K217" s="4">
        <f>VLOOKUP(C217,nodes!A:D,4,0)</f>
        <v>0</v>
      </c>
      <c r="L217" s="4">
        <f t="shared" si="20"/>
        <v>30</v>
      </c>
      <c r="N217" s="12">
        <f t="shared" si="21"/>
        <v>7437500</v>
      </c>
      <c r="O217" s="12">
        <f t="shared" si="22"/>
        <v>42840000</v>
      </c>
      <c r="P217" s="12">
        <f t="shared" si="23"/>
        <v>11900</v>
      </c>
    </row>
    <row r="218" spans="1:16" x14ac:dyDescent="0.25">
      <c r="A218" s="3">
        <v>217</v>
      </c>
      <c r="B218" s="3">
        <v>227</v>
      </c>
      <c r="C218" s="3">
        <v>228</v>
      </c>
      <c r="D218" s="2">
        <v>12280</v>
      </c>
      <c r="E218" s="2">
        <f t="shared" si="18"/>
        <v>5492.5</v>
      </c>
      <c r="F218" s="2">
        <v>2380</v>
      </c>
      <c r="G218" s="2">
        <f t="shared" si="19"/>
        <v>991.66666666666674</v>
      </c>
      <c r="H218" s="4">
        <f>VLOOKUP(B218,nodes!A:D,2,0)</f>
        <v>480</v>
      </c>
      <c r="I218" s="4">
        <f>VLOOKUP(B218,nodes!A:D,4,0)</f>
        <v>0</v>
      </c>
      <c r="J218" s="4">
        <f>VLOOKUP(C218,nodes!A:D,2,0)</f>
        <v>509.99999999999994</v>
      </c>
      <c r="K218" s="4">
        <f>VLOOKUP(C218,nodes!A:D,4,0)</f>
        <v>0</v>
      </c>
      <c r="L218" s="4">
        <f t="shared" si="20"/>
        <v>29.999999999999943</v>
      </c>
      <c r="N218" s="12">
        <f t="shared" si="21"/>
        <v>7437500</v>
      </c>
      <c r="O218" s="12">
        <f t="shared" si="22"/>
        <v>42840000</v>
      </c>
      <c r="P218" s="12">
        <f t="shared" si="23"/>
        <v>11900</v>
      </c>
    </row>
    <row r="219" spans="1:16" x14ac:dyDescent="0.25">
      <c r="A219" s="3">
        <v>218</v>
      </c>
      <c r="B219" s="3">
        <v>228</v>
      </c>
      <c r="C219" s="3">
        <v>229</v>
      </c>
      <c r="D219" s="2">
        <v>12280</v>
      </c>
      <c r="E219" s="2">
        <f t="shared" si="18"/>
        <v>5492.5</v>
      </c>
      <c r="F219" s="2">
        <v>2380</v>
      </c>
      <c r="G219" s="2">
        <f t="shared" si="19"/>
        <v>991.66666666666674</v>
      </c>
      <c r="H219" s="4">
        <f>VLOOKUP(B219,nodes!A:D,2,0)</f>
        <v>509.99999999999994</v>
      </c>
      <c r="I219" s="4">
        <f>VLOOKUP(B219,nodes!A:D,4,0)</f>
        <v>0</v>
      </c>
      <c r="J219" s="4">
        <f>VLOOKUP(C219,nodes!A:D,2,0)</f>
        <v>540</v>
      </c>
      <c r="K219" s="4">
        <f>VLOOKUP(C219,nodes!A:D,4,0)</f>
        <v>0</v>
      </c>
      <c r="L219" s="4">
        <f t="shared" si="20"/>
        <v>30.000000000000057</v>
      </c>
      <c r="N219" s="12">
        <f t="shared" si="21"/>
        <v>7437500</v>
      </c>
      <c r="O219" s="12">
        <f t="shared" si="22"/>
        <v>42840000</v>
      </c>
      <c r="P219" s="12">
        <f t="shared" si="23"/>
        <v>11900</v>
      </c>
    </row>
    <row r="220" spans="1:16" x14ac:dyDescent="0.25">
      <c r="A220" s="3">
        <v>219</v>
      </c>
      <c r="B220" s="3">
        <v>229</v>
      </c>
      <c r="C220" s="3">
        <v>230</v>
      </c>
      <c r="D220" s="2">
        <v>12280</v>
      </c>
      <c r="E220" s="2">
        <f t="shared" si="18"/>
        <v>5492.5</v>
      </c>
      <c r="F220" s="2">
        <v>2380</v>
      </c>
      <c r="G220" s="2">
        <f t="shared" si="19"/>
        <v>991.66666666666674</v>
      </c>
      <c r="H220" s="4">
        <f>VLOOKUP(B220,nodes!A:D,2,0)</f>
        <v>540</v>
      </c>
      <c r="I220" s="4">
        <f>VLOOKUP(B220,nodes!A:D,4,0)</f>
        <v>0</v>
      </c>
      <c r="J220" s="4">
        <f>VLOOKUP(C220,nodes!A:D,2,0)</f>
        <v>570</v>
      </c>
      <c r="K220" s="4">
        <f>VLOOKUP(C220,nodes!A:D,4,0)</f>
        <v>0</v>
      </c>
      <c r="L220" s="4">
        <f t="shared" si="20"/>
        <v>30</v>
      </c>
      <c r="N220" s="12">
        <f t="shared" si="21"/>
        <v>7437500</v>
      </c>
      <c r="O220" s="12">
        <f t="shared" si="22"/>
        <v>42840000</v>
      </c>
      <c r="P220" s="12">
        <f t="shared" si="23"/>
        <v>11900</v>
      </c>
    </row>
    <row r="221" spans="1:16" x14ac:dyDescent="0.25">
      <c r="A221" s="3">
        <v>220</v>
      </c>
      <c r="B221" s="3">
        <v>230</v>
      </c>
      <c r="C221" s="3">
        <v>231</v>
      </c>
      <c r="D221" s="2">
        <v>12280</v>
      </c>
      <c r="E221" s="2">
        <f t="shared" si="18"/>
        <v>5492.5</v>
      </c>
      <c r="F221" s="2">
        <v>2380</v>
      </c>
      <c r="G221" s="2">
        <f t="shared" si="19"/>
        <v>991.66666666666674</v>
      </c>
      <c r="H221" s="4">
        <f>VLOOKUP(B221,nodes!A:D,2,0)</f>
        <v>570</v>
      </c>
      <c r="I221" s="4">
        <f>VLOOKUP(B221,nodes!A:D,4,0)</f>
        <v>0</v>
      </c>
      <c r="J221" s="4">
        <f>VLOOKUP(C221,nodes!A:D,2,0)</f>
        <v>600</v>
      </c>
      <c r="K221" s="4">
        <f>VLOOKUP(C221,nodes!A:D,4,0)</f>
        <v>0</v>
      </c>
      <c r="L221" s="4">
        <f t="shared" si="20"/>
        <v>30</v>
      </c>
      <c r="N221" s="12">
        <f t="shared" si="21"/>
        <v>7437500</v>
      </c>
      <c r="O221" s="12">
        <f t="shared" si="22"/>
        <v>42840000</v>
      </c>
      <c r="P221" s="12">
        <f t="shared" si="23"/>
        <v>11900</v>
      </c>
    </row>
    <row r="222" spans="1:16" x14ac:dyDescent="0.25">
      <c r="A222" s="3">
        <v>221</v>
      </c>
      <c r="B222" s="3">
        <v>1</v>
      </c>
      <c r="C222" s="3">
        <v>22</v>
      </c>
      <c r="D222" s="2">
        <v>12280</v>
      </c>
      <c r="E222" s="2">
        <f t="shared" si="18"/>
        <v>5492.5</v>
      </c>
      <c r="F222" s="2">
        <v>2380</v>
      </c>
      <c r="G222" s="2">
        <f t="shared" si="19"/>
        <v>991.66666666666674</v>
      </c>
      <c r="H222" s="4">
        <f>VLOOKUP(B222,nodes!A:D,2,0)</f>
        <v>0</v>
      </c>
      <c r="I222" s="4">
        <f>VLOOKUP(B222,nodes!A:D,4,0)</f>
        <v>300</v>
      </c>
      <c r="J222" s="4">
        <f>VLOOKUP(C222,nodes!A:D,2,0)</f>
        <v>0</v>
      </c>
      <c r="K222" s="4">
        <f>VLOOKUP(C222,nodes!A:D,4,0)</f>
        <v>270</v>
      </c>
      <c r="L222" s="4">
        <f t="shared" si="20"/>
        <v>30</v>
      </c>
      <c r="N222" s="12">
        <f t="shared" si="21"/>
        <v>7437500</v>
      </c>
      <c r="O222" s="12">
        <f t="shared" si="22"/>
        <v>42840000</v>
      </c>
      <c r="P222" s="12">
        <f t="shared" si="23"/>
        <v>11900</v>
      </c>
    </row>
    <row r="223" spans="1:16" x14ac:dyDescent="0.25">
      <c r="A223" s="3">
        <v>222</v>
      </c>
      <c r="B223" s="3">
        <v>22</v>
      </c>
      <c r="C223" s="3">
        <v>43</v>
      </c>
      <c r="D223" s="2">
        <v>12280</v>
      </c>
      <c r="E223" s="2">
        <f t="shared" si="18"/>
        <v>5492.5</v>
      </c>
      <c r="F223" s="2">
        <v>2380</v>
      </c>
      <c r="G223" s="2">
        <f t="shared" si="19"/>
        <v>991.66666666666674</v>
      </c>
      <c r="H223" s="4">
        <f>VLOOKUP(B223,nodes!A:D,2,0)</f>
        <v>0</v>
      </c>
      <c r="I223" s="4">
        <f>VLOOKUP(B223,nodes!A:D,4,0)</f>
        <v>270</v>
      </c>
      <c r="J223" s="4">
        <f>VLOOKUP(C223,nodes!A:D,2,0)</f>
        <v>0</v>
      </c>
      <c r="K223" s="4">
        <f>VLOOKUP(C223,nodes!A:D,4,0)</f>
        <v>240</v>
      </c>
      <c r="L223" s="4">
        <f t="shared" si="20"/>
        <v>30</v>
      </c>
      <c r="N223" s="12">
        <f t="shared" si="21"/>
        <v>7437500</v>
      </c>
      <c r="O223" s="12">
        <f t="shared" si="22"/>
        <v>42840000</v>
      </c>
      <c r="P223" s="12">
        <f t="shared" si="23"/>
        <v>11900</v>
      </c>
    </row>
    <row r="224" spans="1:16" x14ac:dyDescent="0.25">
      <c r="A224" s="3">
        <v>223</v>
      </c>
      <c r="B224" s="3">
        <v>43</v>
      </c>
      <c r="C224" s="3">
        <v>64</v>
      </c>
      <c r="D224" s="2">
        <v>12280</v>
      </c>
      <c r="E224" s="2">
        <f t="shared" si="18"/>
        <v>5492.5</v>
      </c>
      <c r="F224" s="2">
        <v>2380</v>
      </c>
      <c r="G224" s="2">
        <f t="shared" si="19"/>
        <v>991.66666666666674</v>
      </c>
      <c r="H224" s="4">
        <f>VLOOKUP(B224,nodes!A:D,2,0)</f>
        <v>0</v>
      </c>
      <c r="I224" s="4">
        <f>VLOOKUP(B224,nodes!A:D,4,0)</f>
        <v>240</v>
      </c>
      <c r="J224" s="4">
        <f>VLOOKUP(C224,nodes!A:D,2,0)</f>
        <v>0</v>
      </c>
      <c r="K224" s="4">
        <f>VLOOKUP(C224,nodes!A:D,4,0)</f>
        <v>210</v>
      </c>
      <c r="L224" s="4">
        <f t="shared" si="20"/>
        <v>30</v>
      </c>
      <c r="N224" s="12">
        <f t="shared" si="21"/>
        <v>7437500</v>
      </c>
      <c r="O224" s="12">
        <f t="shared" si="22"/>
        <v>42840000</v>
      </c>
      <c r="P224" s="12">
        <f t="shared" si="23"/>
        <v>11900</v>
      </c>
    </row>
    <row r="225" spans="1:16" x14ac:dyDescent="0.25">
      <c r="A225" s="3">
        <v>224</v>
      </c>
      <c r="B225" s="3">
        <v>64</v>
      </c>
      <c r="C225" s="3">
        <v>85</v>
      </c>
      <c r="D225" s="2">
        <v>12280</v>
      </c>
      <c r="E225" s="2">
        <f t="shared" si="18"/>
        <v>5492.5</v>
      </c>
      <c r="F225" s="2">
        <v>2380</v>
      </c>
      <c r="G225" s="2">
        <f t="shared" si="19"/>
        <v>991.66666666666674</v>
      </c>
      <c r="H225" s="4">
        <f>VLOOKUP(B225,nodes!A:D,2,0)</f>
        <v>0</v>
      </c>
      <c r="I225" s="4">
        <f>VLOOKUP(B225,nodes!A:D,4,0)</f>
        <v>210</v>
      </c>
      <c r="J225" s="4">
        <f>VLOOKUP(C225,nodes!A:D,2,0)</f>
        <v>0</v>
      </c>
      <c r="K225" s="4">
        <f>VLOOKUP(C225,nodes!A:D,4,0)</f>
        <v>180</v>
      </c>
      <c r="L225" s="4">
        <f t="shared" si="20"/>
        <v>30</v>
      </c>
      <c r="N225" s="12">
        <f t="shared" si="21"/>
        <v>7437500</v>
      </c>
      <c r="O225" s="12">
        <f t="shared" si="22"/>
        <v>42840000</v>
      </c>
      <c r="P225" s="12">
        <f t="shared" si="23"/>
        <v>11900</v>
      </c>
    </row>
    <row r="226" spans="1:16" x14ac:dyDescent="0.25">
      <c r="A226" s="3">
        <v>225</v>
      </c>
      <c r="B226" s="3">
        <v>85</v>
      </c>
      <c r="C226" s="3">
        <v>106</v>
      </c>
      <c r="D226" s="2">
        <v>12280</v>
      </c>
      <c r="E226" s="2">
        <f t="shared" si="18"/>
        <v>5492.5</v>
      </c>
      <c r="F226" s="2">
        <v>2380</v>
      </c>
      <c r="G226" s="2">
        <f t="shared" si="19"/>
        <v>991.66666666666674</v>
      </c>
      <c r="H226" s="4">
        <f>VLOOKUP(B226,nodes!A:D,2,0)</f>
        <v>0</v>
      </c>
      <c r="I226" s="4">
        <f>VLOOKUP(B226,nodes!A:D,4,0)</f>
        <v>180</v>
      </c>
      <c r="J226" s="4">
        <f>VLOOKUP(C226,nodes!A:D,2,0)</f>
        <v>0</v>
      </c>
      <c r="K226" s="4">
        <f>VLOOKUP(C226,nodes!A:D,4,0)</f>
        <v>150</v>
      </c>
      <c r="L226" s="4">
        <f t="shared" si="20"/>
        <v>30</v>
      </c>
      <c r="N226" s="12">
        <f t="shared" si="21"/>
        <v>7437500</v>
      </c>
      <c r="O226" s="12">
        <f t="shared" si="22"/>
        <v>42840000</v>
      </c>
      <c r="P226" s="12">
        <f t="shared" si="23"/>
        <v>11900</v>
      </c>
    </row>
    <row r="227" spans="1:16" x14ac:dyDescent="0.25">
      <c r="A227" s="3">
        <v>226</v>
      </c>
      <c r="B227" s="3">
        <v>106</v>
      </c>
      <c r="C227" s="3">
        <v>127</v>
      </c>
      <c r="D227" s="2">
        <v>12280</v>
      </c>
      <c r="E227" s="2">
        <f t="shared" si="18"/>
        <v>5492.5</v>
      </c>
      <c r="F227" s="2">
        <v>2380</v>
      </c>
      <c r="G227" s="2">
        <f t="shared" si="19"/>
        <v>991.66666666666674</v>
      </c>
      <c r="H227" s="4">
        <f>VLOOKUP(B227,nodes!A:D,2,0)</f>
        <v>0</v>
      </c>
      <c r="I227" s="4">
        <f>VLOOKUP(B227,nodes!A:D,4,0)</f>
        <v>150</v>
      </c>
      <c r="J227" s="4">
        <f>VLOOKUP(C227,nodes!A:D,2,0)</f>
        <v>0</v>
      </c>
      <c r="K227" s="4">
        <f>VLOOKUP(C227,nodes!A:D,4,0)</f>
        <v>120</v>
      </c>
      <c r="L227" s="4">
        <f t="shared" si="20"/>
        <v>30</v>
      </c>
      <c r="N227" s="12">
        <f t="shared" si="21"/>
        <v>7437500</v>
      </c>
      <c r="O227" s="12">
        <f t="shared" si="22"/>
        <v>42840000</v>
      </c>
      <c r="P227" s="12">
        <f t="shared" si="23"/>
        <v>11900</v>
      </c>
    </row>
    <row r="228" spans="1:16" x14ac:dyDescent="0.25">
      <c r="A228" s="3">
        <v>227</v>
      </c>
      <c r="B228" s="3">
        <v>127</v>
      </c>
      <c r="C228" s="3">
        <v>148</v>
      </c>
      <c r="D228" s="2">
        <v>12280</v>
      </c>
      <c r="E228" s="2">
        <f t="shared" si="18"/>
        <v>5492.5</v>
      </c>
      <c r="F228" s="2">
        <v>2380</v>
      </c>
      <c r="G228" s="2">
        <f t="shared" si="19"/>
        <v>991.66666666666674</v>
      </c>
      <c r="H228" s="4">
        <f>VLOOKUP(B228,nodes!A:D,2,0)</f>
        <v>0</v>
      </c>
      <c r="I228" s="4">
        <f>VLOOKUP(B228,nodes!A:D,4,0)</f>
        <v>120</v>
      </c>
      <c r="J228" s="4">
        <f>VLOOKUP(C228,nodes!A:D,2,0)</f>
        <v>0</v>
      </c>
      <c r="K228" s="4">
        <f>VLOOKUP(C228,nodes!A:D,4,0)</f>
        <v>90</v>
      </c>
      <c r="L228" s="4">
        <f t="shared" si="20"/>
        <v>30</v>
      </c>
      <c r="N228" s="12">
        <f t="shared" si="21"/>
        <v>7437500</v>
      </c>
      <c r="O228" s="12">
        <f t="shared" si="22"/>
        <v>42840000</v>
      </c>
      <c r="P228" s="12">
        <f t="shared" si="23"/>
        <v>11900</v>
      </c>
    </row>
    <row r="229" spans="1:16" x14ac:dyDescent="0.25">
      <c r="A229" s="3">
        <v>228</v>
      </c>
      <c r="B229" s="3">
        <v>148</v>
      </c>
      <c r="C229" s="3">
        <v>169</v>
      </c>
      <c r="D229" s="2">
        <v>12280</v>
      </c>
      <c r="E229" s="2">
        <f t="shared" si="18"/>
        <v>5492.5</v>
      </c>
      <c r="F229" s="2">
        <v>2380</v>
      </c>
      <c r="G229" s="2">
        <f t="shared" si="19"/>
        <v>991.66666666666674</v>
      </c>
      <c r="H229" s="4">
        <f>VLOOKUP(B229,nodes!A:D,2,0)</f>
        <v>0</v>
      </c>
      <c r="I229" s="4">
        <f>VLOOKUP(B229,nodes!A:D,4,0)</f>
        <v>90</v>
      </c>
      <c r="J229" s="4">
        <f>VLOOKUP(C229,nodes!A:D,2,0)</f>
        <v>0</v>
      </c>
      <c r="K229" s="4">
        <f>VLOOKUP(C229,nodes!A:D,4,0)</f>
        <v>60</v>
      </c>
      <c r="L229" s="4">
        <f t="shared" si="20"/>
        <v>30</v>
      </c>
      <c r="N229" s="12">
        <f t="shared" si="21"/>
        <v>7437500</v>
      </c>
      <c r="O229" s="12">
        <f t="shared" si="22"/>
        <v>42840000</v>
      </c>
      <c r="P229" s="12">
        <f t="shared" si="23"/>
        <v>11900</v>
      </c>
    </row>
    <row r="230" spans="1:16" x14ac:dyDescent="0.25">
      <c r="A230" s="3">
        <v>229</v>
      </c>
      <c r="B230" s="3">
        <v>169</v>
      </c>
      <c r="C230" s="3">
        <v>190</v>
      </c>
      <c r="D230" s="2">
        <v>12280</v>
      </c>
      <c r="E230" s="2">
        <f t="shared" si="18"/>
        <v>5492.5</v>
      </c>
      <c r="F230" s="2">
        <v>2380</v>
      </c>
      <c r="G230" s="2">
        <f t="shared" si="19"/>
        <v>991.66666666666674</v>
      </c>
      <c r="H230" s="4">
        <f>VLOOKUP(B230,nodes!A:D,2,0)</f>
        <v>0</v>
      </c>
      <c r="I230" s="4">
        <f>VLOOKUP(B230,nodes!A:D,4,0)</f>
        <v>60</v>
      </c>
      <c r="J230" s="4">
        <f>VLOOKUP(C230,nodes!A:D,2,0)</f>
        <v>0</v>
      </c>
      <c r="K230" s="4">
        <f>VLOOKUP(C230,nodes!A:D,4,0)</f>
        <v>30</v>
      </c>
      <c r="L230" s="4">
        <f t="shared" si="20"/>
        <v>30</v>
      </c>
      <c r="N230" s="12">
        <f t="shared" si="21"/>
        <v>7437500</v>
      </c>
      <c r="O230" s="12">
        <f t="shared" si="22"/>
        <v>42840000</v>
      </c>
      <c r="P230" s="12">
        <f t="shared" si="23"/>
        <v>11900</v>
      </c>
    </row>
    <row r="231" spans="1:16" x14ac:dyDescent="0.25">
      <c r="A231" s="3">
        <v>230</v>
      </c>
      <c r="B231" s="3">
        <v>190</v>
      </c>
      <c r="C231" s="3">
        <v>211</v>
      </c>
      <c r="D231" s="2">
        <v>12280</v>
      </c>
      <c r="E231" s="2">
        <f t="shared" si="18"/>
        <v>5492.5</v>
      </c>
      <c r="F231" s="2">
        <v>2380</v>
      </c>
      <c r="G231" s="2">
        <f t="shared" si="19"/>
        <v>991.66666666666674</v>
      </c>
      <c r="H231" s="4">
        <f>VLOOKUP(B231,nodes!A:D,2,0)</f>
        <v>0</v>
      </c>
      <c r="I231" s="4">
        <f>VLOOKUP(B231,nodes!A:D,4,0)</f>
        <v>30</v>
      </c>
      <c r="J231" s="4">
        <f>VLOOKUP(C231,nodes!A:D,2,0)</f>
        <v>0</v>
      </c>
      <c r="K231" s="4">
        <f>VLOOKUP(C231,nodes!A:D,4,0)</f>
        <v>0</v>
      </c>
      <c r="L231" s="4">
        <f t="shared" si="20"/>
        <v>30</v>
      </c>
      <c r="N231" s="12">
        <f t="shared" si="21"/>
        <v>7437500</v>
      </c>
      <c r="O231" s="12">
        <f t="shared" si="22"/>
        <v>42840000</v>
      </c>
      <c r="P231" s="12">
        <f t="shared" si="23"/>
        <v>11900</v>
      </c>
    </row>
    <row r="232" spans="1:16" x14ac:dyDescent="0.25">
      <c r="A232" s="3">
        <v>231</v>
      </c>
      <c r="B232" s="3">
        <v>2</v>
      </c>
      <c r="C232" s="3">
        <v>23</v>
      </c>
      <c r="D232" s="2">
        <v>12280</v>
      </c>
      <c r="E232" s="2">
        <f t="shared" si="18"/>
        <v>5492.5</v>
      </c>
      <c r="F232" s="2">
        <v>2380</v>
      </c>
      <c r="G232" s="2">
        <f t="shared" si="19"/>
        <v>991.66666666666674</v>
      </c>
      <c r="H232" s="4">
        <f>VLOOKUP(B232,nodes!A:D,2,0)</f>
        <v>30</v>
      </c>
      <c r="I232" s="4">
        <f>VLOOKUP(B232,nodes!A:D,4,0)</f>
        <v>300</v>
      </c>
      <c r="J232" s="4">
        <f>VLOOKUP(C232,nodes!A:D,2,0)</f>
        <v>30</v>
      </c>
      <c r="K232" s="4">
        <f>VLOOKUP(C232,nodes!A:D,4,0)</f>
        <v>270</v>
      </c>
      <c r="L232" s="4">
        <f t="shared" si="20"/>
        <v>30</v>
      </c>
      <c r="N232" s="12">
        <f t="shared" si="21"/>
        <v>7437500</v>
      </c>
      <c r="O232" s="12">
        <f t="shared" si="22"/>
        <v>42840000</v>
      </c>
      <c r="P232" s="12">
        <f t="shared" si="23"/>
        <v>11900</v>
      </c>
    </row>
    <row r="233" spans="1:16" x14ac:dyDescent="0.25">
      <c r="A233" s="3">
        <v>232</v>
      </c>
      <c r="B233" s="3">
        <v>23</v>
      </c>
      <c r="C233" s="3">
        <v>44</v>
      </c>
      <c r="D233" s="2">
        <v>12280</v>
      </c>
      <c r="E233" s="2">
        <f t="shared" si="18"/>
        <v>5492.5</v>
      </c>
      <c r="F233" s="2">
        <v>2380</v>
      </c>
      <c r="G233" s="2">
        <f t="shared" si="19"/>
        <v>991.66666666666674</v>
      </c>
      <c r="H233" s="4">
        <f>VLOOKUP(B233,nodes!A:D,2,0)</f>
        <v>30</v>
      </c>
      <c r="I233" s="4">
        <f>VLOOKUP(B233,nodes!A:D,4,0)</f>
        <v>270</v>
      </c>
      <c r="J233" s="4">
        <f>VLOOKUP(C233,nodes!A:D,2,0)</f>
        <v>30</v>
      </c>
      <c r="K233" s="4">
        <f>VLOOKUP(C233,nodes!A:D,4,0)</f>
        <v>240</v>
      </c>
      <c r="L233" s="4">
        <f t="shared" si="20"/>
        <v>30</v>
      </c>
      <c r="N233" s="12">
        <f t="shared" si="21"/>
        <v>7437500</v>
      </c>
      <c r="O233" s="12">
        <f t="shared" si="22"/>
        <v>42840000</v>
      </c>
      <c r="P233" s="12">
        <f t="shared" si="23"/>
        <v>11900</v>
      </c>
    </row>
    <row r="234" spans="1:16" x14ac:dyDescent="0.25">
      <c r="A234" s="3">
        <v>233</v>
      </c>
      <c r="B234" s="3">
        <v>44</v>
      </c>
      <c r="C234" s="3">
        <v>65</v>
      </c>
      <c r="D234" s="2">
        <v>12280</v>
      </c>
      <c r="E234" s="2">
        <f t="shared" si="18"/>
        <v>5492.5</v>
      </c>
      <c r="F234" s="2">
        <v>2380</v>
      </c>
      <c r="G234" s="2">
        <f t="shared" si="19"/>
        <v>991.66666666666674</v>
      </c>
      <c r="H234" s="4">
        <f>VLOOKUP(B234,nodes!A:D,2,0)</f>
        <v>30</v>
      </c>
      <c r="I234" s="4">
        <f>VLOOKUP(B234,nodes!A:D,4,0)</f>
        <v>240</v>
      </c>
      <c r="J234" s="4">
        <f>VLOOKUP(C234,nodes!A:D,2,0)</f>
        <v>30</v>
      </c>
      <c r="K234" s="4">
        <f>VLOOKUP(C234,nodes!A:D,4,0)</f>
        <v>210</v>
      </c>
      <c r="L234" s="4">
        <f t="shared" si="20"/>
        <v>30</v>
      </c>
      <c r="N234" s="12">
        <f t="shared" si="21"/>
        <v>7437500</v>
      </c>
      <c r="O234" s="12">
        <f t="shared" si="22"/>
        <v>42840000</v>
      </c>
      <c r="P234" s="12">
        <f t="shared" si="23"/>
        <v>11900</v>
      </c>
    </row>
    <row r="235" spans="1:16" x14ac:dyDescent="0.25">
      <c r="A235" s="3">
        <v>234</v>
      </c>
      <c r="B235" s="3">
        <v>65</v>
      </c>
      <c r="C235" s="3">
        <v>86</v>
      </c>
      <c r="D235" s="2">
        <v>12280</v>
      </c>
      <c r="E235" s="2">
        <f t="shared" si="18"/>
        <v>5492.5</v>
      </c>
      <c r="F235" s="2">
        <v>2380</v>
      </c>
      <c r="G235" s="2">
        <f t="shared" si="19"/>
        <v>991.66666666666674</v>
      </c>
      <c r="H235" s="4">
        <f>VLOOKUP(B235,nodes!A:D,2,0)</f>
        <v>30</v>
      </c>
      <c r="I235" s="4">
        <f>VLOOKUP(B235,nodes!A:D,4,0)</f>
        <v>210</v>
      </c>
      <c r="J235" s="4">
        <f>VLOOKUP(C235,nodes!A:D,2,0)</f>
        <v>30</v>
      </c>
      <c r="K235" s="4">
        <f>VLOOKUP(C235,nodes!A:D,4,0)</f>
        <v>180</v>
      </c>
      <c r="L235" s="4">
        <f t="shared" si="20"/>
        <v>30</v>
      </c>
      <c r="N235" s="12">
        <f t="shared" si="21"/>
        <v>7437500</v>
      </c>
      <c r="O235" s="12">
        <f t="shared" si="22"/>
        <v>42840000</v>
      </c>
      <c r="P235" s="12">
        <f t="shared" si="23"/>
        <v>11900</v>
      </c>
    </row>
    <row r="236" spans="1:16" x14ac:dyDescent="0.25">
      <c r="A236" s="3">
        <v>235</v>
      </c>
      <c r="B236" s="3">
        <v>86</v>
      </c>
      <c r="C236" s="3">
        <v>107</v>
      </c>
      <c r="D236" s="2">
        <v>12280</v>
      </c>
      <c r="E236" s="2">
        <f t="shared" si="18"/>
        <v>5492.5</v>
      </c>
      <c r="F236" s="2">
        <v>2380</v>
      </c>
      <c r="G236" s="2">
        <f t="shared" si="19"/>
        <v>991.66666666666674</v>
      </c>
      <c r="H236" s="4">
        <f>VLOOKUP(B236,nodes!A:D,2,0)</f>
        <v>30</v>
      </c>
      <c r="I236" s="4">
        <f>VLOOKUP(B236,nodes!A:D,4,0)</f>
        <v>180</v>
      </c>
      <c r="J236" s="4">
        <f>VLOOKUP(C236,nodes!A:D,2,0)</f>
        <v>30</v>
      </c>
      <c r="K236" s="4">
        <f>VLOOKUP(C236,nodes!A:D,4,0)</f>
        <v>150</v>
      </c>
      <c r="L236" s="4">
        <f t="shared" si="20"/>
        <v>30</v>
      </c>
      <c r="N236" s="12">
        <f t="shared" si="21"/>
        <v>7437500</v>
      </c>
      <c r="O236" s="12">
        <f t="shared" si="22"/>
        <v>42840000</v>
      </c>
      <c r="P236" s="12">
        <f t="shared" si="23"/>
        <v>11900</v>
      </c>
    </row>
    <row r="237" spans="1:16" x14ac:dyDescent="0.25">
      <c r="A237" s="3">
        <v>236</v>
      </c>
      <c r="B237" s="3">
        <v>107</v>
      </c>
      <c r="C237" s="3">
        <v>128</v>
      </c>
      <c r="D237" s="2">
        <v>12280</v>
      </c>
      <c r="E237" s="2">
        <f t="shared" si="18"/>
        <v>5492.5</v>
      </c>
      <c r="F237" s="2">
        <v>2380</v>
      </c>
      <c r="G237" s="2">
        <f t="shared" si="19"/>
        <v>991.66666666666674</v>
      </c>
      <c r="H237" s="4">
        <f>VLOOKUP(B237,nodes!A:D,2,0)</f>
        <v>30</v>
      </c>
      <c r="I237" s="4">
        <f>VLOOKUP(B237,nodes!A:D,4,0)</f>
        <v>150</v>
      </c>
      <c r="J237" s="4">
        <f>VLOOKUP(C237,nodes!A:D,2,0)</f>
        <v>30</v>
      </c>
      <c r="K237" s="4">
        <f>VLOOKUP(C237,nodes!A:D,4,0)</f>
        <v>120</v>
      </c>
      <c r="L237" s="4">
        <f t="shared" si="20"/>
        <v>30</v>
      </c>
      <c r="N237" s="12">
        <f t="shared" si="21"/>
        <v>7437500</v>
      </c>
      <c r="O237" s="12">
        <f t="shared" si="22"/>
        <v>42840000</v>
      </c>
      <c r="P237" s="12">
        <f t="shared" si="23"/>
        <v>11900</v>
      </c>
    </row>
    <row r="238" spans="1:16" x14ac:dyDescent="0.25">
      <c r="A238" s="3">
        <v>237</v>
      </c>
      <c r="B238" s="3">
        <v>128</v>
      </c>
      <c r="C238" s="3">
        <v>149</v>
      </c>
      <c r="D238" s="2">
        <v>12280</v>
      </c>
      <c r="E238" s="2">
        <f t="shared" si="18"/>
        <v>5492.5</v>
      </c>
      <c r="F238" s="2">
        <v>2380</v>
      </c>
      <c r="G238" s="2">
        <f t="shared" si="19"/>
        <v>991.66666666666674</v>
      </c>
      <c r="H238" s="4">
        <f>VLOOKUP(B238,nodes!A:D,2,0)</f>
        <v>30</v>
      </c>
      <c r="I238" s="4">
        <f>VLOOKUP(B238,nodes!A:D,4,0)</f>
        <v>120</v>
      </c>
      <c r="J238" s="4">
        <f>VLOOKUP(C238,nodes!A:D,2,0)</f>
        <v>30</v>
      </c>
      <c r="K238" s="4">
        <f>VLOOKUP(C238,nodes!A:D,4,0)</f>
        <v>90</v>
      </c>
      <c r="L238" s="4">
        <f t="shared" si="20"/>
        <v>30</v>
      </c>
      <c r="N238" s="12">
        <f t="shared" si="21"/>
        <v>7437500</v>
      </c>
      <c r="O238" s="12">
        <f t="shared" si="22"/>
        <v>42840000</v>
      </c>
      <c r="P238" s="12">
        <f t="shared" si="23"/>
        <v>11900</v>
      </c>
    </row>
    <row r="239" spans="1:16" x14ac:dyDescent="0.25">
      <c r="A239" s="3">
        <v>238</v>
      </c>
      <c r="B239" s="3">
        <v>149</v>
      </c>
      <c r="C239" s="3">
        <v>170</v>
      </c>
      <c r="D239" s="2">
        <v>12280</v>
      </c>
      <c r="E239" s="2">
        <f t="shared" si="18"/>
        <v>5492.5</v>
      </c>
      <c r="F239" s="2">
        <v>2380</v>
      </c>
      <c r="G239" s="2">
        <f t="shared" si="19"/>
        <v>991.66666666666674</v>
      </c>
      <c r="H239" s="4">
        <f>VLOOKUP(B239,nodes!A:D,2,0)</f>
        <v>30</v>
      </c>
      <c r="I239" s="4">
        <f>VLOOKUP(B239,nodes!A:D,4,0)</f>
        <v>90</v>
      </c>
      <c r="J239" s="4">
        <f>VLOOKUP(C239,nodes!A:D,2,0)</f>
        <v>30</v>
      </c>
      <c r="K239" s="4">
        <f>VLOOKUP(C239,nodes!A:D,4,0)</f>
        <v>60</v>
      </c>
      <c r="L239" s="4">
        <f t="shared" si="20"/>
        <v>30</v>
      </c>
      <c r="N239" s="12">
        <f t="shared" si="21"/>
        <v>7437500</v>
      </c>
      <c r="O239" s="12">
        <f t="shared" si="22"/>
        <v>42840000</v>
      </c>
      <c r="P239" s="12">
        <f t="shared" si="23"/>
        <v>11900</v>
      </c>
    </row>
    <row r="240" spans="1:16" x14ac:dyDescent="0.25">
      <c r="A240" s="3">
        <v>239</v>
      </c>
      <c r="B240" s="3">
        <v>170</v>
      </c>
      <c r="C240" s="3">
        <v>191</v>
      </c>
      <c r="D240" s="2">
        <v>12280</v>
      </c>
      <c r="E240" s="2">
        <f t="shared" si="18"/>
        <v>5492.5</v>
      </c>
      <c r="F240" s="2">
        <v>2380</v>
      </c>
      <c r="G240" s="2">
        <f t="shared" si="19"/>
        <v>991.66666666666674</v>
      </c>
      <c r="H240" s="4">
        <f>VLOOKUP(B240,nodes!A:D,2,0)</f>
        <v>30</v>
      </c>
      <c r="I240" s="4">
        <f>VLOOKUP(B240,nodes!A:D,4,0)</f>
        <v>60</v>
      </c>
      <c r="J240" s="4">
        <f>VLOOKUP(C240,nodes!A:D,2,0)</f>
        <v>30</v>
      </c>
      <c r="K240" s="4">
        <f>VLOOKUP(C240,nodes!A:D,4,0)</f>
        <v>30</v>
      </c>
      <c r="L240" s="4">
        <f t="shared" si="20"/>
        <v>30</v>
      </c>
      <c r="N240" s="12">
        <f t="shared" si="21"/>
        <v>7437500</v>
      </c>
      <c r="O240" s="12">
        <f t="shared" si="22"/>
        <v>42840000</v>
      </c>
      <c r="P240" s="12">
        <f t="shared" si="23"/>
        <v>11900</v>
      </c>
    </row>
    <row r="241" spans="1:16" x14ac:dyDescent="0.25">
      <c r="A241" s="3">
        <v>240</v>
      </c>
      <c r="B241" s="3">
        <v>191</v>
      </c>
      <c r="C241" s="3">
        <v>212</v>
      </c>
      <c r="D241" s="2">
        <v>12280</v>
      </c>
      <c r="E241" s="2">
        <f t="shared" si="18"/>
        <v>5492.5</v>
      </c>
      <c r="F241" s="2">
        <v>2380</v>
      </c>
      <c r="G241" s="2">
        <f t="shared" si="19"/>
        <v>991.66666666666674</v>
      </c>
      <c r="H241" s="4">
        <f>VLOOKUP(B241,nodes!A:D,2,0)</f>
        <v>30</v>
      </c>
      <c r="I241" s="4">
        <f>VLOOKUP(B241,nodes!A:D,4,0)</f>
        <v>30</v>
      </c>
      <c r="J241" s="4">
        <f>VLOOKUP(C241,nodes!A:D,2,0)</f>
        <v>30</v>
      </c>
      <c r="K241" s="4">
        <f>VLOOKUP(C241,nodes!A:D,4,0)</f>
        <v>0</v>
      </c>
      <c r="L241" s="4">
        <f t="shared" si="20"/>
        <v>30</v>
      </c>
      <c r="N241" s="12">
        <f t="shared" si="21"/>
        <v>7437500</v>
      </c>
      <c r="O241" s="12">
        <f t="shared" si="22"/>
        <v>42840000</v>
      </c>
      <c r="P241" s="12">
        <f t="shared" si="23"/>
        <v>11900</v>
      </c>
    </row>
    <row r="242" spans="1:16" x14ac:dyDescent="0.25">
      <c r="A242" s="3">
        <v>241</v>
      </c>
      <c r="B242" s="3">
        <v>3</v>
      </c>
      <c r="C242" s="3">
        <v>24</v>
      </c>
      <c r="D242" s="2">
        <v>12280</v>
      </c>
      <c r="E242" s="2">
        <f t="shared" si="18"/>
        <v>5492.5</v>
      </c>
      <c r="F242" s="2">
        <v>2380</v>
      </c>
      <c r="G242" s="2">
        <f t="shared" si="19"/>
        <v>991.66666666666674</v>
      </c>
      <c r="H242" s="4">
        <f>VLOOKUP(B242,nodes!A:D,2,0)</f>
        <v>60</v>
      </c>
      <c r="I242" s="4">
        <f>VLOOKUP(B242,nodes!A:D,4,0)</f>
        <v>300</v>
      </c>
      <c r="J242" s="4">
        <f>VLOOKUP(C242,nodes!A:D,2,0)</f>
        <v>60</v>
      </c>
      <c r="K242" s="4">
        <f>VLOOKUP(C242,nodes!A:D,4,0)</f>
        <v>270</v>
      </c>
      <c r="L242" s="4">
        <f t="shared" si="20"/>
        <v>30</v>
      </c>
      <c r="N242" s="12">
        <f t="shared" si="21"/>
        <v>7437500</v>
      </c>
      <c r="O242" s="12">
        <f t="shared" si="22"/>
        <v>42840000</v>
      </c>
      <c r="P242" s="12">
        <f t="shared" si="23"/>
        <v>11900</v>
      </c>
    </row>
    <row r="243" spans="1:16" x14ac:dyDescent="0.25">
      <c r="A243" s="3">
        <v>242</v>
      </c>
      <c r="B243" s="3">
        <v>24</v>
      </c>
      <c r="C243" s="3">
        <v>45</v>
      </c>
      <c r="D243" s="2">
        <v>12280</v>
      </c>
      <c r="E243" s="2">
        <f t="shared" si="18"/>
        <v>5492.5</v>
      </c>
      <c r="F243" s="2">
        <v>2380</v>
      </c>
      <c r="G243" s="2">
        <f t="shared" si="19"/>
        <v>991.66666666666674</v>
      </c>
      <c r="H243" s="4">
        <f>VLOOKUP(B243,nodes!A:D,2,0)</f>
        <v>60</v>
      </c>
      <c r="I243" s="4">
        <f>VLOOKUP(B243,nodes!A:D,4,0)</f>
        <v>270</v>
      </c>
      <c r="J243" s="4">
        <f>VLOOKUP(C243,nodes!A:D,2,0)</f>
        <v>60</v>
      </c>
      <c r="K243" s="4">
        <f>VLOOKUP(C243,nodes!A:D,4,0)</f>
        <v>240</v>
      </c>
      <c r="L243" s="4">
        <f t="shared" si="20"/>
        <v>30</v>
      </c>
      <c r="N243" s="12">
        <f t="shared" si="21"/>
        <v>7437500</v>
      </c>
      <c r="O243" s="12">
        <f t="shared" si="22"/>
        <v>42840000</v>
      </c>
      <c r="P243" s="12">
        <f t="shared" si="23"/>
        <v>11900</v>
      </c>
    </row>
    <row r="244" spans="1:16" x14ac:dyDescent="0.25">
      <c r="A244" s="3">
        <v>243</v>
      </c>
      <c r="B244" s="3">
        <v>45</v>
      </c>
      <c r="C244" s="3">
        <v>66</v>
      </c>
      <c r="D244" s="2">
        <v>12280</v>
      </c>
      <c r="E244" s="2">
        <f t="shared" si="18"/>
        <v>5492.5</v>
      </c>
      <c r="F244" s="2">
        <v>2380</v>
      </c>
      <c r="G244" s="2">
        <f t="shared" si="19"/>
        <v>991.66666666666674</v>
      </c>
      <c r="H244" s="4">
        <f>VLOOKUP(B244,nodes!A:D,2,0)</f>
        <v>60</v>
      </c>
      <c r="I244" s="4">
        <f>VLOOKUP(B244,nodes!A:D,4,0)</f>
        <v>240</v>
      </c>
      <c r="J244" s="4">
        <f>VLOOKUP(C244,nodes!A:D,2,0)</f>
        <v>60</v>
      </c>
      <c r="K244" s="4">
        <f>VLOOKUP(C244,nodes!A:D,4,0)</f>
        <v>210</v>
      </c>
      <c r="L244" s="4">
        <f t="shared" si="20"/>
        <v>30</v>
      </c>
      <c r="N244" s="12">
        <f t="shared" si="21"/>
        <v>7437500</v>
      </c>
      <c r="O244" s="12">
        <f t="shared" si="22"/>
        <v>42840000</v>
      </c>
      <c r="P244" s="12">
        <f t="shared" si="23"/>
        <v>11900</v>
      </c>
    </row>
    <row r="245" spans="1:16" x14ac:dyDescent="0.25">
      <c r="A245" s="3">
        <v>244</v>
      </c>
      <c r="B245" s="3">
        <v>66</v>
      </c>
      <c r="C245" s="3">
        <v>87</v>
      </c>
      <c r="D245" s="2">
        <v>12280</v>
      </c>
      <c r="E245" s="2">
        <f t="shared" si="18"/>
        <v>5492.5</v>
      </c>
      <c r="F245" s="2">
        <v>2380</v>
      </c>
      <c r="G245" s="2">
        <f t="shared" si="19"/>
        <v>991.66666666666674</v>
      </c>
      <c r="H245" s="4">
        <f>VLOOKUP(B245,nodes!A:D,2,0)</f>
        <v>60</v>
      </c>
      <c r="I245" s="4">
        <f>VLOOKUP(B245,nodes!A:D,4,0)</f>
        <v>210</v>
      </c>
      <c r="J245" s="4">
        <f>VLOOKUP(C245,nodes!A:D,2,0)</f>
        <v>60</v>
      </c>
      <c r="K245" s="4">
        <f>VLOOKUP(C245,nodes!A:D,4,0)</f>
        <v>180</v>
      </c>
      <c r="L245" s="4">
        <f t="shared" si="20"/>
        <v>30</v>
      </c>
      <c r="N245" s="12">
        <f t="shared" si="21"/>
        <v>7437500</v>
      </c>
      <c r="O245" s="12">
        <f t="shared" si="22"/>
        <v>42840000</v>
      </c>
      <c r="P245" s="12">
        <f t="shared" si="23"/>
        <v>11900</v>
      </c>
    </row>
    <row r="246" spans="1:16" x14ac:dyDescent="0.25">
      <c r="A246" s="3">
        <v>245</v>
      </c>
      <c r="B246" s="3">
        <v>87</v>
      </c>
      <c r="C246" s="3">
        <v>108</v>
      </c>
      <c r="D246" s="2">
        <v>12280</v>
      </c>
      <c r="E246" s="2">
        <f t="shared" si="18"/>
        <v>5492.5</v>
      </c>
      <c r="F246" s="2">
        <v>2380</v>
      </c>
      <c r="G246" s="2">
        <f t="shared" si="19"/>
        <v>991.66666666666674</v>
      </c>
      <c r="H246" s="4">
        <f>VLOOKUP(B246,nodes!A:D,2,0)</f>
        <v>60</v>
      </c>
      <c r="I246" s="4">
        <f>VLOOKUP(B246,nodes!A:D,4,0)</f>
        <v>180</v>
      </c>
      <c r="J246" s="4">
        <f>VLOOKUP(C246,nodes!A:D,2,0)</f>
        <v>60</v>
      </c>
      <c r="K246" s="4">
        <f>VLOOKUP(C246,nodes!A:D,4,0)</f>
        <v>150</v>
      </c>
      <c r="L246" s="4">
        <f t="shared" si="20"/>
        <v>30</v>
      </c>
      <c r="N246" s="12">
        <f t="shared" si="21"/>
        <v>7437500</v>
      </c>
      <c r="O246" s="12">
        <f t="shared" si="22"/>
        <v>42840000</v>
      </c>
      <c r="P246" s="12">
        <f t="shared" si="23"/>
        <v>11900</v>
      </c>
    </row>
    <row r="247" spans="1:16" x14ac:dyDescent="0.25">
      <c r="A247" s="3">
        <v>246</v>
      </c>
      <c r="B247" s="3">
        <v>108</v>
      </c>
      <c r="C247" s="3">
        <v>129</v>
      </c>
      <c r="D247" s="2">
        <v>12280</v>
      </c>
      <c r="E247" s="2">
        <f t="shared" si="18"/>
        <v>5492.5</v>
      </c>
      <c r="F247" s="2">
        <v>2380</v>
      </c>
      <c r="G247" s="2">
        <f t="shared" si="19"/>
        <v>991.66666666666674</v>
      </c>
      <c r="H247" s="4">
        <f>VLOOKUP(B247,nodes!A:D,2,0)</f>
        <v>60</v>
      </c>
      <c r="I247" s="4">
        <f>VLOOKUP(B247,nodes!A:D,4,0)</f>
        <v>150</v>
      </c>
      <c r="J247" s="4">
        <f>VLOOKUP(C247,nodes!A:D,2,0)</f>
        <v>60</v>
      </c>
      <c r="K247" s="4">
        <f>VLOOKUP(C247,nodes!A:D,4,0)</f>
        <v>120</v>
      </c>
      <c r="L247" s="4">
        <f t="shared" si="20"/>
        <v>30</v>
      </c>
      <c r="N247" s="12">
        <f t="shared" si="21"/>
        <v>7437500</v>
      </c>
      <c r="O247" s="12">
        <f t="shared" si="22"/>
        <v>42840000</v>
      </c>
      <c r="P247" s="12">
        <f t="shared" si="23"/>
        <v>11900</v>
      </c>
    </row>
    <row r="248" spans="1:16" x14ac:dyDescent="0.25">
      <c r="A248" s="3">
        <v>247</v>
      </c>
      <c r="B248" s="3">
        <v>129</v>
      </c>
      <c r="C248" s="3">
        <v>150</v>
      </c>
      <c r="D248" s="2">
        <v>12280</v>
      </c>
      <c r="E248" s="2">
        <f t="shared" si="18"/>
        <v>5492.5</v>
      </c>
      <c r="F248" s="2">
        <v>2380</v>
      </c>
      <c r="G248" s="2">
        <f t="shared" si="19"/>
        <v>991.66666666666674</v>
      </c>
      <c r="H248" s="4">
        <f>VLOOKUP(B248,nodes!A:D,2,0)</f>
        <v>60</v>
      </c>
      <c r="I248" s="4">
        <f>VLOOKUP(B248,nodes!A:D,4,0)</f>
        <v>120</v>
      </c>
      <c r="J248" s="4">
        <f>VLOOKUP(C248,nodes!A:D,2,0)</f>
        <v>60</v>
      </c>
      <c r="K248" s="4">
        <f>VLOOKUP(C248,nodes!A:D,4,0)</f>
        <v>90</v>
      </c>
      <c r="L248" s="4">
        <f t="shared" si="20"/>
        <v>30</v>
      </c>
      <c r="N248" s="12">
        <f t="shared" si="21"/>
        <v>7437500</v>
      </c>
      <c r="O248" s="12">
        <f t="shared" si="22"/>
        <v>42840000</v>
      </c>
      <c r="P248" s="12">
        <f t="shared" si="23"/>
        <v>11900</v>
      </c>
    </row>
    <row r="249" spans="1:16" x14ac:dyDescent="0.25">
      <c r="A249" s="3">
        <v>248</v>
      </c>
      <c r="B249" s="3">
        <v>150</v>
      </c>
      <c r="C249" s="3">
        <v>171</v>
      </c>
      <c r="D249" s="2">
        <v>12280</v>
      </c>
      <c r="E249" s="2">
        <f t="shared" si="18"/>
        <v>5492.5</v>
      </c>
      <c r="F249" s="2">
        <v>2380</v>
      </c>
      <c r="G249" s="2">
        <f t="shared" si="19"/>
        <v>991.66666666666674</v>
      </c>
      <c r="H249" s="4">
        <f>VLOOKUP(B249,nodes!A:D,2,0)</f>
        <v>60</v>
      </c>
      <c r="I249" s="4">
        <f>VLOOKUP(B249,nodes!A:D,4,0)</f>
        <v>90</v>
      </c>
      <c r="J249" s="4">
        <f>VLOOKUP(C249,nodes!A:D,2,0)</f>
        <v>60</v>
      </c>
      <c r="K249" s="4">
        <f>VLOOKUP(C249,nodes!A:D,4,0)</f>
        <v>60</v>
      </c>
      <c r="L249" s="4">
        <f t="shared" si="20"/>
        <v>30</v>
      </c>
      <c r="N249" s="12">
        <f t="shared" si="21"/>
        <v>7437500</v>
      </c>
      <c r="O249" s="12">
        <f t="shared" si="22"/>
        <v>42840000</v>
      </c>
      <c r="P249" s="12">
        <f t="shared" si="23"/>
        <v>11900</v>
      </c>
    </row>
    <row r="250" spans="1:16" x14ac:dyDescent="0.25">
      <c r="A250" s="3">
        <v>249</v>
      </c>
      <c r="B250" s="3">
        <v>171</v>
      </c>
      <c r="C250" s="3">
        <v>192</v>
      </c>
      <c r="D250" s="2">
        <v>12280</v>
      </c>
      <c r="E250" s="2">
        <f t="shared" si="18"/>
        <v>5492.5</v>
      </c>
      <c r="F250" s="2">
        <v>2380</v>
      </c>
      <c r="G250" s="2">
        <f t="shared" si="19"/>
        <v>991.66666666666674</v>
      </c>
      <c r="H250" s="4">
        <f>VLOOKUP(B250,nodes!A:D,2,0)</f>
        <v>60</v>
      </c>
      <c r="I250" s="4">
        <f>VLOOKUP(B250,nodes!A:D,4,0)</f>
        <v>60</v>
      </c>
      <c r="J250" s="4">
        <f>VLOOKUP(C250,nodes!A:D,2,0)</f>
        <v>60</v>
      </c>
      <c r="K250" s="4">
        <f>VLOOKUP(C250,nodes!A:D,4,0)</f>
        <v>30</v>
      </c>
      <c r="L250" s="4">
        <f t="shared" si="20"/>
        <v>30</v>
      </c>
      <c r="N250" s="12">
        <f t="shared" si="21"/>
        <v>7437500</v>
      </c>
      <c r="O250" s="12">
        <f t="shared" si="22"/>
        <v>42840000</v>
      </c>
      <c r="P250" s="12">
        <f t="shared" si="23"/>
        <v>11900</v>
      </c>
    </row>
    <row r="251" spans="1:16" x14ac:dyDescent="0.25">
      <c r="A251" s="3">
        <v>250</v>
      </c>
      <c r="B251" s="3">
        <v>192</v>
      </c>
      <c r="C251" s="3">
        <v>213</v>
      </c>
      <c r="D251" s="2">
        <v>12280</v>
      </c>
      <c r="E251" s="2">
        <f t="shared" si="18"/>
        <v>5492.5</v>
      </c>
      <c r="F251" s="2">
        <v>2380</v>
      </c>
      <c r="G251" s="2">
        <f t="shared" si="19"/>
        <v>991.66666666666674</v>
      </c>
      <c r="H251" s="4">
        <f>VLOOKUP(B251,nodes!A:D,2,0)</f>
        <v>60</v>
      </c>
      <c r="I251" s="4">
        <f>VLOOKUP(B251,nodes!A:D,4,0)</f>
        <v>30</v>
      </c>
      <c r="J251" s="4">
        <f>VLOOKUP(C251,nodes!A:D,2,0)</f>
        <v>60</v>
      </c>
      <c r="K251" s="4">
        <f>VLOOKUP(C251,nodes!A:D,4,0)</f>
        <v>0</v>
      </c>
      <c r="L251" s="4">
        <f t="shared" si="20"/>
        <v>30</v>
      </c>
      <c r="N251" s="12">
        <f t="shared" si="21"/>
        <v>7437500</v>
      </c>
      <c r="O251" s="12">
        <f t="shared" si="22"/>
        <v>42840000</v>
      </c>
      <c r="P251" s="12">
        <f t="shared" si="23"/>
        <v>11900</v>
      </c>
    </row>
    <row r="252" spans="1:16" x14ac:dyDescent="0.25">
      <c r="A252" s="3">
        <v>251</v>
      </c>
      <c r="B252" s="3">
        <v>4</v>
      </c>
      <c r="C252" s="3">
        <v>25</v>
      </c>
      <c r="D252" s="2">
        <v>12280</v>
      </c>
      <c r="E252" s="2">
        <f t="shared" si="18"/>
        <v>5492.5</v>
      </c>
      <c r="F252" s="2">
        <v>2380</v>
      </c>
      <c r="G252" s="2">
        <f t="shared" si="19"/>
        <v>991.66666666666674</v>
      </c>
      <c r="H252" s="4">
        <f>VLOOKUP(B252,nodes!A:D,2,0)</f>
        <v>90</v>
      </c>
      <c r="I252" s="4">
        <f>VLOOKUP(B252,nodes!A:D,4,0)</f>
        <v>300</v>
      </c>
      <c r="J252" s="4">
        <f>VLOOKUP(C252,nodes!A:D,2,0)</f>
        <v>90</v>
      </c>
      <c r="K252" s="4">
        <f>VLOOKUP(C252,nodes!A:D,4,0)</f>
        <v>270</v>
      </c>
      <c r="L252" s="4">
        <f t="shared" si="20"/>
        <v>30</v>
      </c>
      <c r="N252" s="12">
        <f t="shared" si="21"/>
        <v>7437500</v>
      </c>
      <c r="O252" s="12">
        <f t="shared" si="22"/>
        <v>42840000</v>
      </c>
      <c r="P252" s="12">
        <f t="shared" si="23"/>
        <v>11900</v>
      </c>
    </row>
    <row r="253" spans="1:16" x14ac:dyDescent="0.25">
      <c r="A253" s="3">
        <v>252</v>
      </c>
      <c r="B253" s="3">
        <v>25</v>
      </c>
      <c r="C253" s="3">
        <v>46</v>
      </c>
      <c r="D253" s="2">
        <v>12280</v>
      </c>
      <c r="E253" s="2">
        <f t="shared" si="18"/>
        <v>5492.5</v>
      </c>
      <c r="F253" s="2">
        <v>2380</v>
      </c>
      <c r="G253" s="2">
        <f t="shared" si="19"/>
        <v>991.66666666666674</v>
      </c>
      <c r="H253" s="4">
        <f>VLOOKUP(B253,nodes!A:D,2,0)</f>
        <v>90</v>
      </c>
      <c r="I253" s="4">
        <f>VLOOKUP(B253,nodes!A:D,4,0)</f>
        <v>270</v>
      </c>
      <c r="J253" s="4">
        <f>VLOOKUP(C253,nodes!A:D,2,0)</f>
        <v>90</v>
      </c>
      <c r="K253" s="4">
        <f>VLOOKUP(C253,nodes!A:D,4,0)</f>
        <v>240</v>
      </c>
      <c r="L253" s="4">
        <f t="shared" si="20"/>
        <v>30</v>
      </c>
      <c r="N253" s="12">
        <f t="shared" si="21"/>
        <v>7437500</v>
      </c>
      <c r="O253" s="12">
        <f t="shared" si="22"/>
        <v>42840000</v>
      </c>
      <c r="P253" s="12">
        <f t="shared" si="23"/>
        <v>11900</v>
      </c>
    </row>
    <row r="254" spans="1:16" x14ac:dyDescent="0.25">
      <c r="A254" s="3">
        <v>253</v>
      </c>
      <c r="B254" s="3">
        <v>46</v>
      </c>
      <c r="C254" s="3">
        <v>67</v>
      </c>
      <c r="D254" s="2">
        <v>12280</v>
      </c>
      <c r="E254" s="2">
        <f t="shared" si="18"/>
        <v>5492.5</v>
      </c>
      <c r="F254" s="2">
        <v>2380</v>
      </c>
      <c r="G254" s="2">
        <f t="shared" si="19"/>
        <v>991.66666666666674</v>
      </c>
      <c r="H254" s="4">
        <f>VLOOKUP(B254,nodes!A:D,2,0)</f>
        <v>90</v>
      </c>
      <c r="I254" s="4">
        <f>VLOOKUP(B254,nodes!A:D,4,0)</f>
        <v>240</v>
      </c>
      <c r="J254" s="4">
        <f>VLOOKUP(C254,nodes!A:D,2,0)</f>
        <v>90</v>
      </c>
      <c r="K254" s="4">
        <f>VLOOKUP(C254,nodes!A:D,4,0)</f>
        <v>210</v>
      </c>
      <c r="L254" s="4">
        <f t="shared" si="20"/>
        <v>30</v>
      </c>
      <c r="N254" s="12">
        <f t="shared" si="21"/>
        <v>7437500</v>
      </c>
      <c r="O254" s="12">
        <f t="shared" si="22"/>
        <v>42840000</v>
      </c>
      <c r="P254" s="12">
        <f t="shared" si="23"/>
        <v>11900</v>
      </c>
    </row>
    <row r="255" spans="1:16" x14ac:dyDescent="0.25">
      <c r="A255" s="3">
        <v>254</v>
      </c>
      <c r="B255" s="3">
        <v>67</v>
      </c>
      <c r="C255" s="3">
        <v>88</v>
      </c>
      <c r="D255" s="2">
        <v>12280</v>
      </c>
      <c r="E255" s="2">
        <f t="shared" si="18"/>
        <v>5492.5</v>
      </c>
      <c r="F255" s="2">
        <v>2380</v>
      </c>
      <c r="G255" s="2">
        <f t="shared" si="19"/>
        <v>991.66666666666674</v>
      </c>
      <c r="H255" s="4">
        <f>VLOOKUP(B255,nodes!A:D,2,0)</f>
        <v>90</v>
      </c>
      <c r="I255" s="4">
        <f>VLOOKUP(B255,nodes!A:D,4,0)</f>
        <v>210</v>
      </c>
      <c r="J255" s="4">
        <f>VLOOKUP(C255,nodes!A:D,2,0)</f>
        <v>90</v>
      </c>
      <c r="K255" s="4">
        <f>VLOOKUP(C255,nodes!A:D,4,0)</f>
        <v>180</v>
      </c>
      <c r="L255" s="4">
        <f t="shared" si="20"/>
        <v>30</v>
      </c>
      <c r="N255" s="12">
        <f t="shared" si="21"/>
        <v>7437500</v>
      </c>
      <c r="O255" s="12">
        <f t="shared" si="22"/>
        <v>42840000</v>
      </c>
      <c r="P255" s="12">
        <f t="shared" si="23"/>
        <v>11900</v>
      </c>
    </row>
    <row r="256" spans="1:16" x14ac:dyDescent="0.25">
      <c r="A256" s="3">
        <v>255</v>
      </c>
      <c r="B256" s="3">
        <v>88</v>
      </c>
      <c r="C256" s="3">
        <v>109</v>
      </c>
      <c r="D256" s="2">
        <v>12280</v>
      </c>
      <c r="E256" s="2">
        <f t="shared" si="18"/>
        <v>5492.5</v>
      </c>
      <c r="F256" s="2">
        <v>2380</v>
      </c>
      <c r="G256" s="2">
        <f t="shared" si="19"/>
        <v>991.66666666666674</v>
      </c>
      <c r="H256" s="4">
        <f>VLOOKUP(B256,nodes!A:D,2,0)</f>
        <v>90</v>
      </c>
      <c r="I256" s="4">
        <f>VLOOKUP(B256,nodes!A:D,4,0)</f>
        <v>180</v>
      </c>
      <c r="J256" s="4">
        <f>VLOOKUP(C256,nodes!A:D,2,0)</f>
        <v>90</v>
      </c>
      <c r="K256" s="4">
        <f>VLOOKUP(C256,nodes!A:D,4,0)</f>
        <v>150</v>
      </c>
      <c r="L256" s="4">
        <f t="shared" si="20"/>
        <v>30</v>
      </c>
      <c r="N256" s="12">
        <f t="shared" si="21"/>
        <v>7437500</v>
      </c>
      <c r="O256" s="12">
        <f t="shared" si="22"/>
        <v>42840000</v>
      </c>
      <c r="P256" s="12">
        <f t="shared" si="23"/>
        <v>11900</v>
      </c>
    </row>
    <row r="257" spans="1:16" x14ac:dyDescent="0.25">
      <c r="A257" s="3">
        <v>256</v>
      </c>
      <c r="B257" s="3">
        <v>109</v>
      </c>
      <c r="C257" s="3">
        <v>130</v>
      </c>
      <c r="D257" s="2">
        <v>12280</v>
      </c>
      <c r="E257" s="2">
        <f t="shared" si="18"/>
        <v>5492.5</v>
      </c>
      <c r="F257" s="2">
        <v>2380</v>
      </c>
      <c r="G257" s="2">
        <f t="shared" si="19"/>
        <v>991.66666666666674</v>
      </c>
      <c r="H257" s="4">
        <f>VLOOKUP(B257,nodes!A:D,2,0)</f>
        <v>90</v>
      </c>
      <c r="I257" s="4">
        <f>VLOOKUP(B257,nodes!A:D,4,0)</f>
        <v>150</v>
      </c>
      <c r="J257" s="4">
        <f>VLOOKUP(C257,nodes!A:D,2,0)</f>
        <v>90</v>
      </c>
      <c r="K257" s="4">
        <f>VLOOKUP(C257,nodes!A:D,4,0)</f>
        <v>120</v>
      </c>
      <c r="L257" s="4">
        <f t="shared" si="20"/>
        <v>30</v>
      </c>
      <c r="N257" s="12">
        <f t="shared" si="21"/>
        <v>7437500</v>
      </c>
      <c r="O257" s="12">
        <f t="shared" si="22"/>
        <v>42840000</v>
      </c>
      <c r="P257" s="12">
        <f t="shared" si="23"/>
        <v>11900</v>
      </c>
    </row>
    <row r="258" spans="1:16" x14ac:dyDescent="0.25">
      <c r="A258" s="3">
        <v>257</v>
      </c>
      <c r="B258" s="3">
        <v>130</v>
      </c>
      <c r="C258" s="3">
        <v>151</v>
      </c>
      <c r="D258" s="2">
        <v>12280</v>
      </c>
      <c r="E258" s="2">
        <f t="shared" si="18"/>
        <v>5492.5</v>
      </c>
      <c r="F258" s="2">
        <v>2380</v>
      </c>
      <c r="G258" s="2">
        <f t="shared" si="19"/>
        <v>991.66666666666674</v>
      </c>
      <c r="H258" s="4">
        <f>VLOOKUP(B258,nodes!A:D,2,0)</f>
        <v>90</v>
      </c>
      <c r="I258" s="4">
        <f>VLOOKUP(B258,nodes!A:D,4,0)</f>
        <v>120</v>
      </c>
      <c r="J258" s="4">
        <f>VLOOKUP(C258,nodes!A:D,2,0)</f>
        <v>90</v>
      </c>
      <c r="K258" s="4">
        <f>VLOOKUP(C258,nodes!A:D,4,0)</f>
        <v>90</v>
      </c>
      <c r="L258" s="4">
        <f t="shared" si="20"/>
        <v>30</v>
      </c>
      <c r="N258" s="12">
        <f t="shared" si="21"/>
        <v>7437500</v>
      </c>
      <c r="O258" s="12">
        <f t="shared" si="22"/>
        <v>42840000</v>
      </c>
      <c r="P258" s="12">
        <f t="shared" si="23"/>
        <v>11900</v>
      </c>
    </row>
    <row r="259" spans="1:16" x14ac:dyDescent="0.25">
      <c r="A259" s="3">
        <v>258</v>
      </c>
      <c r="B259" s="3">
        <v>151</v>
      </c>
      <c r="C259" s="3">
        <v>172</v>
      </c>
      <c r="D259" s="2">
        <v>12280</v>
      </c>
      <c r="E259" s="2">
        <f t="shared" ref="E259:E322" si="24">(30*13^3)/12</f>
        <v>5492.5</v>
      </c>
      <c r="F259" s="2">
        <v>2380</v>
      </c>
      <c r="G259" s="2">
        <f t="shared" ref="G259:G322" si="25">F259/(2*(1+0.2))</f>
        <v>991.66666666666674</v>
      </c>
      <c r="H259" s="4">
        <f>VLOOKUP(B259,nodes!A:D,2,0)</f>
        <v>90</v>
      </c>
      <c r="I259" s="4">
        <f>VLOOKUP(B259,nodes!A:D,4,0)</f>
        <v>90</v>
      </c>
      <c r="J259" s="4">
        <f>VLOOKUP(C259,nodes!A:D,2,0)</f>
        <v>90</v>
      </c>
      <c r="K259" s="4">
        <f>VLOOKUP(C259,nodes!A:D,4,0)</f>
        <v>60</v>
      </c>
      <c r="L259" s="4">
        <f t="shared" ref="L259:L322" si="26">((J259-H259)^2+(K259-I259)^2)^0.5</f>
        <v>30</v>
      </c>
      <c r="N259" s="12">
        <f t="shared" ref="N259:N322" si="27">12*2380*60*(25^3)/(300*12)</f>
        <v>7437500</v>
      </c>
      <c r="O259" s="12">
        <f t="shared" ref="O259:O322" si="28">12*2380*25*(60^3)/(300*12)</f>
        <v>42840000</v>
      </c>
      <c r="P259" s="12">
        <f t="shared" ref="P259:P322" si="29">2380*25*60/300</f>
        <v>11900</v>
      </c>
    </row>
    <row r="260" spans="1:16" x14ac:dyDescent="0.25">
      <c r="A260" s="3">
        <v>259</v>
      </c>
      <c r="B260" s="3">
        <v>172</v>
      </c>
      <c r="C260" s="3">
        <v>193</v>
      </c>
      <c r="D260" s="2">
        <v>12280</v>
      </c>
      <c r="E260" s="2">
        <f t="shared" si="24"/>
        <v>5492.5</v>
      </c>
      <c r="F260" s="2">
        <v>2380</v>
      </c>
      <c r="G260" s="2">
        <f t="shared" si="25"/>
        <v>991.66666666666674</v>
      </c>
      <c r="H260" s="4">
        <f>VLOOKUP(B260,nodes!A:D,2,0)</f>
        <v>90</v>
      </c>
      <c r="I260" s="4">
        <f>VLOOKUP(B260,nodes!A:D,4,0)</f>
        <v>60</v>
      </c>
      <c r="J260" s="4">
        <f>VLOOKUP(C260,nodes!A:D,2,0)</f>
        <v>90</v>
      </c>
      <c r="K260" s="4">
        <f>VLOOKUP(C260,nodes!A:D,4,0)</f>
        <v>30</v>
      </c>
      <c r="L260" s="4">
        <f t="shared" si="26"/>
        <v>30</v>
      </c>
      <c r="N260" s="12">
        <f t="shared" si="27"/>
        <v>7437500</v>
      </c>
      <c r="O260" s="12">
        <f t="shared" si="28"/>
        <v>42840000</v>
      </c>
      <c r="P260" s="12">
        <f t="shared" si="29"/>
        <v>11900</v>
      </c>
    </row>
    <row r="261" spans="1:16" x14ac:dyDescent="0.25">
      <c r="A261" s="3">
        <v>260</v>
      </c>
      <c r="B261" s="3">
        <v>193</v>
      </c>
      <c r="C261" s="3">
        <v>214</v>
      </c>
      <c r="D261" s="2">
        <v>12280</v>
      </c>
      <c r="E261" s="2">
        <f t="shared" si="24"/>
        <v>5492.5</v>
      </c>
      <c r="F261" s="2">
        <v>2380</v>
      </c>
      <c r="G261" s="2">
        <f t="shared" si="25"/>
        <v>991.66666666666674</v>
      </c>
      <c r="H261" s="4">
        <f>VLOOKUP(B261,nodes!A:D,2,0)</f>
        <v>90</v>
      </c>
      <c r="I261" s="4">
        <f>VLOOKUP(B261,nodes!A:D,4,0)</f>
        <v>30</v>
      </c>
      <c r="J261" s="4">
        <f>VLOOKUP(C261,nodes!A:D,2,0)</f>
        <v>90</v>
      </c>
      <c r="K261" s="4">
        <f>VLOOKUP(C261,nodes!A:D,4,0)</f>
        <v>0</v>
      </c>
      <c r="L261" s="4">
        <f t="shared" si="26"/>
        <v>30</v>
      </c>
      <c r="N261" s="12">
        <f t="shared" si="27"/>
        <v>7437500</v>
      </c>
      <c r="O261" s="12">
        <f t="shared" si="28"/>
        <v>42840000</v>
      </c>
      <c r="P261" s="12">
        <f t="shared" si="29"/>
        <v>11900</v>
      </c>
    </row>
    <row r="262" spans="1:16" x14ac:dyDescent="0.25">
      <c r="A262" s="3">
        <v>261</v>
      </c>
      <c r="B262" s="3">
        <v>5</v>
      </c>
      <c r="C262" s="3">
        <v>26</v>
      </c>
      <c r="D262" s="2">
        <v>12280</v>
      </c>
      <c r="E262" s="2">
        <f t="shared" si="24"/>
        <v>5492.5</v>
      </c>
      <c r="F262" s="2">
        <v>2380</v>
      </c>
      <c r="G262" s="2">
        <f t="shared" si="25"/>
        <v>991.66666666666674</v>
      </c>
      <c r="H262" s="4">
        <f>VLOOKUP(B262,nodes!A:D,2,0)</f>
        <v>120</v>
      </c>
      <c r="I262" s="4">
        <f>VLOOKUP(B262,nodes!A:D,4,0)</f>
        <v>300</v>
      </c>
      <c r="J262" s="4">
        <f>VLOOKUP(C262,nodes!A:D,2,0)</f>
        <v>120</v>
      </c>
      <c r="K262" s="4">
        <f>VLOOKUP(C262,nodes!A:D,4,0)</f>
        <v>270</v>
      </c>
      <c r="L262" s="4">
        <f t="shared" si="26"/>
        <v>30</v>
      </c>
      <c r="N262" s="12">
        <f t="shared" si="27"/>
        <v>7437500</v>
      </c>
      <c r="O262" s="12">
        <f t="shared" si="28"/>
        <v>42840000</v>
      </c>
      <c r="P262" s="12">
        <f t="shared" si="29"/>
        <v>11900</v>
      </c>
    </row>
    <row r="263" spans="1:16" x14ac:dyDescent="0.25">
      <c r="A263" s="3">
        <v>262</v>
      </c>
      <c r="B263" s="3">
        <v>26</v>
      </c>
      <c r="C263" s="3">
        <v>47</v>
      </c>
      <c r="D263" s="2">
        <v>12280</v>
      </c>
      <c r="E263" s="2">
        <f t="shared" si="24"/>
        <v>5492.5</v>
      </c>
      <c r="F263" s="2">
        <v>2380</v>
      </c>
      <c r="G263" s="2">
        <f t="shared" si="25"/>
        <v>991.66666666666674</v>
      </c>
      <c r="H263" s="4">
        <f>VLOOKUP(B263,nodes!A:D,2,0)</f>
        <v>120</v>
      </c>
      <c r="I263" s="4">
        <f>VLOOKUP(B263,nodes!A:D,4,0)</f>
        <v>270</v>
      </c>
      <c r="J263" s="4">
        <f>VLOOKUP(C263,nodes!A:D,2,0)</f>
        <v>120</v>
      </c>
      <c r="K263" s="4">
        <f>VLOOKUP(C263,nodes!A:D,4,0)</f>
        <v>240</v>
      </c>
      <c r="L263" s="4">
        <f t="shared" si="26"/>
        <v>30</v>
      </c>
      <c r="N263" s="12">
        <f t="shared" si="27"/>
        <v>7437500</v>
      </c>
      <c r="O263" s="12">
        <f t="shared" si="28"/>
        <v>42840000</v>
      </c>
      <c r="P263" s="12">
        <f t="shared" si="29"/>
        <v>11900</v>
      </c>
    </row>
    <row r="264" spans="1:16" x14ac:dyDescent="0.25">
      <c r="A264" s="3">
        <v>263</v>
      </c>
      <c r="B264" s="3">
        <v>47</v>
      </c>
      <c r="C264" s="3">
        <v>68</v>
      </c>
      <c r="D264" s="2">
        <v>12280</v>
      </c>
      <c r="E264" s="2">
        <f t="shared" si="24"/>
        <v>5492.5</v>
      </c>
      <c r="F264" s="2">
        <v>2380</v>
      </c>
      <c r="G264" s="2">
        <f t="shared" si="25"/>
        <v>991.66666666666674</v>
      </c>
      <c r="H264" s="4">
        <f>VLOOKUP(B264,nodes!A:D,2,0)</f>
        <v>120</v>
      </c>
      <c r="I264" s="4">
        <f>VLOOKUP(B264,nodes!A:D,4,0)</f>
        <v>240</v>
      </c>
      <c r="J264" s="4">
        <f>VLOOKUP(C264,nodes!A:D,2,0)</f>
        <v>120</v>
      </c>
      <c r="K264" s="4">
        <f>VLOOKUP(C264,nodes!A:D,4,0)</f>
        <v>210</v>
      </c>
      <c r="L264" s="4">
        <f t="shared" si="26"/>
        <v>30</v>
      </c>
      <c r="N264" s="12">
        <f t="shared" si="27"/>
        <v>7437500</v>
      </c>
      <c r="O264" s="12">
        <f t="shared" si="28"/>
        <v>42840000</v>
      </c>
      <c r="P264" s="12">
        <f t="shared" si="29"/>
        <v>11900</v>
      </c>
    </row>
    <row r="265" spans="1:16" x14ac:dyDescent="0.25">
      <c r="A265" s="3">
        <v>264</v>
      </c>
      <c r="B265" s="3">
        <v>68</v>
      </c>
      <c r="C265" s="3">
        <v>89</v>
      </c>
      <c r="D265" s="2">
        <v>12280</v>
      </c>
      <c r="E265" s="2">
        <f t="shared" si="24"/>
        <v>5492.5</v>
      </c>
      <c r="F265" s="2">
        <v>2380</v>
      </c>
      <c r="G265" s="2">
        <f t="shared" si="25"/>
        <v>991.66666666666674</v>
      </c>
      <c r="H265" s="4">
        <f>VLOOKUP(B265,nodes!A:D,2,0)</f>
        <v>120</v>
      </c>
      <c r="I265" s="4">
        <f>VLOOKUP(B265,nodes!A:D,4,0)</f>
        <v>210</v>
      </c>
      <c r="J265" s="4">
        <f>VLOOKUP(C265,nodes!A:D,2,0)</f>
        <v>120</v>
      </c>
      <c r="K265" s="4">
        <f>VLOOKUP(C265,nodes!A:D,4,0)</f>
        <v>180</v>
      </c>
      <c r="L265" s="4">
        <f t="shared" si="26"/>
        <v>30</v>
      </c>
      <c r="N265" s="12">
        <f t="shared" si="27"/>
        <v>7437500</v>
      </c>
      <c r="O265" s="12">
        <f t="shared" si="28"/>
        <v>42840000</v>
      </c>
      <c r="P265" s="12">
        <f t="shared" si="29"/>
        <v>11900</v>
      </c>
    </row>
    <row r="266" spans="1:16" x14ac:dyDescent="0.25">
      <c r="A266" s="3">
        <v>265</v>
      </c>
      <c r="B266" s="3">
        <v>89</v>
      </c>
      <c r="C266" s="3">
        <v>110</v>
      </c>
      <c r="D266" s="2">
        <v>12280</v>
      </c>
      <c r="E266" s="2">
        <f t="shared" si="24"/>
        <v>5492.5</v>
      </c>
      <c r="F266" s="2">
        <v>2380</v>
      </c>
      <c r="G266" s="2">
        <f t="shared" si="25"/>
        <v>991.66666666666674</v>
      </c>
      <c r="H266" s="4">
        <f>VLOOKUP(B266,nodes!A:D,2,0)</f>
        <v>120</v>
      </c>
      <c r="I266" s="4">
        <f>VLOOKUP(B266,nodes!A:D,4,0)</f>
        <v>180</v>
      </c>
      <c r="J266" s="4">
        <f>VLOOKUP(C266,nodes!A:D,2,0)</f>
        <v>120</v>
      </c>
      <c r="K266" s="4">
        <f>VLOOKUP(C266,nodes!A:D,4,0)</f>
        <v>150</v>
      </c>
      <c r="L266" s="4">
        <f t="shared" si="26"/>
        <v>30</v>
      </c>
      <c r="N266" s="12">
        <f t="shared" si="27"/>
        <v>7437500</v>
      </c>
      <c r="O266" s="12">
        <f t="shared" si="28"/>
        <v>42840000</v>
      </c>
      <c r="P266" s="12">
        <f t="shared" si="29"/>
        <v>11900</v>
      </c>
    </row>
    <row r="267" spans="1:16" x14ac:dyDescent="0.25">
      <c r="A267" s="3">
        <v>266</v>
      </c>
      <c r="B267" s="3">
        <v>110</v>
      </c>
      <c r="C267" s="3">
        <v>131</v>
      </c>
      <c r="D267" s="2">
        <v>12280</v>
      </c>
      <c r="E267" s="2">
        <f t="shared" si="24"/>
        <v>5492.5</v>
      </c>
      <c r="F267" s="2">
        <v>2380</v>
      </c>
      <c r="G267" s="2">
        <f t="shared" si="25"/>
        <v>991.66666666666674</v>
      </c>
      <c r="H267" s="4">
        <f>VLOOKUP(B267,nodes!A:D,2,0)</f>
        <v>120</v>
      </c>
      <c r="I267" s="4">
        <f>VLOOKUP(B267,nodes!A:D,4,0)</f>
        <v>150</v>
      </c>
      <c r="J267" s="4">
        <f>VLOOKUP(C267,nodes!A:D,2,0)</f>
        <v>120</v>
      </c>
      <c r="K267" s="4">
        <f>VLOOKUP(C267,nodes!A:D,4,0)</f>
        <v>120</v>
      </c>
      <c r="L267" s="4">
        <f t="shared" si="26"/>
        <v>30</v>
      </c>
      <c r="N267" s="12">
        <f t="shared" si="27"/>
        <v>7437500</v>
      </c>
      <c r="O267" s="12">
        <f t="shared" si="28"/>
        <v>42840000</v>
      </c>
      <c r="P267" s="12">
        <f t="shared" si="29"/>
        <v>11900</v>
      </c>
    </row>
    <row r="268" spans="1:16" x14ac:dyDescent="0.25">
      <c r="A268" s="3">
        <v>267</v>
      </c>
      <c r="B268" s="3">
        <v>131</v>
      </c>
      <c r="C268" s="3">
        <v>152</v>
      </c>
      <c r="D268" s="2">
        <v>12280</v>
      </c>
      <c r="E268" s="2">
        <f t="shared" si="24"/>
        <v>5492.5</v>
      </c>
      <c r="F268" s="2">
        <v>2380</v>
      </c>
      <c r="G268" s="2">
        <f t="shared" si="25"/>
        <v>991.66666666666674</v>
      </c>
      <c r="H268" s="4">
        <f>VLOOKUP(B268,nodes!A:D,2,0)</f>
        <v>120</v>
      </c>
      <c r="I268" s="4">
        <f>VLOOKUP(B268,nodes!A:D,4,0)</f>
        <v>120</v>
      </c>
      <c r="J268" s="4">
        <f>VLOOKUP(C268,nodes!A:D,2,0)</f>
        <v>120</v>
      </c>
      <c r="K268" s="4">
        <f>VLOOKUP(C268,nodes!A:D,4,0)</f>
        <v>90</v>
      </c>
      <c r="L268" s="4">
        <f t="shared" si="26"/>
        <v>30</v>
      </c>
      <c r="N268" s="12">
        <f t="shared" si="27"/>
        <v>7437500</v>
      </c>
      <c r="O268" s="12">
        <f t="shared" si="28"/>
        <v>42840000</v>
      </c>
      <c r="P268" s="12">
        <f t="shared" si="29"/>
        <v>11900</v>
      </c>
    </row>
    <row r="269" spans="1:16" x14ac:dyDescent="0.25">
      <c r="A269" s="3">
        <v>268</v>
      </c>
      <c r="B269" s="3">
        <v>152</v>
      </c>
      <c r="C269" s="3">
        <v>173</v>
      </c>
      <c r="D269" s="2">
        <v>12280</v>
      </c>
      <c r="E269" s="2">
        <f t="shared" si="24"/>
        <v>5492.5</v>
      </c>
      <c r="F269" s="2">
        <v>2380</v>
      </c>
      <c r="G269" s="2">
        <f t="shared" si="25"/>
        <v>991.66666666666674</v>
      </c>
      <c r="H269" s="4">
        <f>VLOOKUP(B269,nodes!A:D,2,0)</f>
        <v>120</v>
      </c>
      <c r="I269" s="4">
        <f>VLOOKUP(B269,nodes!A:D,4,0)</f>
        <v>90</v>
      </c>
      <c r="J269" s="4">
        <f>VLOOKUP(C269,nodes!A:D,2,0)</f>
        <v>120</v>
      </c>
      <c r="K269" s="4">
        <f>VLOOKUP(C269,nodes!A:D,4,0)</f>
        <v>60</v>
      </c>
      <c r="L269" s="4">
        <f t="shared" si="26"/>
        <v>30</v>
      </c>
      <c r="N269" s="12">
        <f t="shared" si="27"/>
        <v>7437500</v>
      </c>
      <c r="O269" s="12">
        <f t="shared" si="28"/>
        <v>42840000</v>
      </c>
      <c r="P269" s="12">
        <f t="shared" si="29"/>
        <v>11900</v>
      </c>
    </row>
    <row r="270" spans="1:16" x14ac:dyDescent="0.25">
      <c r="A270" s="3">
        <v>269</v>
      </c>
      <c r="B270" s="3">
        <v>173</v>
      </c>
      <c r="C270" s="3">
        <v>194</v>
      </c>
      <c r="D270" s="2">
        <v>12280</v>
      </c>
      <c r="E270" s="2">
        <f t="shared" si="24"/>
        <v>5492.5</v>
      </c>
      <c r="F270" s="2">
        <v>2380</v>
      </c>
      <c r="G270" s="2">
        <f t="shared" si="25"/>
        <v>991.66666666666674</v>
      </c>
      <c r="H270" s="4">
        <f>VLOOKUP(B270,nodes!A:D,2,0)</f>
        <v>120</v>
      </c>
      <c r="I270" s="4">
        <f>VLOOKUP(B270,nodes!A:D,4,0)</f>
        <v>60</v>
      </c>
      <c r="J270" s="4">
        <f>VLOOKUP(C270,nodes!A:D,2,0)</f>
        <v>120</v>
      </c>
      <c r="K270" s="4">
        <f>VLOOKUP(C270,nodes!A:D,4,0)</f>
        <v>30</v>
      </c>
      <c r="L270" s="4">
        <f t="shared" si="26"/>
        <v>30</v>
      </c>
      <c r="N270" s="12">
        <f t="shared" si="27"/>
        <v>7437500</v>
      </c>
      <c r="O270" s="12">
        <f t="shared" si="28"/>
        <v>42840000</v>
      </c>
      <c r="P270" s="12">
        <f t="shared" si="29"/>
        <v>11900</v>
      </c>
    </row>
    <row r="271" spans="1:16" x14ac:dyDescent="0.25">
      <c r="A271" s="3">
        <v>270</v>
      </c>
      <c r="B271" s="3">
        <v>194</v>
      </c>
      <c r="C271" s="3">
        <v>215</v>
      </c>
      <c r="D271" s="2">
        <v>12280</v>
      </c>
      <c r="E271" s="2">
        <f t="shared" si="24"/>
        <v>5492.5</v>
      </c>
      <c r="F271" s="2">
        <v>2380</v>
      </c>
      <c r="G271" s="2">
        <f t="shared" si="25"/>
        <v>991.66666666666674</v>
      </c>
      <c r="H271" s="4">
        <f>VLOOKUP(B271,nodes!A:D,2,0)</f>
        <v>120</v>
      </c>
      <c r="I271" s="4">
        <f>VLOOKUP(B271,nodes!A:D,4,0)</f>
        <v>30</v>
      </c>
      <c r="J271" s="4">
        <f>VLOOKUP(C271,nodes!A:D,2,0)</f>
        <v>120</v>
      </c>
      <c r="K271" s="4">
        <f>VLOOKUP(C271,nodes!A:D,4,0)</f>
        <v>0</v>
      </c>
      <c r="L271" s="4">
        <f t="shared" si="26"/>
        <v>30</v>
      </c>
      <c r="N271" s="12">
        <f t="shared" si="27"/>
        <v>7437500</v>
      </c>
      <c r="O271" s="12">
        <f t="shared" si="28"/>
        <v>42840000</v>
      </c>
      <c r="P271" s="12">
        <f t="shared" si="29"/>
        <v>11900</v>
      </c>
    </row>
    <row r="272" spans="1:16" x14ac:dyDescent="0.25">
      <c r="A272" s="3">
        <v>271</v>
      </c>
      <c r="B272" s="3">
        <v>6</v>
      </c>
      <c r="C272" s="3">
        <v>27</v>
      </c>
      <c r="D272" s="2">
        <v>12280</v>
      </c>
      <c r="E272" s="2">
        <f t="shared" si="24"/>
        <v>5492.5</v>
      </c>
      <c r="F272" s="2">
        <v>2380</v>
      </c>
      <c r="G272" s="2">
        <f t="shared" si="25"/>
        <v>991.66666666666674</v>
      </c>
      <c r="H272" s="4">
        <f>VLOOKUP(B272,nodes!A:D,2,0)</f>
        <v>150</v>
      </c>
      <c r="I272" s="4">
        <f>VLOOKUP(B272,nodes!A:D,4,0)</f>
        <v>300</v>
      </c>
      <c r="J272" s="4">
        <f>VLOOKUP(C272,nodes!A:D,2,0)</f>
        <v>150</v>
      </c>
      <c r="K272" s="4">
        <f>VLOOKUP(C272,nodes!A:D,4,0)</f>
        <v>270</v>
      </c>
      <c r="L272" s="4">
        <f t="shared" si="26"/>
        <v>30</v>
      </c>
      <c r="N272" s="12">
        <f t="shared" si="27"/>
        <v>7437500</v>
      </c>
      <c r="O272" s="12">
        <f t="shared" si="28"/>
        <v>42840000</v>
      </c>
      <c r="P272" s="12">
        <f t="shared" si="29"/>
        <v>11900</v>
      </c>
    </row>
    <row r="273" spans="1:16" x14ac:dyDescent="0.25">
      <c r="A273" s="3">
        <v>272</v>
      </c>
      <c r="B273" s="3">
        <v>27</v>
      </c>
      <c r="C273" s="3">
        <v>48</v>
      </c>
      <c r="D273" s="2">
        <v>12280</v>
      </c>
      <c r="E273" s="2">
        <f t="shared" si="24"/>
        <v>5492.5</v>
      </c>
      <c r="F273" s="2">
        <v>2380</v>
      </c>
      <c r="G273" s="2">
        <f t="shared" si="25"/>
        <v>991.66666666666674</v>
      </c>
      <c r="H273" s="4">
        <f>VLOOKUP(B273,nodes!A:D,2,0)</f>
        <v>150</v>
      </c>
      <c r="I273" s="4">
        <f>VLOOKUP(B273,nodes!A:D,4,0)</f>
        <v>270</v>
      </c>
      <c r="J273" s="4">
        <f>VLOOKUP(C273,nodes!A:D,2,0)</f>
        <v>150</v>
      </c>
      <c r="K273" s="4">
        <f>VLOOKUP(C273,nodes!A:D,4,0)</f>
        <v>240</v>
      </c>
      <c r="L273" s="4">
        <f t="shared" si="26"/>
        <v>30</v>
      </c>
      <c r="N273" s="12">
        <f t="shared" si="27"/>
        <v>7437500</v>
      </c>
      <c r="O273" s="12">
        <f t="shared" si="28"/>
        <v>42840000</v>
      </c>
      <c r="P273" s="12">
        <f t="shared" si="29"/>
        <v>11900</v>
      </c>
    </row>
    <row r="274" spans="1:16" x14ac:dyDescent="0.25">
      <c r="A274" s="3">
        <v>273</v>
      </c>
      <c r="B274" s="3">
        <v>48</v>
      </c>
      <c r="C274" s="3">
        <v>69</v>
      </c>
      <c r="D274" s="2">
        <v>12280</v>
      </c>
      <c r="E274" s="2">
        <f t="shared" si="24"/>
        <v>5492.5</v>
      </c>
      <c r="F274" s="2">
        <v>2380</v>
      </c>
      <c r="G274" s="2">
        <f t="shared" si="25"/>
        <v>991.66666666666674</v>
      </c>
      <c r="H274" s="4">
        <f>VLOOKUP(B274,nodes!A:D,2,0)</f>
        <v>150</v>
      </c>
      <c r="I274" s="4">
        <f>VLOOKUP(B274,nodes!A:D,4,0)</f>
        <v>240</v>
      </c>
      <c r="J274" s="4">
        <f>VLOOKUP(C274,nodes!A:D,2,0)</f>
        <v>150</v>
      </c>
      <c r="K274" s="4">
        <f>VLOOKUP(C274,nodes!A:D,4,0)</f>
        <v>210</v>
      </c>
      <c r="L274" s="4">
        <f t="shared" si="26"/>
        <v>30</v>
      </c>
      <c r="N274" s="12">
        <f t="shared" si="27"/>
        <v>7437500</v>
      </c>
      <c r="O274" s="12">
        <f t="shared" si="28"/>
        <v>42840000</v>
      </c>
      <c r="P274" s="12">
        <f t="shared" si="29"/>
        <v>11900</v>
      </c>
    </row>
    <row r="275" spans="1:16" x14ac:dyDescent="0.25">
      <c r="A275" s="3">
        <v>274</v>
      </c>
      <c r="B275" s="3">
        <v>69</v>
      </c>
      <c r="C275" s="3">
        <v>90</v>
      </c>
      <c r="D275" s="2">
        <v>12280</v>
      </c>
      <c r="E275" s="2">
        <f t="shared" si="24"/>
        <v>5492.5</v>
      </c>
      <c r="F275" s="2">
        <v>2380</v>
      </c>
      <c r="G275" s="2">
        <f t="shared" si="25"/>
        <v>991.66666666666674</v>
      </c>
      <c r="H275" s="4">
        <f>VLOOKUP(B275,nodes!A:D,2,0)</f>
        <v>150</v>
      </c>
      <c r="I275" s="4">
        <f>VLOOKUP(B275,nodes!A:D,4,0)</f>
        <v>210</v>
      </c>
      <c r="J275" s="4">
        <f>VLOOKUP(C275,nodes!A:D,2,0)</f>
        <v>150</v>
      </c>
      <c r="K275" s="4">
        <f>VLOOKUP(C275,nodes!A:D,4,0)</f>
        <v>180</v>
      </c>
      <c r="L275" s="4">
        <f t="shared" si="26"/>
        <v>30</v>
      </c>
      <c r="N275" s="12">
        <f t="shared" si="27"/>
        <v>7437500</v>
      </c>
      <c r="O275" s="12">
        <f t="shared" si="28"/>
        <v>42840000</v>
      </c>
      <c r="P275" s="12">
        <f t="shared" si="29"/>
        <v>11900</v>
      </c>
    </row>
    <row r="276" spans="1:16" x14ac:dyDescent="0.25">
      <c r="A276" s="3">
        <v>275</v>
      </c>
      <c r="B276" s="3">
        <v>90</v>
      </c>
      <c r="C276" s="3">
        <v>111</v>
      </c>
      <c r="D276" s="2">
        <v>12280</v>
      </c>
      <c r="E276" s="2">
        <f t="shared" si="24"/>
        <v>5492.5</v>
      </c>
      <c r="F276" s="2">
        <v>2380</v>
      </c>
      <c r="G276" s="2">
        <f t="shared" si="25"/>
        <v>991.66666666666674</v>
      </c>
      <c r="H276" s="4">
        <f>VLOOKUP(B276,nodes!A:D,2,0)</f>
        <v>150</v>
      </c>
      <c r="I276" s="4">
        <f>VLOOKUP(B276,nodes!A:D,4,0)</f>
        <v>180</v>
      </c>
      <c r="J276" s="4">
        <f>VLOOKUP(C276,nodes!A:D,2,0)</f>
        <v>150</v>
      </c>
      <c r="K276" s="4">
        <f>VLOOKUP(C276,nodes!A:D,4,0)</f>
        <v>150</v>
      </c>
      <c r="L276" s="4">
        <f t="shared" si="26"/>
        <v>30</v>
      </c>
      <c r="N276" s="12">
        <f t="shared" si="27"/>
        <v>7437500</v>
      </c>
      <c r="O276" s="12">
        <f t="shared" si="28"/>
        <v>42840000</v>
      </c>
      <c r="P276" s="12">
        <f t="shared" si="29"/>
        <v>11900</v>
      </c>
    </row>
    <row r="277" spans="1:16" x14ac:dyDescent="0.25">
      <c r="A277" s="3">
        <v>276</v>
      </c>
      <c r="B277" s="3">
        <v>111</v>
      </c>
      <c r="C277" s="3">
        <v>132</v>
      </c>
      <c r="D277" s="2">
        <v>12280</v>
      </c>
      <c r="E277" s="2">
        <f t="shared" si="24"/>
        <v>5492.5</v>
      </c>
      <c r="F277" s="2">
        <v>2380</v>
      </c>
      <c r="G277" s="2">
        <f t="shared" si="25"/>
        <v>991.66666666666674</v>
      </c>
      <c r="H277" s="4">
        <f>VLOOKUP(B277,nodes!A:D,2,0)</f>
        <v>150</v>
      </c>
      <c r="I277" s="4">
        <f>VLOOKUP(B277,nodes!A:D,4,0)</f>
        <v>150</v>
      </c>
      <c r="J277" s="4">
        <f>VLOOKUP(C277,nodes!A:D,2,0)</f>
        <v>150</v>
      </c>
      <c r="K277" s="4">
        <f>VLOOKUP(C277,nodes!A:D,4,0)</f>
        <v>120</v>
      </c>
      <c r="L277" s="4">
        <f t="shared" si="26"/>
        <v>30</v>
      </c>
      <c r="N277" s="12">
        <f t="shared" si="27"/>
        <v>7437500</v>
      </c>
      <c r="O277" s="12">
        <f t="shared" si="28"/>
        <v>42840000</v>
      </c>
      <c r="P277" s="12">
        <f t="shared" si="29"/>
        <v>11900</v>
      </c>
    </row>
    <row r="278" spans="1:16" x14ac:dyDescent="0.25">
      <c r="A278" s="3">
        <v>277</v>
      </c>
      <c r="B278" s="3">
        <v>132</v>
      </c>
      <c r="C278" s="3">
        <v>153</v>
      </c>
      <c r="D278" s="2">
        <v>12280</v>
      </c>
      <c r="E278" s="2">
        <f t="shared" si="24"/>
        <v>5492.5</v>
      </c>
      <c r="F278" s="2">
        <v>2380</v>
      </c>
      <c r="G278" s="2">
        <f t="shared" si="25"/>
        <v>991.66666666666674</v>
      </c>
      <c r="H278" s="4">
        <f>VLOOKUP(B278,nodes!A:D,2,0)</f>
        <v>150</v>
      </c>
      <c r="I278" s="4">
        <f>VLOOKUP(B278,nodes!A:D,4,0)</f>
        <v>120</v>
      </c>
      <c r="J278" s="4">
        <f>VLOOKUP(C278,nodes!A:D,2,0)</f>
        <v>150</v>
      </c>
      <c r="K278" s="4">
        <f>VLOOKUP(C278,nodes!A:D,4,0)</f>
        <v>90</v>
      </c>
      <c r="L278" s="4">
        <f t="shared" si="26"/>
        <v>30</v>
      </c>
      <c r="N278" s="12">
        <f t="shared" si="27"/>
        <v>7437500</v>
      </c>
      <c r="O278" s="12">
        <f t="shared" si="28"/>
        <v>42840000</v>
      </c>
      <c r="P278" s="12">
        <f t="shared" si="29"/>
        <v>11900</v>
      </c>
    </row>
    <row r="279" spans="1:16" x14ac:dyDescent="0.25">
      <c r="A279" s="3">
        <v>278</v>
      </c>
      <c r="B279" s="3">
        <v>153</v>
      </c>
      <c r="C279" s="3">
        <v>174</v>
      </c>
      <c r="D279" s="2">
        <v>12280</v>
      </c>
      <c r="E279" s="2">
        <f t="shared" si="24"/>
        <v>5492.5</v>
      </c>
      <c r="F279" s="2">
        <v>2380</v>
      </c>
      <c r="G279" s="2">
        <f t="shared" si="25"/>
        <v>991.66666666666674</v>
      </c>
      <c r="H279" s="4">
        <f>VLOOKUP(B279,nodes!A:D,2,0)</f>
        <v>150</v>
      </c>
      <c r="I279" s="4">
        <f>VLOOKUP(B279,nodes!A:D,4,0)</f>
        <v>90</v>
      </c>
      <c r="J279" s="4">
        <f>VLOOKUP(C279,nodes!A:D,2,0)</f>
        <v>150</v>
      </c>
      <c r="K279" s="4">
        <f>VLOOKUP(C279,nodes!A:D,4,0)</f>
        <v>60</v>
      </c>
      <c r="L279" s="4">
        <f t="shared" si="26"/>
        <v>30</v>
      </c>
      <c r="N279" s="12">
        <f t="shared" si="27"/>
        <v>7437500</v>
      </c>
      <c r="O279" s="12">
        <f t="shared" si="28"/>
        <v>42840000</v>
      </c>
      <c r="P279" s="12">
        <f t="shared" si="29"/>
        <v>11900</v>
      </c>
    </row>
    <row r="280" spans="1:16" x14ac:dyDescent="0.25">
      <c r="A280" s="3">
        <v>279</v>
      </c>
      <c r="B280" s="3">
        <v>174</v>
      </c>
      <c r="C280" s="3">
        <v>195</v>
      </c>
      <c r="D280" s="2">
        <v>12280</v>
      </c>
      <c r="E280" s="2">
        <f t="shared" si="24"/>
        <v>5492.5</v>
      </c>
      <c r="F280" s="2">
        <v>2380</v>
      </c>
      <c r="G280" s="2">
        <f t="shared" si="25"/>
        <v>991.66666666666674</v>
      </c>
      <c r="H280" s="4">
        <f>VLOOKUP(B280,nodes!A:D,2,0)</f>
        <v>150</v>
      </c>
      <c r="I280" s="4">
        <f>VLOOKUP(B280,nodes!A:D,4,0)</f>
        <v>60</v>
      </c>
      <c r="J280" s="4">
        <f>VLOOKUP(C280,nodes!A:D,2,0)</f>
        <v>150</v>
      </c>
      <c r="K280" s="4">
        <f>VLOOKUP(C280,nodes!A:D,4,0)</f>
        <v>30</v>
      </c>
      <c r="L280" s="4">
        <f t="shared" si="26"/>
        <v>30</v>
      </c>
      <c r="N280" s="12">
        <f t="shared" si="27"/>
        <v>7437500</v>
      </c>
      <c r="O280" s="12">
        <f t="shared" si="28"/>
        <v>42840000</v>
      </c>
      <c r="P280" s="12">
        <f t="shared" si="29"/>
        <v>11900</v>
      </c>
    </row>
    <row r="281" spans="1:16" x14ac:dyDescent="0.25">
      <c r="A281" s="3">
        <v>280</v>
      </c>
      <c r="B281" s="3">
        <v>195</v>
      </c>
      <c r="C281" s="3">
        <v>216</v>
      </c>
      <c r="D281" s="2">
        <v>12280</v>
      </c>
      <c r="E281" s="2">
        <f t="shared" si="24"/>
        <v>5492.5</v>
      </c>
      <c r="F281" s="2">
        <v>2380</v>
      </c>
      <c r="G281" s="2">
        <f t="shared" si="25"/>
        <v>991.66666666666674</v>
      </c>
      <c r="H281" s="4">
        <f>VLOOKUP(B281,nodes!A:D,2,0)</f>
        <v>150</v>
      </c>
      <c r="I281" s="4">
        <f>VLOOKUP(B281,nodes!A:D,4,0)</f>
        <v>30</v>
      </c>
      <c r="J281" s="4">
        <f>VLOOKUP(C281,nodes!A:D,2,0)</f>
        <v>150</v>
      </c>
      <c r="K281" s="4">
        <f>VLOOKUP(C281,nodes!A:D,4,0)</f>
        <v>0</v>
      </c>
      <c r="L281" s="4">
        <f t="shared" si="26"/>
        <v>30</v>
      </c>
      <c r="N281" s="12">
        <f t="shared" si="27"/>
        <v>7437500</v>
      </c>
      <c r="O281" s="12">
        <f t="shared" si="28"/>
        <v>42840000</v>
      </c>
      <c r="P281" s="12">
        <f t="shared" si="29"/>
        <v>11900</v>
      </c>
    </row>
    <row r="282" spans="1:16" x14ac:dyDescent="0.25">
      <c r="A282" s="3">
        <v>281</v>
      </c>
      <c r="B282" s="3">
        <v>7</v>
      </c>
      <c r="C282" s="3">
        <v>28</v>
      </c>
      <c r="D282" s="2">
        <v>12280</v>
      </c>
      <c r="E282" s="2">
        <f t="shared" si="24"/>
        <v>5492.5</v>
      </c>
      <c r="F282" s="2">
        <v>2380</v>
      </c>
      <c r="G282" s="2">
        <f t="shared" si="25"/>
        <v>991.66666666666674</v>
      </c>
      <c r="H282" s="4">
        <f>VLOOKUP(B282,nodes!A:D,2,0)</f>
        <v>180</v>
      </c>
      <c r="I282" s="4">
        <f>VLOOKUP(B282,nodes!A:D,4,0)</f>
        <v>300</v>
      </c>
      <c r="J282" s="4">
        <f>VLOOKUP(C282,nodes!A:D,2,0)</f>
        <v>180</v>
      </c>
      <c r="K282" s="4">
        <f>VLOOKUP(C282,nodes!A:D,4,0)</f>
        <v>270</v>
      </c>
      <c r="L282" s="4">
        <f t="shared" si="26"/>
        <v>30</v>
      </c>
      <c r="N282" s="12">
        <f t="shared" si="27"/>
        <v>7437500</v>
      </c>
      <c r="O282" s="12">
        <f t="shared" si="28"/>
        <v>42840000</v>
      </c>
      <c r="P282" s="12">
        <f t="shared" si="29"/>
        <v>11900</v>
      </c>
    </row>
    <row r="283" spans="1:16" x14ac:dyDescent="0.25">
      <c r="A283" s="3">
        <v>282</v>
      </c>
      <c r="B283" s="3">
        <v>28</v>
      </c>
      <c r="C283" s="3">
        <v>49</v>
      </c>
      <c r="D283" s="2">
        <v>12280</v>
      </c>
      <c r="E283" s="2">
        <f t="shared" si="24"/>
        <v>5492.5</v>
      </c>
      <c r="F283" s="2">
        <v>2380</v>
      </c>
      <c r="G283" s="2">
        <f t="shared" si="25"/>
        <v>991.66666666666674</v>
      </c>
      <c r="H283" s="4">
        <f>VLOOKUP(B283,nodes!A:D,2,0)</f>
        <v>180</v>
      </c>
      <c r="I283" s="4">
        <f>VLOOKUP(B283,nodes!A:D,4,0)</f>
        <v>270</v>
      </c>
      <c r="J283" s="4">
        <f>VLOOKUP(C283,nodes!A:D,2,0)</f>
        <v>180</v>
      </c>
      <c r="K283" s="4">
        <f>VLOOKUP(C283,nodes!A:D,4,0)</f>
        <v>240</v>
      </c>
      <c r="L283" s="4">
        <f t="shared" si="26"/>
        <v>30</v>
      </c>
      <c r="N283" s="12">
        <f t="shared" si="27"/>
        <v>7437500</v>
      </c>
      <c r="O283" s="12">
        <f t="shared" si="28"/>
        <v>42840000</v>
      </c>
      <c r="P283" s="12">
        <f t="shared" si="29"/>
        <v>11900</v>
      </c>
    </row>
    <row r="284" spans="1:16" x14ac:dyDescent="0.25">
      <c r="A284" s="3">
        <v>283</v>
      </c>
      <c r="B284" s="3">
        <v>49</v>
      </c>
      <c r="C284" s="3">
        <v>70</v>
      </c>
      <c r="D284" s="2">
        <v>12280</v>
      </c>
      <c r="E284" s="2">
        <f t="shared" si="24"/>
        <v>5492.5</v>
      </c>
      <c r="F284" s="2">
        <v>2380</v>
      </c>
      <c r="G284" s="2">
        <f t="shared" si="25"/>
        <v>991.66666666666674</v>
      </c>
      <c r="H284" s="4">
        <f>VLOOKUP(B284,nodes!A:D,2,0)</f>
        <v>180</v>
      </c>
      <c r="I284" s="4">
        <f>VLOOKUP(B284,nodes!A:D,4,0)</f>
        <v>240</v>
      </c>
      <c r="J284" s="4">
        <f>VLOOKUP(C284,nodes!A:D,2,0)</f>
        <v>180</v>
      </c>
      <c r="K284" s="4">
        <f>VLOOKUP(C284,nodes!A:D,4,0)</f>
        <v>210</v>
      </c>
      <c r="L284" s="4">
        <f t="shared" si="26"/>
        <v>30</v>
      </c>
      <c r="N284" s="12">
        <f t="shared" si="27"/>
        <v>7437500</v>
      </c>
      <c r="O284" s="12">
        <f t="shared" si="28"/>
        <v>42840000</v>
      </c>
      <c r="P284" s="12">
        <f t="shared" si="29"/>
        <v>11900</v>
      </c>
    </row>
    <row r="285" spans="1:16" x14ac:dyDescent="0.25">
      <c r="A285" s="3">
        <v>284</v>
      </c>
      <c r="B285" s="3">
        <v>70</v>
      </c>
      <c r="C285" s="3">
        <v>91</v>
      </c>
      <c r="D285" s="2">
        <v>12280</v>
      </c>
      <c r="E285" s="2">
        <f t="shared" si="24"/>
        <v>5492.5</v>
      </c>
      <c r="F285" s="2">
        <v>2380</v>
      </c>
      <c r="G285" s="2">
        <f t="shared" si="25"/>
        <v>991.66666666666674</v>
      </c>
      <c r="H285" s="4">
        <f>VLOOKUP(B285,nodes!A:D,2,0)</f>
        <v>180</v>
      </c>
      <c r="I285" s="4">
        <f>VLOOKUP(B285,nodes!A:D,4,0)</f>
        <v>210</v>
      </c>
      <c r="J285" s="4">
        <f>VLOOKUP(C285,nodes!A:D,2,0)</f>
        <v>180</v>
      </c>
      <c r="K285" s="4">
        <f>VLOOKUP(C285,nodes!A:D,4,0)</f>
        <v>180</v>
      </c>
      <c r="L285" s="4">
        <f t="shared" si="26"/>
        <v>30</v>
      </c>
      <c r="N285" s="12">
        <f t="shared" si="27"/>
        <v>7437500</v>
      </c>
      <c r="O285" s="12">
        <f t="shared" si="28"/>
        <v>42840000</v>
      </c>
      <c r="P285" s="12">
        <f t="shared" si="29"/>
        <v>11900</v>
      </c>
    </row>
    <row r="286" spans="1:16" x14ac:dyDescent="0.25">
      <c r="A286" s="3">
        <v>285</v>
      </c>
      <c r="B286" s="3">
        <v>91</v>
      </c>
      <c r="C286" s="3">
        <v>112</v>
      </c>
      <c r="D286" s="2">
        <v>12280</v>
      </c>
      <c r="E286" s="2">
        <f t="shared" si="24"/>
        <v>5492.5</v>
      </c>
      <c r="F286" s="2">
        <v>2380</v>
      </c>
      <c r="G286" s="2">
        <f t="shared" si="25"/>
        <v>991.66666666666674</v>
      </c>
      <c r="H286" s="4">
        <f>VLOOKUP(B286,nodes!A:D,2,0)</f>
        <v>180</v>
      </c>
      <c r="I286" s="4">
        <f>VLOOKUP(B286,nodes!A:D,4,0)</f>
        <v>180</v>
      </c>
      <c r="J286" s="4">
        <f>VLOOKUP(C286,nodes!A:D,2,0)</f>
        <v>180</v>
      </c>
      <c r="K286" s="4">
        <f>VLOOKUP(C286,nodes!A:D,4,0)</f>
        <v>150</v>
      </c>
      <c r="L286" s="4">
        <f t="shared" si="26"/>
        <v>30</v>
      </c>
      <c r="N286" s="12">
        <f t="shared" si="27"/>
        <v>7437500</v>
      </c>
      <c r="O286" s="12">
        <f t="shared" si="28"/>
        <v>42840000</v>
      </c>
      <c r="P286" s="12">
        <f t="shared" si="29"/>
        <v>11900</v>
      </c>
    </row>
    <row r="287" spans="1:16" x14ac:dyDescent="0.25">
      <c r="A287" s="3">
        <v>286</v>
      </c>
      <c r="B287" s="3">
        <v>112</v>
      </c>
      <c r="C287" s="3">
        <v>133</v>
      </c>
      <c r="D287" s="2">
        <v>12280</v>
      </c>
      <c r="E287" s="2">
        <f t="shared" si="24"/>
        <v>5492.5</v>
      </c>
      <c r="F287" s="2">
        <v>2380</v>
      </c>
      <c r="G287" s="2">
        <f t="shared" si="25"/>
        <v>991.66666666666674</v>
      </c>
      <c r="H287" s="4">
        <f>VLOOKUP(B287,nodes!A:D,2,0)</f>
        <v>180</v>
      </c>
      <c r="I287" s="4">
        <f>VLOOKUP(B287,nodes!A:D,4,0)</f>
        <v>150</v>
      </c>
      <c r="J287" s="4">
        <f>VLOOKUP(C287,nodes!A:D,2,0)</f>
        <v>180</v>
      </c>
      <c r="K287" s="4">
        <f>VLOOKUP(C287,nodes!A:D,4,0)</f>
        <v>120</v>
      </c>
      <c r="L287" s="4">
        <f t="shared" si="26"/>
        <v>30</v>
      </c>
      <c r="N287" s="12">
        <f t="shared" si="27"/>
        <v>7437500</v>
      </c>
      <c r="O287" s="12">
        <f t="shared" si="28"/>
        <v>42840000</v>
      </c>
      <c r="P287" s="12">
        <f t="shared" si="29"/>
        <v>11900</v>
      </c>
    </row>
    <row r="288" spans="1:16" x14ac:dyDescent="0.25">
      <c r="A288" s="3">
        <v>287</v>
      </c>
      <c r="B288" s="3">
        <v>133</v>
      </c>
      <c r="C288" s="3">
        <v>154</v>
      </c>
      <c r="D288" s="2">
        <v>12280</v>
      </c>
      <c r="E288" s="2">
        <f t="shared" si="24"/>
        <v>5492.5</v>
      </c>
      <c r="F288" s="2">
        <v>2380</v>
      </c>
      <c r="G288" s="2">
        <f t="shared" si="25"/>
        <v>991.66666666666674</v>
      </c>
      <c r="H288" s="4">
        <f>VLOOKUP(B288,nodes!A:D,2,0)</f>
        <v>180</v>
      </c>
      <c r="I288" s="4">
        <f>VLOOKUP(B288,nodes!A:D,4,0)</f>
        <v>120</v>
      </c>
      <c r="J288" s="4">
        <f>VLOOKUP(C288,nodes!A:D,2,0)</f>
        <v>180</v>
      </c>
      <c r="K288" s="4">
        <f>VLOOKUP(C288,nodes!A:D,4,0)</f>
        <v>90</v>
      </c>
      <c r="L288" s="4">
        <f t="shared" si="26"/>
        <v>30</v>
      </c>
      <c r="N288" s="12">
        <f t="shared" si="27"/>
        <v>7437500</v>
      </c>
      <c r="O288" s="12">
        <f t="shared" si="28"/>
        <v>42840000</v>
      </c>
      <c r="P288" s="12">
        <f t="shared" si="29"/>
        <v>11900</v>
      </c>
    </row>
    <row r="289" spans="1:16" x14ac:dyDescent="0.25">
      <c r="A289" s="3">
        <v>288</v>
      </c>
      <c r="B289" s="3">
        <v>154</v>
      </c>
      <c r="C289" s="3">
        <v>175</v>
      </c>
      <c r="D289" s="2">
        <v>12280</v>
      </c>
      <c r="E289" s="2">
        <f t="shared" si="24"/>
        <v>5492.5</v>
      </c>
      <c r="F289" s="2">
        <v>2380</v>
      </c>
      <c r="G289" s="2">
        <f t="shared" si="25"/>
        <v>991.66666666666674</v>
      </c>
      <c r="H289" s="4">
        <f>VLOOKUP(B289,nodes!A:D,2,0)</f>
        <v>180</v>
      </c>
      <c r="I289" s="4">
        <f>VLOOKUP(B289,nodes!A:D,4,0)</f>
        <v>90</v>
      </c>
      <c r="J289" s="4">
        <f>VLOOKUP(C289,nodes!A:D,2,0)</f>
        <v>180</v>
      </c>
      <c r="K289" s="4">
        <f>VLOOKUP(C289,nodes!A:D,4,0)</f>
        <v>60</v>
      </c>
      <c r="L289" s="4">
        <f t="shared" si="26"/>
        <v>30</v>
      </c>
      <c r="N289" s="12">
        <f t="shared" si="27"/>
        <v>7437500</v>
      </c>
      <c r="O289" s="12">
        <f t="shared" si="28"/>
        <v>42840000</v>
      </c>
      <c r="P289" s="12">
        <f t="shared" si="29"/>
        <v>11900</v>
      </c>
    </row>
    <row r="290" spans="1:16" x14ac:dyDescent="0.25">
      <c r="A290" s="3">
        <v>289</v>
      </c>
      <c r="B290" s="3">
        <v>175</v>
      </c>
      <c r="C290" s="3">
        <v>196</v>
      </c>
      <c r="D290" s="2">
        <v>12280</v>
      </c>
      <c r="E290" s="2">
        <f t="shared" si="24"/>
        <v>5492.5</v>
      </c>
      <c r="F290" s="2">
        <v>2380</v>
      </c>
      <c r="G290" s="2">
        <f t="shared" si="25"/>
        <v>991.66666666666674</v>
      </c>
      <c r="H290" s="4">
        <f>VLOOKUP(B290,nodes!A:D,2,0)</f>
        <v>180</v>
      </c>
      <c r="I290" s="4">
        <f>VLOOKUP(B290,nodes!A:D,4,0)</f>
        <v>60</v>
      </c>
      <c r="J290" s="4">
        <f>VLOOKUP(C290,nodes!A:D,2,0)</f>
        <v>180</v>
      </c>
      <c r="K290" s="4">
        <f>VLOOKUP(C290,nodes!A:D,4,0)</f>
        <v>30</v>
      </c>
      <c r="L290" s="4">
        <f t="shared" si="26"/>
        <v>30</v>
      </c>
      <c r="N290" s="12">
        <f t="shared" si="27"/>
        <v>7437500</v>
      </c>
      <c r="O290" s="12">
        <f t="shared" si="28"/>
        <v>42840000</v>
      </c>
      <c r="P290" s="12">
        <f t="shared" si="29"/>
        <v>11900</v>
      </c>
    </row>
    <row r="291" spans="1:16" x14ac:dyDescent="0.25">
      <c r="A291" s="3">
        <v>290</v>
      </c>
      <c r="B291" s="3">
        <v>196</v>
      </c>
      <c r="C291" s="3">
        <v>217</v>
      </c>
      <c r="D291" s="2">
        <v>12280</v>
      </c>
      <c r="E291" s="2">
        <f t="shared" si="24"/>
        <v>5492.5</v>
      </c>
      <c r="F291" s="2">
        <v>2380</v>
      </c>
      <c r="G291" s="2">
        <f t="shared" si="25"/>
        <v>991.66666666666674</v>
      </c>
      <c r="H291" s="4">
        <f>VLOOKUP(B291,nodes!A:D,2,0)</f>
        <v>180</v>
      </c>
      <c r="I291" s="4">
        <f>VLOOKUP(B291,nodes!A:D,4,0)</f>
        <v>30</v>
      </c>
      <c r="J291" s="4">
        <f>VLOOKUP(C291,nodes!A:D,2,0)</f>
        <v>180</v>
      </c>
      <c r="K291" s="4">
        <f>VLOOKUP(C291,nodes!A:D,4,0)</f>
        <v>0</v>
      </c>
      <c r="L291" s="4">
        <f t="shared" si="26"/>
        <v>30</v>
      </c>
      <c r="N291" s="12">
        <f t="shared" si="27"/>
        <v>7437500</v>
      </c>
      <c r="O291" s="12">
        <f t="shared" si="28"/>
        <v>42840000</v>
      </c>
      <c r="P291" s="12">
        <f t="shared" si="29"/>
        <v>11900</v>
      </c>
    </row>
    <row r="292" spans="1:16" x14ac:dyDescent="0.25">
      <c r="A292" s="3">
        <v>291</v>
      </c>
      <c r="B292" s="3">
        <v>8</v>
      </c>
      <c r="C292" s="3">
        <v>29</v>
      </c>
      <c r="D292" s="2">
        <v>12280</v>
      </c>
      <c r="E292" s="2">
        <f t="shared" si="24"/>
        <v>5492.5</v>
      </c>
      <c r="F292" s="2">
        <v>2380</v>
      </c>
      <c r="G292" s="2">
        <f t="shared" si="25"/>
        <v>991.66666666666674</v>
      </c>
      <c r="H292" s="4">
        <f>VLOOKUP(B292,nodes!A:D,2,0)</f>
        <v>210</v>
      </c>
      <c r="I292" s="4">
        <f>VLOOKUP(B292,nodes!A:D,4,0)</f>
        <v>300</v>
      </c>
      <c r="J292" s="4">
        <f>VLOOKUP(C292,nodes!A:D,2,0)</f>
        <v>210</v>
      </c>
      <c r="K292" s="4">
        <f>VLOOKUP(C292,nodes!A:D,4,0)</f>
        <v>270</v>
      </c>
      <c r="L292" s="4">
        <f t="shared" si="26"/>
        <v>30</v>
      </c>
      <c r="N292" s="12">
        <f t="shared" si="27"/>
        <v>7437500</v>
      </c>
      <c r="O292" s="12">
        <f t="shared" si="28"/>
        <v>42840000</v>
      </c>
      <c r="P292" s="12">
        <f t="shared" si="29"/>
        <v>11900</v>
      </c>
    </row>
    <row r="293" spans="1:16" x14ac:dyDescent="0.25">
      <c r="A293" s="3">
        <v>292</v>
      </c>
      <c r="B293" s="3">
        <v>29</v>
      </c>
      <c r="C293" s="3">
        <v>50</v>
      </c>
      <c r="D293" s="2">
        <v>12280</v>
      </c>
      <c r="E293" s="2">
        <f t="shared" si="24"/>
        <v>5492.5</v>
      </c>
      <c r="F293" s="2">
        <v>2380</v>
      </c>
      <c r="G293" s="2">
        <f t="shared" si="25"/>
        <v>991.66666666666674</v>
      </c>
      <c r="H293" s="4">
        <f>VLOOKUP(B293,nodes!A:D,2,0)</f>
        <v>210</v>
      </c>
      <c r="I293" s="4">
        <f>VLOOKUP(B293,nodes!A:D,4,0)</f>
        <v>270</v>
      </c>
      <c r="J293" s="4">
        <f>VLOOKUP(C293,nodes!A:D,2,0)</f>
        <v>210</v>
      </c>
      <c r="K293" s="4">
        <f>VLOOKUP(C293,nodes!A:D,4,0)</f>
        <v>240</v>
      </c>
      <c r="L293" s="4">
        <f t="shared" si="26"/>
        <v>30</v>
      </c>
      <c r="N293" s="12">
        <f t="shared" si="27"/>
        <v>7437500</v>
      </c>
      <c r="O293" s="12">
        <f t="shared" si="28"/>
        <v>42840000</v>
      </c>
      <c r="P293" s="12">
        <f t="shared" si="29"/>
        <v>11900</v>
      </c>
    </row>
    <row r="294" spans="1:16" x14ac:dyDescent="0.25">
      <c r="A294" s="3">
        <v>293</v>
      </c>
      <c r="B294" s="3">
        <v>50</v>
      </c>
      <c r="C294" s="3">
        <v>71</v>
      </c>
      <c r="D294" s="2">
        <v>12280</v>
      </c>
      <c r="E294" s="2">
        <f t="shared" si="24"/>
        <v>5492.5</v>
      </c>
      <c r="F294" s="2">
        <v>2380</v>
      </c>
      <c r="G294" s="2">
        <f t="shared" si="25"/>
        <v>991.66666666666674</v>
      </c>
      <c r="H294" s="4">
        <f>VLOOKUP(B294,nodes!A:D,2,0)</f>
        <v>210</v>
      </c>
      <c r="I294" s="4">
        <f>VLOOKUP(B294,nodes!A:D,4,0)</f>
        <v>240</v>
      </c>
      <c r="J294" s="4">
        <f>VLOOKUP(C294,nodes!A:D,2,0)</f>
        <v>210</v>
      </c>
      <c r="K294" s="4">
        <f>VLOOKUP(C294,nodes!A:D,4,0)</f>
        <v>210</v>
      </c>
      <c r="L294" s="4">
        <f t="shared" si="26"/>
        <v>30</v>
      </c>
      <c r="N294" s="12">
        <f t="shared" si="27"/>
        <v>7437500</v>
      </c>
      <c r="O294" s="12">
        <f t="shared" si="28"/>
        <v>42840000</v>
      </c>
      <c r="P294" s="12">
        <f t="shared" si="29"/>
        <v>11900</v>
      </c>
    </row>
    <row r="295" spans="1:16" x14ac:dyDescent="0.25">
      <c r="A295" s="3">
        <v>294</v>
      </c>
      <c r="B295" s="3">
        <v>71</v>
      </c>
      <c r="C295" s="3">
        <v>92</v>
      </c>
      <c r="D295" s="2">
        <v>12280</v>
      </c>
      <c r="E295" s="2">
        <f t="shared" si="24"/>
        <v>5492.5</v>
      </c>
      <c r="F295" s="2">
        <v>2380</v>
      </c>
      <c r="G295" s="2">
        <f t="shared" si="25"/>
        <v>991.66666666666674</v>
      </c>
      <c r="H295" s="4">
        <f>VLOOKUP(B295,nodes!A:D,2,0)</f>
        <v>210</v>
      </c>
      <c r="I295" s="4">
        <f>VLOOKUP(B295,nodes!A:D,4,0)</f>
        <v>210</v>
      </c>
      <c r="J295" s="4">
        <f>VLOOKUP(C295,nodes!A:D,2,0)</f>
        <v>210</v>
      </c>
      <c r="K295" s="4">
        <f>VLOOKUP(C295,nodes!A:D,4,0)</f>
        <v>180</v>
      </c>
      <c r="L295" s="4">
        <f t="shared" si="26"/>
        <v>30</v>
      </c>
      <c r="N295" s="12">
        <f t="shared" si="27"/>
        <v>7437500</v>
      </c>
      <c r="O295" s="12">
        <f t="shared" si="28"/>
        <v>42840000</v>
      </c>
      <c r="P295" s="12">
        <f t="shared" si="29"/>
        <v>11900</v>
      </c>
    </row>
    <row r="296" spans="1:16" x14ac:dyDescent="0.25">
      <c r="A296" s="3">
        <v>295</v>
      </c>
      <c r="B296" s="3">
        <v>92</v>
      </c>
      <c r="C296" s="3">
        <v>113</v>
      </c>
      <c r="D296" s="2">
        <v>12280</v>
      </c>
      <c r="E296" s="2">
        <f t="shared" si="24"/>
        <v>5492.5</v>
      </c>
      <c r="F296" s="2">
        <v>2380</v>
      </c>
      <c r="G296" s="2">
        <f t="shared" si="25"/>
        <v>991.66666666666674</v>
      </c>
      <c r="H296" s="4">
        <f>VLOOKUP(B296,nodes!A:D,2,0)</f>
        <v>210</v>
      </c>
      <c r="I296" s="4">
        <f>VLOOKUP(B296,nodes!A:D,4,0)</f>
        <v>180</v>
      </c>
      <c r="J296" s="4">
        <f>VLOOKUP(C296,nodes!A:D,2,0)</f>
        <v>210</v>
      </c>
      <c r="K296" s="4">
        <f>VLOOKUP(C296,nodes!A:D,4,0)</f>
        <v>150</v>
      </c>
      <c r="L296" s="4">
        <f t="shared" si="26"/>
        <v>30</v>
      </c>
      <c r="N296" s="12">
        <f t="shared" si="27"/>
        <v>7437500</v>
      </c>
      <c r="O296" s="12">
        <f t="shared" si="28"/>
        <v>42840000</v>
      </c>
      <c r="P296" s="12">
        <f t="shared" si="29"/>
        <v>11900</v>
      </c>
    </row>
    <row r="297" spans="1:16" x14ac:dyDescent="0.25">
      <c r="A297" s="3">
        <v>296</v>
      </c>
      <c r="B297" s="3">
        <v>113</v>
      </c>
      <c r="C297" s="3">
        <v>134</v>
      </c>
      <c r="D297" s="2">
        <v>12280</v>
      </c>
      <c r="E297" s="2">
        <f t="shared" si="24"/>
        <v>5492.5</v>
      </c>
      <c r="F297" s="2">
        <v>2380</v>
      </c>
      <c r="G297" s="2">
        <f t="shared" si="25"/>
        <v>991.66666666666674</v>
      </c>
      <c r="H297" s="4">
        <f>VLOOKUP(B297,nodes!A:D,2,0)</f>
        <v>210</v>
      </c>
      <c r="I297" s="4">
        <f>VLOOKUP(B297,nodes!A:D,4,0)</f>
        <v>150</v>
      </c>
      <c r="J297" s="4">
        <f>VLOOKUP(C297,nodes!A:D,2,0)</f>
        <v>210</v>
      </c>
      <c r="K297" s="4">
        <f>VLOOKUP(C297,nodes!A:D,4,0)</f>
        <v>120</v>
      </c>
      <c r="L297" s="4">
        <f t="shared" si="26"/>
        <v>30</v>
      </c>
      <c r="N297" s="12">
        <f t="shared" si="27"/>
        <v>7437500</v>
      </c>
      <c r="O297" s="12">
        <f t="shared" si="28"/>
        <v>42840000</v>
      </c>
      <c r="P297" s="12">
        <f t="shared" si="29"/>
        <v>11900</v>
      </c>
    </row>
    <row r="298" spans="1:16" x14ac:dyDescent="0.25">
      <c r="A298" s="3">
        <v>297</v>
      </c>
      <c r="B298" s="3">
        <v>134</v>
      </c>
      <c r="C298" s="3">
        <v>155</v>
      </c>
      <c r="D298" s="2">
        <v>12280</v>
      </c>
      <c r="E298" s="2">
        <f t="shared" si="24"/>
        <v>5492.5</v>
      </c>
      <c r="F298" s="2">
        <v>2380</v>
      </c>
      <c r="G298" s="2">
        <f t="shared" si="25"/>
        <v>991.66666666666674</v>
      </c>
      <c r="H298" s="4">
        <f>VLOOKUP(B298,nodes!A:D,2,0)</f>
        <v>210</v>
      </c>
      <c r="I298" s="4">
        <f>VLOOKUP(B298,nodes!A:D,4,0)</f>
        <v>120</v>
      </c>
      <c r="J298" s="4">
        <f>VLOOKUP(C298,nodes!A:D,2,0)</f>
        <v>210</v>
      </c>
      <c r="K298" s="4">
        <f>VLOOKUP(C298,nodes!A:D,4,0)</f>
        <v>90</v>
      </c>
      <c r="L298" s="4">
        <f t="shared" si="26"/>
        <v>30</v>
      </c>
      <c r="N298" s="12">
        <f t="shared" si="27"/>
        <v>7437500</v>
      </c>
      <c r="O298" s="12">
        <f t="shared" si="28"/>
        <v>42840000</v>
      </c>
      <c r="P298" s="12">
        <f t="shared" si="29"/>
        <v>11900</v>
      </c>
    </row>
    <row r="299" spans="1:16" x14ac:dyDescent="0.25">
      <c r="A299" s="3">
        <v>298</v>
      </c>
      <c r="B299" s="3">
        <v>155</v>
      </c>
      <c r="C299" s="3">
        <v>176</v>
      </c>
      <c r="D299" s="2">
        <v>12280</v>
      </c>
      <c r="E299" s="2">
        <f t="shared" si="24"/>
        <v>5492.5</v>
      </c>
      <c r="F299" s="2">
        <v>2380</v>
      </c>
      <c r="G299" s="2">
        <f t="shared" si="25"/>
        <v>991.66666666666674</v>
      </c>
      <c r="H299" s="4">
        <f>VLOOKUP(B299,nodes!A:D,2,0)</f>
        <v>210</v>
      </c>
      <c r="I299" s="4">
        <f>VLOOKUP(B299,nodes!A:D,4,0)</f>
        <v>90</v>
      </c>
      <c r="J299" s="4">
        <f>VLOOKUP(C299,nodes!A:D,2,0)</f>
        <v>210</v>
      </c>
      <c r="K299" s="4">
        <f>VLOOKUP(C299,nodes!A:D,4,0)</f>
        <v>60</v>
      </c>
      <c r="L299" s="4">
        <f t="shared" si="26"/>
        <v>30</v>
      </c>
      <c r="N299" s="12">
        <f t="shared" si="27"/>
        <v>7437500</v>
      </c>
      <c r="O299" s="12">
        <f t="shared" si="28"/>
        <v>42840000</v>
      </c>
      <c r="P299" s="12">
        <f t="shared" si="29"/>
        <v>11900</v>
      </c>
    </row>
    <row r="300" spans="1:16" x14ac:dyDescent="0.25">
      <c r="A300" s="3">
        <v>299</v>
      </c>
      <c r="B300" s="3">
        <v>176</v>
      </c>
      <c r="C300" s="3">
        <v>197</v>
      </c>
      <c r="D300" s="2">
        <v>12280</v>
      </c>
      <c r="E300" s="2">
        <f t="shared" si="24"/>
        <v>5492.5</v>
      </c>
      <c r="F300" s="2">
        <v>2380</v>
      </c>
      <c r="G300" s="2">
        <f t="shared" si="25"/>
        <v>991.66666666666674</v>
      </c>
      <c r="H300" s="4">
        <f>VLOOKUP(B300,nodes!A:D,2,0)</f>
        <v>210</v>
      </c>
      <c r="I300" s="4">
        <f>VLOOKUP(B300,nodes!A:D,4,0)</f>
        <v>60</v>
      </c>
      <c r="J300" s="4">
        <f>VLOOKUP(C300,nodes!A:D,2,0)</f>
        <v>210</v>
      </c>
      <c r="K300" s="4">
        <f>VLOOKUP(C300,nodes!A:D,4,0)</f>
        <v>30</v>
      </c>
      <c r="L300" s="4">
        <f t="shared" si="26"/>
        <v>30</v>
      </c>
      <c r="N300" s="12">
        <f t="shared" si="27"/>
        <v>7437500</v>
      </c>
      <c r="O300" s="12">
        <f t="shared" si="28"/>
        <v>42840000</v>
      </c>
      <c r="P300" s="12">
        <f t="shared" si="29"/>
        <v>11900</v>
      </c>
    </row>
    <row r="301" spans="1:16" x14ac:dyDescent="0.25">
      <c r="A301" s="3">
        <v>300</v>
      </c>
      <c r="B301" s="3">
        <v>197</v>
      </c>
      <c r="C301" s="3">
        <v>218</v>
      </c>
      <c r="D301" s="2">
        <v>12280</v>
      </c>
      <c r="E301" s="2">
        <f t="shared" si="24"/>
        <v>5492.5</v>
      </c>
      <c r="F301" s="2">
        <v>2380</v>
      </c>
      <c r="G301" s="2">
        <f t="shared" si="25"/>
        <v>991.66666666666674</v>
      </c>
      <c r="H301" s="4">
        <f>VLOOKUP(B301,nodes!A:D,2,0)</f>
        <v>210</v>
      </c>
      <c r="I301" s="4">
        <f>VLOOKUP(B301,nodes!A:D,4,0)</f>
        <v>30</v>
      </c>
      <c r="J301" s="4">
        <f>VLOOKUP(C301,nodes!A:D,2,0)</f>
        <v>210</v>
      </c>
      <c r="K301" s="4">
        <f>VLOOKUP(C301,nodes!A:D,4,0)</f>
        <v>0</v>
      </c>
      <c r="L301" s="4">
        <f t="shared" si="26"/>
        <v>30</v>
      </c>
      <c r="N301" s="12">
        <f t="shared" si="27"/>
        <v>7437500</v>
      </c>
      <c r="O301" s="12">
        <f t="shared" si="28"/>
        <v>42840000</v>
      </c>
      <c r="P301" s="12">
        <f t="shared" si="29"/>
        <v>11900</v>
      </c>
    </row>
    <row r="302" spans="1:16" x14ac:dyDescent="0.25">
      <c r="A302" s="3">
        <v>301</v>
      </c>
      <c r="B302" s="3">
        <v>9</v>
      </c>
      <c r="C302" s="3">
        <v>30</v>
      </c>
      <c r="D302" s="2">
        <v>12280</v>
      </c>
      <c r="E302" s="2">
        <f t="shared" si="24"/>
        <v>5492.5</v>
      </c>
      <c r="F302" s="2">
        <v>2380</v>
      </c>
      <c r="G302" s="2">
        <f t="shared" si="25"/>
        <v>991.66666666666674</v>
      </c>
      <c r="H302" s="4">
        <f>VLOOKUP(B302,nodes!A:D,2,0)</f>
        <v>240</v>
      </c>
      <c r="I302" s="4">
        <f>VLOOKUP(B302,nodes!A:D,4,0)</f>
        <v>300</v>
      </c>
      <c r="J302" s="4">
        <f>VLOOKUP(C302,nodes!A:D,2,0)</f>
        <v>240</v>
      </c>
      <c r="K302" s="4">
        <f>VLOOKUP(C302,nodes!A:D,4,0)</f>
        <v>270</v>
      </c>
      <c r="L302" s="4">
        <f t="shared" si="26"/>
        <v>30</v>
      </c>
      <c r="N302" s="12">
        <f t="shared" si="27"/>
        <v>7437500</v>
      </c>
      <c r="O302" s="12">
        <f t="shared" si="28"/>
        <v>42840000</v>
      </c>
      <c r="P302" s="12">
        <f t="shared" si="29"/>
        <v>11900</v>
      </c>
    </row>
    <row r="303" spans="1:16" x14ac:dyDescent="0.25">
      <c r="A303" s="3">
        <v>302</v>
      </c>
      <c r="B303" s="3">
        <v>30</v>
      </c>
      <c r="C303" s="3">
        <v>51</v>
      </c>
      <c r="D303" s="2">
        <v>12280</v>
      </c>
      <c r="E303" s="2">
        <f t="shared" si="24"/>
        <v>5492.5</v>
      </c>
      <c r="F303" s="2">
        <v>2380</v>
      </c>
      <c r="G303" s="2">
        <f t="shared" si="25"/>
        <v>991.66666666666674</v>
      </c>
      <c r="H303" s="4">
        <f>VLOOKUP(B303,nodes!A:D,2,0)</f>
        <v>240</v>
      </c>
      <c r="I303" s="4">
        <f>VLOOKUP(B303,nodes!A:D,4,0)</f>
        <v>270</v>
      </c>
      <c r="J303" s="4">
        <f>VLOOKUP(C303,nodes!A:D,2,0)</f>
        <v>240</v>
      </c>
      <c r="K303" s="4">
        <f>VLOOKUP(C303,nodes!A:D,4,0)</f>
        <v>240</v>
      </c>
      <c r="L303" s="4">
        <f t="shared" si="26"/>
        <v>30</v>
      </c>
      <c r="N303" s="12">
        <f t="shared" si="27"/>
        <v>7437500</v>
      </c>
      <c r="O303" s="12">
        <f t="shared" si="28"/>
        <v>42840000</v>
      </c>
      <c r="P303" s="12">
        <f t="shared" si="29"/>
        <v>11900</v>
      </c>
    </row>
    <row r="304" spans="1:16" x14ac:dyDescent="0.25">
      <c r="A304" s="3">
        <v>303</v>
      </c>
      <c r="B304" s="3">
        <v>51</v>
      </c>
      <c r="C304" s="3">
        <v>72</v>
      </c>
      <c r="D304" s="2">
        <v>12280</v>
      </c>
      <c r="E304" s="2">
        <f t="shared" si="24"/>
        <v>5492.5</v>
      </c>
      <c r="F304" s="2">
        <v>2380</v>
      </c>
      <c r="G304" s="2">
        <f t="shared" si="25"/>
        <v>991.66666666666674</v>
      </c>
      <c r="H304" s="4">
        <f>VLOOKUP(B304,nodes!A:D,2,0)</f>
        <v>240</v>
      </c>
      <c r="I304" s="4">
        <f>VLOOKUP(B304,nodes!A:D,4,0)</f>
        <v>240</v>
      </c>
      <c r="J304" s="4">
        <f>VLOOKUP(C304,nodes!A:D,2,0)</f>
        <v>240</v>
      </c>
      <c r="K304" s="4">
        <f>VLOOKUP(C304,nodes!A:D,4,0)</f>
        <v>210</v>
      </c>
      <c r="L304" s="4">
        <f t="shared" si="26"/>
        <v>30</v>
      </c>
      <c r="N304" s="12">
        <f t="shared" si="27"/>
        <v>7437500</v>
      </c>
      <c r="O304" s="12">
        <f t="shared" si="28"/>
        <v>42840000</v>
      </c>
      <c r="P304" s="12">
        <f t="shared" si="29"/>
        <v>11900</v>
      </c>
    </row>
    <row r="305" spans="1:16" x14ac:dyDescent="0.25">
      <c r="A305" s="3">
        <v>304</v>
      </c>
      <c r="B305" s="3">
        <v>72</v>
      </c>
      <c r="C305" s="3">
        <v>93</v>
      </c>
      <c r="D305" s="2">
        <v>12280</v>
      </c>
      <c r="E305" s="2">
        <f t="shared" si="24"/>
        <v>5492.5</v>
      </c>
      <c r="F305" s="2">
        <v>2380</v>
      </c>
      <c r="G305" s="2">
        <f t="shared" si="25"/>
        <v>991.66666666666674</v>
      </c>
      <c r="H305" s="4">
        <f>VLOOKUP(B305,nodes!A:D,2,0)</f>
        <v>240</v>
      </c>
      <c r="I305" s="4">
        <f>VLOOKUP(B305,nodes!A:D,4,0)</f>
        <v>210</v>
      </c>
      <c r="J305" s="4">
        <f>VLOOKUP(C305,nodes!A:D,2,0)</f>
        <v>240</v>
      </c>
      <c r="K305" s="4">
        <f>VLOOKUP(C305,nodes!A:D,4,0)</f>
        <v>180</v>
      </c>
      <c r="L305" s="4">
        <f t="shared" si="26"/>
        <v>30</v>
      </c>
      <c r="N305" s="12">
        <f t="shared" si="27"/>
        <v>7437500</v>
      </c>
      <c r="O305" s="12">
        <f t="shared" si="28"/>
        <v>42840000</v>
      </c>
      <c r="P305" s="12">
        <f t="shared" si="29"/>
        <v>11900</v>
      </c>
    </row>
    <row r="306" spans="1:16" x14ac:dyDescent="0.25">
      <c r="A306" s="3">
        <v>305</v>
      </c>
      <c r="B306" s="3">
        <v>93</v>
      </c>
      <c r="C306" s="3">
        <v>114</v>
      </c>
      <c r="D306" s="2">
        <v>12280</v>
      </c>
      <c r="E306" s="2">
        <f t="shared" si="24"/>
        <v>5492.5</v>
      </c>
      <c r="F306" s="2">
        <v>2380</v>
      </c>
      <c r="G306" s="2">
        <f t="shared" si="25"/>
        <v>991.66666666666674</v>
      </c>
      <c r="H306" s="4">
        <f>VLOOKUP(B306,nodes!A:D,2,0)</f>
        <v>240</v>
      </c>
      <c r="I306" s="4">
        <f>VLOOKUP(B306,nodes!A:D,4,0)</f>
        <v>180</v>
      </c>
      <c r="J306" s="4">
        <f>VLOOKUP(C306,nodes!A:D,2,0)</f>
        <v>240</v>
      </c>
      <c r="K306" s="4">
        <f>VLOOKUP(C306,nodes!A:D,4,0)</f>
        <v>150</v>
      </c>
      <c r="L306" s="4">
        <f t="shared" si="26"/>
        <v>30</v>
      </c>
      <c r="N306" s="12">
        <f t="shared" si="27"/>
        <v>7437500</v>
      </c>
      <c r="O306" s="12">
        <f t="shared" si="28"/>
        <v>42840000</v>
      </c>
      <c r="P306" s="12">
        <f t="shared" si="29"/>
        <v>11900</v>
      </c>
    </row>
    <row r="307" spans="1:16" x14ac:dyDescent="0.25">
      <c r="A307" s="3">
        <v>306</v>
      </c>
      <c r="B307" s="3">
        <v>114</v>
      </c>
      <c r="C307" s="3">
        <v>135</v>
      </c>
      <c r="D307" s="2">
        <v>12280</v>
      </c>
      <c r="E307" s="2">
        <f t="shared" si="24"/>
        <v>5492.5</v>
      </c>
      <c r="F307" s="2">
        <v>2380</v>
      </c>
      <c r="G307" s="2">
        <f t="shared" si="25"/>
        <v>991.66666666666674</v>
      </c>
      <c r="H307" s="4">
        <f>VLOOKUP(B307,nodes!A:D,2,0)</f>
        <v>240</v>
      </c>
      <c r="I307" s="4">
        <f>VLOOKUP(B307,nodes!A:D,4,0)</f>
        <v>150</v>
      </c>
      <c r="J307" s="4">
        <f>VLOOKUP(C307,nodes!A:D,2,0)</f>
        <v>240</v>
      </c>
      <c r="K307" s="4">
        <f>VLOOKUP(C307,nodes!A:D,4,0)</f>
        <v>120</v>
      </c>
      <c r="L307" s="4">
        <f t="shared" si="26"/>
        <v>30</v>
      </c>
      <c r="N307" s="12">
        <f t="shared" si="27"/>
        <v>7437500</v>
      </c>
      <c r="O307" s="12">
        <f t="shared" si="28"/>
        <v>42840000</v>
      </c>
      <c r="P307" s="12">
        <f t="shared" si="29"/>
        <v>11900</v>
      </c>
    </row>
    <row r="308" spans="1:16" x14ac:dyDescent="0.25">
      <c r="A308" s="3">
        <v>307</v>
      </c>
      <c r="B308" s="3">
        <v>135</v>
      </c>
      <c r="C308" s="3">
        <v>156</v>
      </c>
      <c r="D308" s="2">
        <v>12280</v>
      </c>
      <c r="E308" s="2">
        <f t="shared" si="24"/>
        <v>5492.5</v>
      </c>
      <c r="F308" s="2">
        <v>2380</v>
      </c>
      <c r="G308" s="2">
        <f t="shared" si="25"/>
        <v>991.66666666666674</v>
      </c>
      <c r="H308" s="4">
        <f>VLOOKUP(B308,nodes!A:D,2,0)</f>
        <v>240</v>
      </c>
      <c r="I308" s="4">
        <f>VLOOKUP(B308,nodes!A:D,4,0)</f>
        <v>120</v>
      </c>
      <c r="J308" s="4">
        <f>VLOOKUP(C308,nodes!A:D,2,0)</f>
        <v>240</v>
      </c>
      <c r="K308" s="4">
        <f>VLOOKUP(C308,nodes!A:D,4,0)</f>
        <v>90</v>
      </c>
      <c r="L308" s="4">
        <f t="shared" si="26"/>
        <v>30</v>
      </c>
      <c r="N308" s="12">
        <f t="shared" si="27"/>
        <v>7437500</v>
      </c>
      <c r="O308" s="12">
        <f t="shared" si="28"/>
        <v>42840000</v>
      </c>
      <c r="P308" s="12">
        <f t="shared" si="29"/>
        <v>11900</v>
      </c>
    </row>
    <row r="309" spans="1:16" x14ac:dyDescent="0.25">
      <c r="A309" s="3">
        <v>308</v>
      </c>
      <c r="B309" s="3">
        <v>156</v>
      </c>
      <c r="C309" s="3">
        <v>177</v>
      </c>
      <c r="D309" s="2">
        <v>12280</v>
      </c>
      <c r="E309" s="2">
        <f t="shared" si="24"/>
        <v>5492.5</v>
      </c>
      <c r="F309" s="2">
        <v>2380</v>
      </c>
      <c r="G309" s="2">
        <f t="shared" si="25"/>
        <v>991.66666666666674</v>
      </c>
      <c r="H309" s="4">
        <f>VLOOKUP(B309,nodes!A:D,2,0)</f>
        <v>240</v>
      </c>
      <c r="I309" s="4">
        <f>VLOOKUP(B309,nodes!A:D,4,0)</f>
        <v>90</v>
      </c>
      <c r="J309" s="4">
        <f>VLOOKUP(C309,nodes!A:D,2,0)</f>
        <v>240</v>
      </c>
      <c r="K309" s="4">
        <f>VLOOKUP(C309,nodes!A:D,4,0)</f>
        <v>60</v>
      </c>
      <c r="L309" s="4">
        <f t="shared" si="26"/>
        <v>30</v>
      </c>
      <c r="N309" s="12">
        <f t="shared" si="27"/>
        <v>7437500</v>
      </c>
      <c r="O309" s="12">
        <f t="shared" si="28"/>
        <v>42840000</v>
      </c>
      <c r="P309" s="12">
        <f t="shared" si="29"/>
        <v>11900</v>
      </c>
    </row>
    <row r="310" spans="1:16" x14ac:dyDescent="0.25">
      <c r="A310" s="3">
        <v>309</v>
      </c>
      <c r="B310" s="3">
        <v>177</v>
      </c>
      <c r="C310" s="3">
        <v>198</v>
      </c>
      <c r="D310" s="2">
        <v>12280</v>
      </c>
      <c r="E310" s="2">
        <f t="shared" si="24"/>
        <v>5492.5</v>
      </c>
      <c r="F310" s="2">
        <v>2380</v>
      </c>
      <c r="G310" s="2">
        <f t="shared" si="25"/>
        <v>991.66666666666674</v>
      </c>
      <c r="H310" s="4">
        <f>VLOOKUP(B310,nodes!A:D,2,0)</f>
        <v>240</v>
      </c>
      <c r="I310" s="4">
        <f>VLOOKUP(B310,nodes!A:D,4,0)</f>
        <v>60</v>
      </c>
      <c r="J310" s="4">
        <f>VLOOKUP(C310,nodes!A:D,2,0)</f>
        <v>240</v>
      </c>
      <c r="K310" s="4">
        <f>VLOOKUP(C310,nodes!A:D,4,0)</f>
        <v>30</v>
      </c>
      <c r="L310" s="4">
        <f t="shared" si="26"/>
        <v>30</v>
      </c>
      <c r="N310" s="12">
        <f t="shared" si="27"/>
        <v>7437500</v>
      </c>
      <c r="O310" s="12">
        <f t="shared" si="28"/>
        <v>42840000</v>
      </c>
      <c r="P310" s="12">
        <f t="shared" si="29"/>
        <v>11900</v>
      </c>
    </row>
    <row r="311" spans="1:16" x14ac:dyDescent="0.25">
      <c r="A311" s="3">
        <v>310</v>
      </c>
      <c r="B311" s="3">
        <v>198</v>
      </c>
      <c r="C311" s="3">
        <v>219</v>
      </c>
      <c r="D311" s="2">
        <v>12280</v>
      </c>
      <c r="E311" s="2">
        <f t="shared" si="24"/>
        <v>5492.5</v>
      </c>
      <c r="F311" s="2">
        <v>2380</v>
      </c>
      <c r="G311" s="2">
        <f t="shared" si="25"/>
        <v>991.66666666666674</v>
      </c>
      <c r="H311" s="4">
        <f>VLOOKUP(B311,nodes!A:D,2,0)</f>
        <v>240</v>
      </c>
      <c r="I311" s="4">
        <f>VLOOKUP(B311,nodes!A:D,4,0)</f>
        <v>30</v>
      </c>
      <c r="J311" s="4">
        <f>VLOOKUP(C311,nodes!A:D,2,0)</f>
        <v>240</v>
      </c>
      <c r="K311" s="4">
        <f>VLOOKUP(C311,nodes!A:D,4,0)</f>
        <v>0</v>
      </c>
      <c r="L311" s="4">
        <f t="shared" si="26"/>
        <v>30</v>
      </c>
      <c r="N311" s="12">
        <f t="shared" si="27"/>
        <v>7437500</v>
      </c>
      <c r="O311" s="12">
        <f t="shared" si="28"/>
        <v>42840000</v>
      </c>
      <c r="P311" s="12">
        <f t="shared" si="29"/>
        <v>11900</v>
      </c>
    </row>
    <row r="312" spans="1:16" x14ac:dyDescent="0.25">
      <c r="A312" s="3">
        <v>311</v>
      </c>
      <c r="B312" s="3">
        <v>10</v>
      </c>
      <c r="C312" s="3">
        <v>31</v>
      </c>
      <c r="D312" s="2">
        <v>12280</v>
      </c>
      <c r="E312" s="2">
        <f t="shared" si="24"/>
        <v>5492.5</v>
      </c>
      <c r="F312" s="2">
        <v>2380</v>
      </c>
      <c r="G312" s="2">
        <f t="shared" si="25"/>
        <v>991.66666666666674</v>
      </c>
      <c r="H312" s="4">
        <f>VLOOKUP(B312,nodes!A:D,2,0)</f>
        <v>270</v>
      </c>
      <c r="I312" s="4">
        <f>VLOOKUP(B312,nodes!A:D,4,0)</f>
        <v>300</v>
      </c>
      <c r="J312" s="4">
        <f>VLOOKUP(C312,nodes!A:D,2,0)</f>
        <v>270</v>
      </c>
      <c r="K312" s="4">
        <f>VLOOKUP(C312,nodes!A:D,4,0)</f>
        <v>270</v>
      </c>
      <c r="L312" s="4">
        <f t="shared" si="26"/>
        <v>30</v>
      </c>
      <c r="N312" s="12">
        <f t="shared" si="27"/>
        <v>7437500</v>
      </c>
      <c r="O312" s="12">
        <f t="shared" si="28"/>
        <v>42840000</v>
      </c>
      <c r="P312" s="12">
        <f t="shared" si="29"/>
        <v>11900</v>
      </c>
    </row>
    <row r="313" spans="1:16" x14ac:dyDescent="0.25">
      <c r="A313" s="3">
        <v>312</v>
      </c>
      <c r="B313" s="3">
        <v>31</v>
      </c>
      <c r="C313" s="3">
        <v>52</v>
      </c>
      <c r="D313" s="2">
        <v>12280</v>
      </c>
      <c r="E313" s="2">
        <f t="shared" si="24"/>
        <v>5492.5</v>
      </c>
      <c r="F313" s="2">
        <v>2380</v>
      </c>
      <c r="G313" s="2">
        <f t="shared" si="25"/>
        <v>991.66666666666674</v>
      </c>
      <c r="H313" s="4">
        <f>VLOOKUP(B313,nodes!A:D,2,0)</f>
        <v>270</v>
      </c>
      <c r="I313" s="4">
        <f>VLOOKUP(B313,nodes!A:D,4,0)</f>
        <v>270</v>
      </c>
      <c r="J313" s="4">
        <f>VLOOKUP(C313,nodes!A:D,2,0)</f>
        <v>270</v>
      </c>
      <c r="K313" s="4">
        <f>VLOOKUP(C313,nodes!A:D,4,0)</f>
        <v>240</v>
      </c>
      <c r="L313" s="4">
        <f t="shared" si="26"/>
        <v>30</v>
      </c>
      <c r="N313" s="12">
        <f t="shared" si="27"/>
        <v>7437500</v>
      </c>
      <c r="O313" s="12">
        <f t="shared" si="28"/>
        <v>42840000</v>
      </c>
      <c r="P313" s="12">
        <f t="shared" si="29"/>
        <v>11900</v>
      </c>
    </row>
    <row r="314" spans="1:16" x14ac:dyDescent="0.25">
      <c r="A314" s="3">
        <v>313</v>
      </c>
      <c r="B314" s="3">
        <v>52</v>
      </c>
      <c r="C314" s="3">
        <v>73</v>
      </c>
      <c r="D314" s="2">
        <v>12280</v>
      </c>
      <c r="E314" s="2">
        <f t="shared" si="24"/>
        <v>5492.5</v>
      </c>
      <c r="F314" s="2">
        <v>2380</v>
      </c>
      <c r="G314" s="2">
        <f t="shared" si="25"/>
        <v>991.66666666666674</v>
      </c>
      <c r="H314" s="4">
        <f>VLOOKUP(B314,nodes!A:D,2,0)</f>
        <v>270</v>
      </c>
      <c r="I314" s="4">
        <f>VLOOKUP(B314,nodes!A:D,4,0)</f>
        <v>240</v>
      </c>
      <c r="J314" s="4">
        <f>VLOOKUP(C314,nodes!A:D,2,0)</f>
        <v>270</v>
      </c>
      <c r="K314" s="4">
        <f>VLOOKUP(C314,nodes!A:D,4,0)</f>
        <v>210</v>
      </c>
      <c r="L314" s="4">
        <f t="shared" si="26"/>
        <v>30</v>
      </c>
      <c r="N314" s="12">
        <f t="shared" si="27"/>
        <v>7437500</v>
      </c>
      <c r="O314" s="12">
        <f t="shared" si="28"/>
        <v>42840000</v>
      </c>
      <c r="P314" s="12">
        <f t="shared" si="29"/>
        <v>11900</v>
      </c>
    </row>
    <row r="315" spans="1:16" x14ac:dyDescent="0.25">
      <c r="A315" s="3">
        <v>314</v>
      </c>
      <c r="B315" s="3">
        <v>73</v>
      </c>
      <c r="C315" s="3">
        <v>94</v>
      </c>
      <c r="D315" s="2">
        <v>12280</v>
      </c>
      <c r="E315" s="2">
        <f t="shared" si="24"/>
        <v>5492.5</v>
      </c>
      <c r="F315" s="2">
        <v>2380</v>
      </c>
      <c r="G315" s="2">
        <f t="shared" si="25"/>
        <v>991.66666666666674</v>
      </c>
      <c r="H315" s="4">
        <f>VLOOKUP(B315,nodes!A:D,2,0)</f>
        <v>270</v>
      </c>
      <c r="I315" s="4">
        <f>VLOOKUP(B315,nodes!A:D,4,0)</f>
        <v>210</v>
      </c>
      <c r="J315" s="4">
        <f>VLOOKUP(C315,nodes!A:D,2,0)</f>
        <v>270</v>
      </c>
      <c r="K315" s="4">
        <f>VLOOKUP(C315,nodes!A:D,4,0)</f>
        <v>180</v>
      </c>
      <c r="L315" s="4">
        <f t="shared" si="26"/>
        <v>30</v>
      </c>
      <c r="N315" s="12">
        <f t="shared" si="27"/>
        <v>7437500</v>
      </c>
      <c r="O315" s="12">
        <f t="shared" si="28"/>
        <v>42840000</v>
      </c>
      <c r="P315" s="12">
        <f t="shared" si="29"/>
        <v>11900</v>
      </c>
    </row>
    <row r="316" spans="1:16" x14ac:dyDescent="0.25">
      <c r="A316" s="3">
        <v>315</v>
      </c>
      <c r="B316" s="3">
        <v>94</v>
      </c>
      <c r="C316" s="3">
        <v>115</v>
      </c>
      <c r="D316" s="2">
        <v>12280</v>
      </c>
      <c r="E316" s="2">
        <f t="shared" si="24"/>
        <v>5492.5</v>
      </c>
      <c r="F316" s="2">
        <v>2380</v>
      </c>
      <c r="G316" s="2">
        <f t="shared" si="25"/>
        <v>991.66666666666674</v>
      </c>
      <c r="H316" s="4">
        <f>VLOOKUP(B316,nodes!A:D,2,0)</f>
        <v>270</v>
      </c>
      <c r="I316" s="4">
        <f>VLOOKUP(B316,nodes!A:D,4,0)</f>
        <v>180</v>
      </c>
      <c r="J316" s="4">
        <f>VLOOKUP(C316,nodes!A:D,2,0)</f>
        <v>270</v>
      </c>
      <c r="K316" s="4">
        <f>VLOOKUP(C316,nodes!A:D,4,0)</f>
        <v>150</v>
      </c>
      <c r="L316" s="4">
        <f t="shared" si="26"/>
        <v>30</v>
      </c>
      <c r="N316" s="12">
        <f t="shared" si="27"/>
        <v>7437500</v>
      </c>
      <c r="O316" s="12">
        <f t="shared" si="28"/>
        <v>42840000</v>
      </c>
      <c r="P316" s="12">
        <f t="shared" si="29"/>
        <v>11900</v>
      </c>
    </row>
    <row r="317" spans="1:16" x14ac:dyDescent="0.25">
      <c r="A317" s="3">
        <v>316</v>
      </c>
      <c r="B317" s="3">
        <v>115</v>
      </c>
      <c r="C317" s="3">
        <v>136</v>
      </c>
      <c r="D317" s="2">
        <v>12280</v>
      </c>
      <c r="E317" s="2">
        <f t="shared" si="24"/>
        <v>5492.5</v>
      </c>
      <c r="F317" s="2">
        <v>2380</v>
      </c>
      <c r="G317" s="2">
        <f t="shared" si="25"/>
        <v>991.66666666666674</v>
      </c>
      <c r="H317" s="4">
        <f>VLOOKUP(B317,nodes!A:D,2,0)</f>
        <v>270</v>
      </c>
      <c r="I317" s="4">
        <f>VLOOKUP(B317,nodes!A:D,4,0)</f>
        <v>150</v>
      </c>
      <c r="J317" s="4">
        <f>VLOOKUP(C317,nodes!A:D,2,0)</f>
        <v>270</v>
      </c>
      <c r="K317" s="4">
        <f>VLOOKUP(C317,nodes!A:D,4,0)</f>
        <v>120</v>
      </c>
      <c r="L317" s="4">
        <f t="shared" si="26"/>
        <v>30</v>
      </c>
      <c r="N317" s="12">
        <f t="shared" si="27"/>
        <v>7437500</v>
      </c>
      <c r="O317" s="12">
        <f t="shared" si="28"/>
        <v>42840000</v>
      </c>
      <c r="P317" s="12">
        <f t="shared" si="29"/>
        <v>11900</v>
      </c>
    </row>
    <row r="318" spans="1:16" x14ac:dyDescent="0.25">
      <c r="A318" s="3">
        <v>317</v>
      </c>
      <c r="B318" s="3">
        <v>136</v>
      </c>
      <c r="C318" s="3">
        <v>157</v>
      </c>
      <c r="D318" s="2">
        <v>12280</v>
      </c>
      <c r="E318" s="2">
        <f t="shared" si="24"/>
        <v>5492.5</v>
      </c>
      <c r="F318" s="2">
        <v>2380</v>
      </c>
      <c r="G318" s="2">
        <f t="shared" si="25"/>
        <v>991.66666666666674</v>
      </c>
      <c r="H318" s="4">
        <f>VLOOKUP(B318,nodes!A:D,2,0)</f>
        <v>270</v>
      </c>
      <c r="I318" s="4">
        <f>VLOOKUP(B318,nodes!A:D,4,0)</f>
        <v>120</v>
      </c>
      <c r="J318" s="4">
        <f>VLOOKUP(C318,nodes!A:D,2,0)</f>
        <v>270</v>
      </c>
      <c r="K318" s="4">
        <f>VLOOKUP(C318,nodes!A:D,4,0)</f>
        <v>90</v>
      </c>
      <c r="L318" s="4">
        <f t="shared" si="26"/>
        <v>30</v>
      </c>
      <c r="N318" s="12">
        <f t="shared" si="27"/>
        <v>7437500</v>
      </c>
      <c r="O318" s="12">
        <f t="shared" si="28"/>
        <v>42840000</v>
      </c>
      <c r="P318" s="12">
        <f t="shared" si="29"/>
        <v>11900</v>
      </c>
    </row>
    <row r="319" spans="1:16" x14ac:dyDescent="0.25">
      <c r="A319" s="3">
        <v>318</v>
      </c>
      <c r="B319" s="3">
        <v>157</v>
      </c>
      <c r="C319" s="3">
        <v>178</v>
      </c>
      <c r="D319" s="2">
        <v>12280</v>
      </c>
      <c r="E319" s="2">
        <f t="shared" si="24"/>
        <v>5492.5</v>
      </c>
      <c r="F319" s="2">
        <v>2380</v>
      </c>
      <c r="G319" s="2">
        <f t="shared" si="25"/>
        <v>991.66666666666674</v>
      </c>
      <c r="H319" s="4">
        <f>VLOOKUP(B319,nodes!A:D,2,0)</f>
        <v>270</v>
      </c>
      <c r="I319" s="4">
        <f>VLOOKUP(B319,nodes!A:D,4,0)</f>
        <v>90</v>
      </c>
      <c r="J319" s="4">
        <f>VLOOKUP(C319,nodes!A:D,2,0)</f>
        <v>270</v>
      </c>
      <c r="K319" s="4">
        <f>VLOOKUP(C319,nodes!A:D,4,0)</f>
        <v>60</v>
      </c>
      <c r="L319" s="4">
        <f t="shared" si="26"/>
        <v>30</v>
      </c>
      <c r="N319" s="12">
        <f t="shared" si="27"/>
        <v>7437500</v>
      </c>
      <c r="O319" s="12">
        <f t="shared" si="28"/>
        <v>42840000</v>
      </c>
      <c r="P319" s="12">
        <f t="shared" si="29"/>
        <v>11900</v>
      </c>
    </row>
    <row r="320" spans="1:16" x14ac:dyDescent="0.25">
      <c r="A320" s="3">
        <v>319</v>
      </c>
      <c r="B320" s="3">
        <v>178</v>
      </c>
      <c r="C320" s="3">
        <v>199</v>
      </c>
      <c r="D320" s="2">
        <v>12280</v>
      </c>
      <c r="E320" s="2">
        <f t="shared" si="24"/>
        <v>5492.5</v>
      </c>
      <c r="F320" s="2">
        <v>2380</v>
      </c>
      <c r="G320" s="2">
        <f t="shared" si="25"/>
        <v>991.66666666666674</v>
      </c>
      <c r="H320" s="4">
        <f>VLOOKUP(B320,nodes!A:D,2,0)</f>
        <v>270</v>
      </c>
      <c r="I320" s="4">
        <f>VLOOKUP(B320,nodes!A:D,4,0)</f>
        <v>60</v>
      </c>
      <c r="J320" s="4">
        <f>VLOOKUP(C320,nodes!A:D,2,0)</f>
        <v>270</v>
      </c>
      <c r="K320" s="4">
        <f>VLOOKUP(C320,nodes!A:D,4,0)</f>
        <v>30</v>
      </c>
      <c r="L320" s="4">
        <f t="shared" si="26"/>
        <v>30</v>
      </c>
      <c r="N320" s="12">
        <f t="shared" si="27"/>
        <v>7437500</v>
      </c>
      <c r="O320" s="12">
        <f t="shared" si="28"/>
        <v>42840000</v>
      </c>
      <c r="P320" s="12">
        <f t="shared" si="29"/>
        <v>11900</v>
      </c>
    </row>
    <row r="321" spans="1:16" x14ac:dyDescent="0.25">
      <c r="A321" s="3">
        <v>320</v>
      </c>
      <c r="B321" s="3">
        <v>199</v>
      </c>
      <c r="C321" s="3">
        <v>220</v>
      </c>
      <c r="D321" s="2">
        <v>12280</v>
      </c>
      <c r="E321" s="2">
        <f t="shared" si="24"/>
        <v>5492.5</v>
      </c>
      <c r="F321" s="2">
        <v>2380</v>
      </c>
      <c r="G321" s="2">
        <f t="shared" si="25"/>
        <v>991.66666666666674</v>
      </c>
      <c r="H321" s="4">
        <f>VLOOKUP(B321,nodes!A:D,2,0)</f>
        <v>270</v>
      </c>
      <c r="I321" s="4">
        <f>VLOOKUP(B321,nodes!A:D,4,0)</f>
        <v>30</v>
      </c>
      <c r="J321" s="4">
        <f>VLOOKUP(C321,nodes!A:D,2,0)</f>
        <v>270</v>
      </c>
      <c r="K321" s="4">
        <f>VLOOKUP(C321,nodes!A:D,4,0)</f>
        <v>0</v>
      </c>
      <c r="L321" s="4">
        <f t="shared" si="26"/>
        <v>30</v>
      </c>
      <c r="N321" s="12">
        <f t="shared" si="27"/>
        <v>7437500</v>
      </c>
      <c r="O321" s="12">
        <f t="shared" si="28"/>
        <v>42840000</v>
      </c>
      <c r="P321" s="12">
        <f t="shared" si="29"/>
        <v>11900</v>
      </c>
    </row>
    <row r="322" spans="1:16" x14ac:dyDescent="0.25">
      <c r="A322" s="3">
        <v>321</v>
      </c>
      <c r="B322" s="3">
        <v>11</v>
      </c>
      <c r="C322" s="3">
        <v>32</v>
      </c>
      <c r="D322" s="2">
        <v>12280</v>
      </c>
      <c r="E322" s="2">
        <f t="shared" si="24"/>
        <v>5492.5</v>
      </c>
      <c r="F322" s="2">
        <v>2380</v>
      </c>
      <c r="G322" s="2">
        <f t="shared" si="25"/>
        <v>991.66666666666674</v>
      </c>
      <c r="H322" s="4">
        <f>VLOOKUP(B322,nodes!A:D,2,0)</f>
        <v>300</v>
      </c>
      <c r="I322" s="4">
        <f>VLOOKUP(B322,nodes!A:D,4,0)</f>
        <v>300</v>
      </c>
      <c r="J322" s="4">
        <f>VLOOKUP(C322,nodes!A:D,2,0)</f>
        <v>300</v>
      </c>
      <c r="K322" s="4">
        <f>VLOOKUP(C322,nodes!A:D,4,0)</f>
        <v>270</v>
      </c>
      <c r="L322" s="4">
        <f t="shared" si="26"/>
        <v>30</v>
      </c>
      <c r="N322" s="12">
        <f t="shared" si="27"/>
        <v>7437500</v>
      </c>
      <c r="O322" s="12">
        <f t="shared" si="28"/>
        <v>42840000</v>
      </c>
      <c r="P322" s="12">
        <f t="shared" si="29"/>
        <v>11900</v>
      </c>
    </row>
    <row r="323" spans="1:16" x14ac:dyDescent="0.25">
      <c r="A323" s="3">
        <v>322</v>
      </c>
      <c r="B323" s="3">
        <v>32</v>
      </c>
      <c r="C323" s="3">
        <v>53</v>
      </c>
      <c r="D323" s="2">
        <v>12280</v>
      </c>
      <c r="E323" s="2">
        <f t="shared" ref="E323:E386" si="30">(30*13^3)/12</f>
        <v>5492.5</v>
      </c>
      <c r="F323" s="2">
        <v>2380</v>
      </c>
      <c r="G323" s="2">
        <f t="shared" ref="G323:G386" si="31">F323/(2*(1+0.2))</f>
        <v>991.66666666666674</v>
      </c>
      <c r="H323" s="4">
        <f>VLOOKUP(B323,nodes!A:D,2,0)</f>
        <v>300</v>
      </c>
      <c r="I323" s="4">
        <f>VLOOKUP(B323,nodes!A:D,4,0)</f>
        <v>270</v>
      </c>
      <c r="J323" s="4">
        <f>VLOOKUP(C323,nodes!A:D,2,0)</f>
        <v>300</v>
      </c>
      <c r="K323" s="4">
        <f>VLOOKUP(C323,nodes!A:D,4,0)</f>
        <v>240</v>
      </c>
      <c r="L323" s="4">
        <f t="shared" ref="L323:L386" si="32">((J323-H323)^2+(K323-I323)^2)^0.5</f>
        <v>30</v>
      </c>
      <c r="N323" s="12">
        <f t="shared" ref="N323:N386" si="33">12*2380*60*(25^3)/(300*12)</f>
        <v>7437500</v>
      </c>
      <c r="O323" s="12">
        <f t="shared" ref="O323:O386" si="34">12*2380*25*(60^3)/(300*12)</f>
        <v>42840000</v>
      </c>
      <c r="P323" s="12">
        <f t="shared" ref="P323:P386" si="35">2380*25*60/300</f>
        <v>11900</v>
      </c>
    </row>
    <row r="324" spans="1:16" x14ac:dyDescent="0.25">
      <c r="A324" s="3">
        <v>323</v>
      </c>
      <c r="B324" s="3">
        <v>53</v>
      </c>
      <c r="C324" s="3">
        <v>74</v>
      </c>
      <c r="D324" s="2">
        <v>12280</v>
      </c>
      <c r="E324" s="2">
        <f t="shared" si="30"/>
        <v>5492.5</v>
      </c>
      <c r="F324" s="2">
        <v>2380</v>
      </c>
      <c r="G324" s="2">
        <f t="shared" si="31"/>
        <v>991.66666666666674</v>
      </c>
      <c r="H324" s="4">
        <f>VLOOKUP(B324,nodes!A:D,2,0)</f>
        <v>300</v>
      </c>
      <c r="I324" s="4">
        <f>VLOOKUP(B324,nodes!A:D,4,0)</f>
        <v>240</v>
      </c>
      <c r="J324" s="4">
        <f>VLOOKUP(C324,nodes!A:D,2,0)</f>
        <v>300</v>
      </c>
      <c r="K324" s="4">
        <f>VLOOKUP(C324,nodes!A:D,4,0)</f>
        <v>210</v>
      </c>
      <c r="L324" s="4">
        <f t="shared" si="32"/>
        <v>30</v>
      </c>
      <c r="N324" s="12">
        <f t="shared" si="33"/>
        <v>7437500</v>
      </c>
      <c r="O324" s="12">
        <f t="shared" si="34"/>
        <v>42840000</v>
      </c>
      <c r="P324" s="12">
        <f t="shared" si="35"/>
        <v>11900</v>
      </c>
    </row>
    <row r="325" spans="1:16" x14ac:dyDescent="0.25">
      <c r="A325" s="3">
        <v>324</v>
      </c>
      <c r="B325" s="3">
        <v>74</v>
      </c>
      <c r="C325" s="3">
        <v>95</v>
      </c>
      <c r="D325" s="2">
        <v>12280</v>
      </c>
      <c r="E325" s="2">
        <f t="shared" si="30"/>
        <v>5492.5</v>
      </c>
      <c r="F325" s="2">
        <v>2380</v>
      </c>
      <c r="G325" s="2">
        <f t="shared" si="31"/>
        <v>991.66666666666674</v>
      </c>
      <c r="H325" s="4">
        <f>VLOOKUP(B325,nodes!A:D,2,0)</f>
        <v>300</v>
      </c>
      <c r="I325" s="4">
        <f>VLOOKUP(B325,nodes!A:D,4,0)</f>
        <v>210</v>
      </c>
      <c r="J325" s="4">
        <f>VLOOKUP(C325,nodes!A:D,2,0)</f>
        <v>300</v>
      </c>
      <c r="K325" s="4">
        <f>VLOOKUP(C325,nodes!A:D,4,0)</f>
        <v>180</v>
      </c>
      <c r="L325" s="4">
        <f t="shared" si="32"/>
        <v>30</v>
      </c>
      <c r="N325" s="12">
        <f t="shared" si="33"/>
        <v>7437500</v>
      </c>
      <c r="O325" s="12">
        <f t="shared" si="34"/>
        <v>42840000</v>
      </c>
      <c r="P325" s="12">
        <f t="shared" si="35"/>
        <v>11900</v>
      </c>
    </row>
    <row r="326" spans="1:16" x14ac:dyDescent="0.25">
      <c r="A326" s="3">
        <v>325</v>
      </c>
      <c r="B326" s="3">
        <v>95</v>
      </c>
      <c r="C326" s="3">
        <v>116</v>
      </c>
      <c r="D326" s="2">
        <v>12280</v>
      </c>
      <c r="E326" s="2">
        <f t="shared" si="30"/>
        <v>5492.5</v>
      </c>
      <c r="F326" s="2">
        <v>2380</v>
      </c>
      <c r="G326" s="2">
        <f t="shared" si="31"/>
        <v>991.66666666666674</v>
      </c>
      <c r="H326" s="4">
        <f>VLOOKUP(B326,nodes!A:D,2,0)</f>
        <v>300</v>
      </c>
      <c r="I326" s="4">
        <f>VLOOKUP(B326,nodes!A:D,4,0)</f>
        <v>180</v>
      </c>
      <c r="J326" s="4">
        <f>VLOOKUP(C326,nodes!A:D,2,0)</f>
        <v>300</v>
      </c>
      <c r="K326" s="4">
        <f>VLOOKUP(C326,nodes!A:D,4,0)</f>
        <v>150</v>
      </c>
      <c r="L326" s="4">
        <f t="shared" si="32"/>
        <v>30</v>
      </c>
      <c r="N326" s="12">
        <f t="shared" si="33"/>
        <v>7437500</v>
      </c>
      <c r="O326" s="12">
        <f t="shared" si="34"/>
        <v>42840000</v>
      </c>
      <c r="P326" s="12">
        <f t="shared" si="35"/>
        <v>11900</v>
      </c>
    </row>
    <row r="327" spans="1:16" x14ac:dyDescent="0.25">
      <c r="A327" s="3">
        <v>326</v>
      </c>
      <c r="B327" s="3">
        <v>116</v>
      </c>
      <c r="C327" s="3">
        <v>137</v>
      </c>
      <c r="D327" s="2">
        <v>12280</v>
      </c>
      <c r="E327" s="2">
        <f t="shared" si="30"/>
        <v>5492.5</v>
      </c>
      <c r="F327" s="2">
        <v>2380</v>
      </c>
      <c r="G327" s="2">
        <f t="shared" si="31"/>
        <v>991.66666666666674</v>
      </c>
      <c r="H327" s="4">
        <f>VLOOKUP(B327,nodes!A:D,2,0)</f>
        <v>300</v>
      </c>
      <c r="I327" s="4">
        <f>VLOOKUP(B327,nodes!A:D,4,0)</f>
        <v>150</v>
      </c>
      <c r="J327" s="4">
        <f>VLOOKUP(C327,nodes!A:D,2,0)</f>
        <v>300</v>
      </c>
      <c r="K327" s="4">
        <f>VLOOKUP(C327,nodes!A:D,4,0)</f>
        <v>120</v>
      </c>
      <c r="L327" s="4">
        <f t="shared" si="32"/>
        <v>30</v>
      </c>
      <c r="N327" s="12">
        <f t="shared" si="33"/>
        <v>7437500</v>
      </c>
      <c r="O327" s="12">
        <f t="shared" si="34"/>
        <v>42840000</v>
      </c>
      <c r="P327" s="12">
        <f t="shared" si="35"/>
        <v>11900</v>
      </c>
    </row>
    <row r="328" spans="1:16" x14ac:dyDescent="0.25">
      <c r="A328" s="3">
        <v>327</v>
      </c>
      <c r="B328" s="3">
        <v>137</v>
      </c>
      <c r="C328" s="3">
        <v>158</v>
      </c>
      <c r="D328" s="2">
        <v>12280</v>
      </c>
      <c r="E328" s="2">
        <f t="shared" si="30"/>
        <v>5492.5</v>
      </c>
      <c r="F328" s="2">
        <v>2380</v>
      </c>
      <c r="G328" s="2">
        <f t="shared" si="31"/>
        <v>991.66666666666674</v>
      </c>
      <c r="H328" s="4">
        <f>VLOOKUP(B328,nodes!A:D,2,0)</f>
        <v>300</v>
      </c>
      <c r="I328" s="4">
        <f>VLOOKUP(B328,nodes!A:D,4,0)</f>
        <v>120</v>
      </c>
      <c r="J328" s="4">
        <f>VLOOKUP(C328,nodes!A:D,2,0)</f>
        <v>300</v>
      </c>
      <c r="K328" s="4">
        <f>VLOOKUP(C328,nodes!A:D,4,0)</f>
        <v>90</v>
      </c>
      <c r="L328" s="4">
        <f t="shared" si="32"/>
        <v>30</v>
      </c>
      <c r="N328" s="12">
        <f t="shared" si="33"/>
        <v>7437500</v>
      </c>
      <c r="O328" s="12">
        <f t="shared" si="34"/>
        <v>42840000</v>
      </c>
      <c r="P328" s="12">
        <f t="shared" si="35"/>
        <v>11900</v>
      </c>
    </row>
    <row r="329" spans="1:16" x14ac:dyDescent="0.25">
      <c r="A329" s="3">
        <v>328</v>
      </c>
      <c r="B329" s="3">
        <v>158</v>
      </c>
      <c r="C329" s="3">
        <v>179</v>
      </c>
      <c r="D329" s="2">
        <v>12280</v>
      </c>
      <c r="E329" s="2">
        <f t="shared" si="30"/>
        <v>5492.5</v>
      </c>
      <c r="F329" s="2">
        <v>2380</v>
      </c>
      <c r="G329" s="2">
        <f t="shared" si="31"/>
        <v>991.66666666666674</v>
      </c>
      <c r="H329" s="4">
        <f>VLOOKUP(B329,nodes!A:D,2,0)</f>
        <v>300</v>
      </c>
      <c r="I329" s="4">
        <f>VLOOKUP(B329,nodes!A:D,4,0)</f>
        <v>90</v>
      </c>
      <c r="J329" s="4">
        <f>VLOOKUP(C329,nodes!A:D,2,0)</f>
        <v>300</v>
      </c>
      <c r="K329" s="4">
        <f>VLOOKUP(C329,nodes!A:D,4,0)</f>
        <v>60</v>
      </c>
      <c r="L329" s="4">
        <f t="shared" si="32"/>
        <v>30</v>
      </c>
      <c r="N329" s="12">
        <f t="shared" si="33"/>
        <v>7437500</v>
      </c>
      <c r="O329" s="12">
        <f t="shared" si="34"/>
        <v>42840000</v>
      </c>
      <c r="P329" s="12">
        <f t="shared" si="35"/>
        <v>11900</v>
      </c>
    </row>
    <row r="330" spans="1:16" x14ac:dyDescent="0.25">
      <c r="A330" s="3">
        <v>329</v>
      </c>
      <c r="B330" s="3">
        <v>179</v>
      </c>
      <c r="C330" s="3">
        <v>200</v>
      </c>
      <c r="D330" s="2">
        <v>12280</v>
      </c>
      <c r="E330" s="2">
        <f t="shared" si="30"/>
        <v>5492.5</v>
      </c>
      <c r="F330" s="2">
        <v>2380</v>
      </c>
      <c r="G330" s="2">
        <f t="shared" si="31"/>
        <v>991.66666666666674</v>
      </c>
      <c r="H330" s="4">
        <f>VLOOKUP(B330,nodes!A:D,2,0)</f>
        <v>300</v>
      </c>
      <c r="I330" s="4">
        <f>VLOOKUP(B330,nodes!A:D,4,0)</f>
        <v>60</v>
      </c>
      <c r="J330" s="4">
        <f>VLOOKUP(C330,nodes!A:D,2,0)</f>
        <v>300</v>
      </c>
      <c r="K330" s="4">
        <f>VLOOKUP(C330,nodes!A:D,4,0)</f>
        <v>30</v>
      </c>
      <c r="L330" s="4">
        <f t="shared" si="32"/>
        <v>30</v>
      </c>
      <c r="N330" s="12">
        <f t="shared" si="33"/>
        <v>7437500</v>
      </c>
      <c r="O330" s="12">
        <f t="shared" si="34"/>
        <v>42840000</v>
      </c>
      <c r="P330" s="12">
        <f t="shared" si="35"/>
        <v>11900</v>
      </c>
    </row>
    <row r="331" spans="1:16" x14ac:dyDescent="0.25">
      <c r="A331" s="3">
        <v>330</v>
      </c>
      <c r="B331" s="3">
        <v>200</v>
      </c>
      <c r="C331" s="3">
        <v>221</v>
      </c>
      <c r="D331" s="2">
        <v>12280</v>
      </c>
      <c r="E331" s="2">
        <f t="shared" si="30"/>
        <v>5492.5</v>
      </c>
      <c r="F331" s="2">
        <v>2380</v>
      </c>
      <c r="G331" s="2">
        <f t="shared" si="31"/>
        <v>991.66666666666674</v>
      </c>
      <c r="H331" s="4">
        <f>VLOOKUP(B331,nodes!A:D,2,0)</f>
        <v>300</v>
      </c>
      <c r="I331" s="4">
        <f>VLOOKUP(B331,nodes!A:D,4,0)</f>
        <v>30</v>
      </c>
      <c r="J331" s="4">
        <f>VLOOKUP(C331,nodes!A:D,2,0)</f>
        <v>300</v>
      </c>
      <c r="K331" s="4">
        <f>VLOOKUP(C331,nodes!A:D,4,0)</f>
        <v>0</v>
      </c>
      <c r="L331" s="4">
        <f t="shared" si="32"/>
        <v>30</v>
      </c>
      <c r="N331" s="12">
        <f t="shared" si="33"/>
        <v>7437500</v>
      </c>
      <c r="O331" s="12">
        <f t="shared" si="34"/>
        <v>42840000</v>
      </c>
      <c r="P331" s="12">
        <f t="shared" si="35"/>
        <v>11900</v>
      </c>
    </row>
    <row r="332" spans="1:16" x14ac:dyDescent="0.25">
      <c r="A332" s="3">
        <v>331</v>
      </c>
      <c r="B332" s="3">
        <v>12</v>
      </c>
      <c r="C332" s="3">
        <v>33</v>
      </c>
      <c r="D332" s="2">
        <v>12280</v>
      </c>
      <c r="E332" s="2">
        <f t="shared" si="30"/>
        <v>5492.5</v>
      </c>
      <c r="F332" s="2">
        <v>2380</v>
      </c>
      <c r="G332" s="2">
        <f t="shared" si="31"/>
        <v>991.66666666666674</v>
      </c>
      <c r="H332" s="4">
        <f>VLOOKUP(B332,nodes!A:D,2,0)</f>
        <v>330</v>
      </c>
      <c r="I332" s="4">
        <f>VLOOKUP(B332,nodes!A:D,4,0)</f>
        <v>300</v>
      </c>
      <c r="J332" s="4">
        <f>VLOOKUP(C332,nodes!A:D,2,0)</f>
        <v>330</v>
      </c>
      <c r="K332" s="4">
        <f>VLOOKUP(C332,nodes!A:D,4,0)</f>
        <v>270</v>
      </c>
      <c r="L332" s="4">
        <f t="shared" si="32"/>
        <v>30</v>
      </c>
      <c r="N332" s="12">
        <f t="shared" si="33"/>
        <v>7437500</v>
      </c>
      <c r="O332" s="12">
        <f t="shared" si="34"/>
        <v>42840000</v>
      </c>
      <c r="P332" s="12">
        <f t="shared" si="35"/>
        <v>11900</v>
      </c>
    </row>
    <row r="333" spans="1:16" x14ac:dyDescent="0.25">
      <c r="A333" s="3">
        <v>332</v>
      </c>
      <c r="B333" s="3">
        <v>33</v>
      </c>
      <c r="C333" s="3">
        <v>54</v>
      </c>
      <c r="D333" s="2">
        <v>12280</v>
      </c>
      <c r="E333" s="2">
        <f t="shared" si="30"/>
        <v>5492.5</v>
      </c>
      <c r="F333" s="2">
        <v>2380</v>
      </c>
      <c r="G333" s="2">
        <f t="shared" si="31"/>
        <v>991.66666666666674</v>
      </c>
      <c r="H333" s="4">
        <f>VLOOKUP(B333,nodes!A:D,2,0)</f>
        <v>330</v>
      </c>
      <c r="I333" s="4">
        <f>VLOOKUP(B333,nodes!A:D,4,0)</f>
        <v>270</v>
      </c>
      <c r="J333" s="4">
        <f>VLOOKUP(C333,nodes!A:D,2,0)</f>
        <v>330</v>
      </c>
      <c r="K333" s="4">
        <f>VLOOKUP(C333,nodes!A:D,4,0)</f>
        <v>240</v>
      </c>
      <c r="L333" s="4">
        <f t="shared" si="32"/>
        <v>30</v>
      </c>
      <c r="N333" s="12">
        <f t="shared" si="33"/>
        <v>7437500</v>
      </c>
      <c r="O333" s="12">
        <f t="shared" si="34"/>
        <v>42840000</v>
      </c>
      <c r="P333" s="12">
        <f t="shared" si="35"/>
        <v>11900</v>
      </c>
    </row>
    <row r="334" spans="1:16" x14ac:dyDescent="0.25">
      <c r="A334" s="3">
        <v>333</v>
      </c>
      <c r="B334" s="3">
        <v>54</v>
      </c>
      <c r="C334" s="3">
        <v>75</v>
      </c>
      <c r="D334" s="2">
        <v>12280</v>
      </c>
      <c r="E334" s="2">
        <f t="shared" si="30"/>
        <v>5492.5</v>
      </c>
      <c r="F334" s="2">
        <v>2380</v>
      </c>
      <c r="G334" s="2">
        <f t="shared" si="31"/>
        <v>991.66666666666674</v>
      </c>
      <c r="H334" s="4">
        <f>VLOOKUP(B334,nodes!A:D,2,0)</f>
        <v>330</v>
      </c>
      <c r="I334" s="4">
        <f>VLOOKUP(B334,nodes!A:D,4,0)</f>
        <v>240</v>
      </c>
      <c r="J334" s="4">
        <f>VLOOKUP(C334,nodes!A:D,2,0)</f>
        <v>330</v>
      </c>
      <c r="K334" s="4">
        <f>VLOOKUP(C334,nodes!A:D,4,0)</f>
        <v>210</v>
      </c>
      <c r="L334" s="4">
        <f t="shared" si="32"/>
        <v>30</v>
      </c>
      <c r="N334" s="12">
        <f t="shared" si="33"/>
        <v>7437500</v>
      </c>
      <c r="O334" s="12">
        <f t="shared" si="34"/>
        <v>42840000</v>
      </c>
      <c r="P334" s="12">
        <f t="shared" si="35"/>
        <v>11900</v>
      </c>
    </row>
    <row r="335" spans="1:16" x14ac:dyDescent="0.25">
      <c r="A335" s="3">
        <v>334</v>
      </c>
      <c r="B335" s="3">
        <v>75</v>
      </c>
      <c r="C335" s="3">
        <v>96</v>
      </c>
      <c r="D335" s="2">
        <v>12280</v>
      </c>
      <c r="E335" s="2">
        <f t="shared" si="30"/>
        <v>5492.5</v>
      </c>
      <c r="F335" s="2">
        <v>2380</v>
      </c>
      <c r="G335" s="2">
        <f t="shared" si="31"/>
        <v>991.66666666666674</v>
      </c>
      <c r="H335" s="4">
        <f>VLOOKUP(B335,nodes!A:D,2,0)</f>
        <v>330</v>
      </c>
      <c r="I335" s="4">
        <f>VLOOKUP(B335,nodes!A:D,4,0)</f>
        <v>210</v>
      </c>
      <c r="J335" s="4">
        <f>VLOOKUP(C335,nodes!A:D,2,0)</f>
        <v>330</v>
      </c>
      <c r="K335" s="4">
        <f>VLOOKUP(C335,nodes!A:D,4,0)</f>
        <v>180</v>
      </c>
      <c r="L335" s="4">
        <f t="shared" si="32"/>
        <v>30</v>
      </c>
      <c r="N335" s="12">
        <f t="shared" si="33"/>
        <v>7437500</v>
      </c>
      <c r="O335" s="12">
        <f t="shared" si="34"/>
        <v>42840000</v>
      </c>
      <c r="P335" s="12">
        <f t="shared" si="35"/>
        <v>11900</v>
      </c>
    </row>
    <row r="336" spans="1:16" x14ac:dyDescent="0.25">
      <c r="A336" s="3">
        <v>335</v>
      </c>
      <c r="B336" s="3">
        <v>96</v>
      </c>
      <c r="C336" s="3">
        <v>117</v>
      </c>
      <c r="D336" s="2">
        <v>12280</v>
      </c>
      <c r="E336" s="2">
        <f t="shared" si="30"/>
        <v>5492.5</v>
      </c>
      <c r="F336" s="2">
        <v>2380</v>
      </c>
      <c r="G336" s="2">
        <f t="shared" si="31"/>
        <v>991.66666666666674</v>
      </c>
      <c r="H336" s="4">
        <f>VLOOKUP(B336,nodes!A:D,2,0)</f>
        <v>330</v>
      </c>
      <c r="I336" s="4">
        <f>VLOOKUP(B336,nodes!A:D,4,0)</f>
        <v>180</v>
      </c>
      <c r="J336" s="4">
        <f>VLOOKUP(C336,nodes!A:D,2,0)</f>
        <v>330</v>
      </c>
      <c r="K336" s="4">
        <f>VLOOKUP(C336,nodes!A:D,4,0)</f>
        <v>150</v>
      </c>
      <c r="L336" s="4">
        <f t="shared" si="32"/>
        <v>30</v>
      </c>
      <c r="N336" s="12">
        <f t="shared" si="33"/>
        <v>7437500</v>
      </c>
      <c r="O336" s="12">
        <f t="shared" si="34"/>
        <v>42840000</v>
      </c>
      <c r="P336" s="12">
        <f t="shared" si="35"/>
        <v>11900</v>
      </c>
    </row>
    <row r="337" spans="1:16" x14ac:dyDescent="0.25">
      <c r="A337" s="3">
        <v>336</v>
      </c>
      <c r="B337" s="3">
        <v>117</v>
      </c>
      <c r="C337" s="3">
        <v>138</v>
      </c>
      <c r="D337" s="2">
        <v>12280</v>
      </c>
      <c r="E337" s="2">
        <f t="shared" si="30"/>
        <v>5492.5</v>
      </c>
      <c r="F337" s="2">
        <v>2380</v>
      </c>
      <c r="G337" s="2">
        <f t="shared" si="31"/>
        <v>991.66666666666674</v>
      </c>
      <c r="H337" s="4">
        <f>VLOOKUP(B337,nodes!A:D,2,0)</f>
        <v>330</v>
      </c>
      <c r="I337" s="4">
        <f>VLOOKUP(B337,nodes!A:D,4,0)</f>
        <v>150</v>
      </c>
      <c r="J337" s="4">
        <f>VLOOKUP(C337,nodes!A:D,2,0)</f>
        <v>330</v>
      </c>
      <c r="K337" s="4">
        <f>VLOOKUP(C337,nodes!A:D,4,0)</f>
        <v>120</v>
      </c>
      <c r="L337" s="4">
        <f t="shared" si="32"/>
        <v>30</v>
      </c>
      <c r="N337" s="12">
        <f t="shared" si="33"/>
        <v>7437500</v>
      </c>
      <c r="O337" s="12">
        <f t="shared" si="34"/>
        <v>42840000</v>
      </c>
      <c r="P337" s="12">
        <f t="shared" si="35"/>
        <v>11900</v>
      </c>
    </row>
    <row r="338" spans="1:16" x14ac:dyDescent="0.25">
      <c r="A338" s="3">
        <v>337</v>
      </c>
      <c r="B338" s="3">
        <v>138</v>
      </c>
      <c r="C338" s="3">
        <v>159</v>
      </c>
      <c r="D338" s="2">
        <v>12280</v>
      </c>
      <c r="E338" s="2">
        <f t="shared" si="30"/>
        <v>5492.5</v>
      </c>
      <c r="F338" s="2">
        <v>2380</v>
      </c>
      <c r="G338" s="2">
        <f t="shared" si="31"/>
        <v>991.66666666666674</v>
      </c>
      <c r="H338" s="4">
        <f>VLOOKUP(B338,nodes!A:D,2,0)</f>
        <v>330</v>
      </c>
      <c r="I338" s="4">
        <f>VLOOKUP(B338,nodes!A:D,4,0)</f>
        <v>120</v>
      </c>
      <c r="J338" s="4">
        <f>VLOOKUP(C338,nodes!A:D,2,0)</f>
        <v>330</v>
      </c>
      <c r="K338" s="4">
        <f>VLOOKUP(C338,nodes!A:D,4,0)</f>
        <v>90</v>
      </c>
      <c r="L338" s="4">
        <f t="shared" si="32"/>
        <v>30</v>
      </c>
      <c r="N338" s="12">
        <f t="shared" si="33"/>
        <v>7437500</v>
      </c>
      <c r="O338" s="12">
        <f t="shared" si="34"/>
        <v>42840000</v>
      </c>
      <c r="P338" s="12">
        <f t="shared" si="35"/>
        <v>11900</v>
      </c>
    </row>
    <row r="339" spans="1:16" x14ac:dyDescent="0.25">
      <c r="A339" s="3">
        <v>338</v>
      </c>
      <c r="B339" s="3">
        <v>159</v>
      </c>
      <c r="C339" s="3">
        <v>180</v>
      </c>
      <c r="D339" s="2">
        <v>12280</v>
      </c>
      <c r="E339" s="2">
        <f t="shared" si="30"/>
        <v>5492.5</v>
      </c>
      <c r="F339" s="2">
        <v>2380</v>
      </c>
      <c r="G339" s="2">
        <f t="shared" si="31"/>
        <v>991.66666666666674</v>
      </c>
      <c r="H339" s="4">
        <f>VLOOKUP(B339,nodes!A:D,2,0)</f>
        <v>330</v>
      </c>
      <c r="I339" s="4">
        <f>VLOOKUP(B339,nodes!A:D,4,0)</f>
        <v>90</v>
      </c>
      <c r="J339" s="4">
        <f>VLOOKUP(C339,nodes!A:D,2,0)</f>
        <v>330</v>
      </c>
      <c r="K339" s="4">
        <f>VLOOKUP(C339,nodes!A:D,4,0)</f>
        <v>60</v>
      </c>
      <c r="L339" s="4">
        <f t="shared" si="32"/>
        <v>30</v>
      </c>
      <c r="N339" s="12">
        <f t="shared" si="33"/>
        <v>7437500</v>
      </c>
      <c r="O339" s="12">
        <f t="shared" si="34"/>
        <v>42840000</v>
      </c>
      <c r="P339" s="12">
        <f t="shared" si="35"/>
        <v>11900</v>
      </c>
    </row>
    <row r="340" spans="1:16" x14ac:dyDescent="0.25">
      <c r="A340" s="3">
        <v>339</v>
      </c>
      <c r="B340" s="3">
        <v>180</v>
      </c>
      <c r="C340" s="3">
        <v>201</v>
      </c>
      <c r="D340" s="2">
        <v>12280</v>
      </c>
      <c r="E340" s="2">
        <f t="shared" si="30"/>
        <v>5492.5</v>
      </c>
      <c r="F340" s="2">
        <v>2380</v>
      </c>
      <c r="G340" s="2">
        <f t="shared" si="31"/>
        <v>991.66666666666674</v>
      </c>
      <c r="H340" s="4">
        <f>VLOOKUP(B340,nodes!A:D,2,0)</f>
        <v>330</v>
      </c>
      <c r="I340" s="4">
        <f>VLOOKUP(B340,nodes!A:D,4,0)</f>
        <v>60</v>
      </c>
      <c r="J340" s="4">
        <f>VLOOKUP(C340,nodes!A:D,2,0)</f>
        <v>330</v>
      </c>
      <c r="K340" s="4">
        <f>VLOOKUP(C340,nodes!A:D,4,0)</f>
        <v>30</v>
      </c>
      <c r="L340" s="4">
        <f t="shared" si="32"/>
        <v>30</v>
      </c>
      <c r="N340" s="12">
        <f t="shared" si="33"/>
        <v>7437500</v>
      </c>
      <c r="O340" s="12">
        <f t="shared" si="34"/>
        <v>42840000</v>
      </c>
      <c r="P340" s="12">
        <f t="shared" si="35"/>
        <v>11900</v>
      </c>
    </row>
    <row r="341" spans="1:16" x14ac:dyDescent="0.25">
      <c r="A341" s="3">
        <v>340</v>
      </c>
      <c r="B341" s="3">
        <v>201</v>
      </c>
      <c r="C341" s="3">
        <v>222</v>
      </c>
      <c r="D341" s="2">
        <v>12280</v>
      </c>
      <c r="E341" s="2">
        <f t="shared" si="30"/>
        <v>5492.5</v>
      </c>
      <c r="F341" s="2">
        <v>2380</v>
      </c>
      <c r="G341" s="2">
        <f t="shared" si="31"/>
        <v>991.66666666666674</v>
      </c>
      <c r="H341" s="4">
        <f>VLOOKUP(B341,nodes!A:D,2,0)</f>
        <v>330</v>
      </c>
      <c r="I341" s="4">
        <f>VLOOKUP(B341,nodes!A:D,4,0)</f>
        <v>30</v>
      </c>
      <c r="J341" s="4">
        <f>VLOOKUP(C341,nodes!A:D,2,0)</f>
        <v>330</v>
      </c>
      <c r="K341" s="4">
        <f>VLOOKUP(C341,nodes!A:D,4,0)</f>
        <v>0</v>
      </c>
      <c r="L341" s="4">
        <f t="shared" si="32"/>
        <v>30</v>
      </c>
      <c r="N341" s="12">
        <f t="shared" si="33"/>
        <v>7437500</v>
      </c>
      <c r="O341" s="12">
        <f t="shared" si="34"/>
        <v>42840000</v>
      </c>
      <c r="P341" s="12">
        <f t="shared" si="35"/>
        <v>11900</v>
      </c>
    </row>
    <row r="342" spans="1:16" x14ac:dyDescent="0.25">
      <c r="A342" s="3">
        <v>341</v>
      </c>
      <c r="B342" s="3">
        <v>13</v>
      </c>
      <c r="C342" s="3">
        <v>34</v>
      </c>
      <c r="D342" s="2">
        <v>12280</v>
      </c>
      <c r="E342" s="2">
        <f t="shared" si="30"/>
        <v>5492.5</v>
      </c>
      <c r="F342" s="2">
        <v>2380</v>
      </c>
      <c r="G342" s="2">
        <f t="shared" si="31"/>
        <v>991.66666666666674</v>
      </c>
      <c r="H342" s="4">
        <f>VLOOKUP(B342,nodes!A:D,2,0)</f>
        <v>360</v>
      </c>
      <c r="I342" s="4">
        <f>VLOOKUP(B342,nodes!A:D,4,0)</f>
        <v>300</v>
      </c>
      <c r="J342" s="4">
        <f>VLOOKUP(C342,nodes!A:D,2,0)</f>
        <v>360</v>
      </c>
      <c r="K342" s="4">
        <f>VLOOKUP(C342,nodes!A:D,4,0)</f>
        <v>270</v>
      </c>
      <c r="L342" s="4">
        <f t="shared" si="32"/>
        <v>30</v>
      </c>
      <c r="N342" s="12">
        <f t="shared" si="33"/>
        <v>7437500</v>
      </c>
      <c r="O342" s="12">
        <f t="shared" si="34"/>
        <v>42840000</v>
      </c>
      <c r="P342" s="12">
        <f t="shared" si="35"/>
        <v>11900</v>
      </c>
    </row>
    <row r="343" spans="1:16" x14ac:dyDescent="0.25">
      <c r="A343" s="3">
        <v>342</v>
      </c>
      <c r="B343" s="3">
        <v>34</v>
      </c>
      <c r="C343" s="3">
        <v>55</v>
      </c>
      <c r="D343" s="2">
        <v>12280</v>
      </c>
      <c r="E343" s="2">
        <f t="shared" si="30"/>
        <v>5492.5</v>
      </c>
      <c r="F343" s="2">
        <v>2380</v>
      </c>
      <c r="G343" s="2">
        <f t="shared" si="31"/>
        <v>991.66666666666674</v>
      </c>
      <c r="H343" s="4">
        <f>VLOOKUP(B343,nodes!A:D,2,0)</f>
        <v>360</v>
      </c>
      <c r="I343" s="4">
        <f>VLOOKUP(B343,nodes!A:D,4,0)</f>
        <v>270</v>
      </c>
      <c r="J343" s="4">
        <f>VLOOKUP(C343,nodes!A:D,2,0)</f>
        <v>360</v>
      </c>
      <c r="K343" s="4">
        <f>VLOOKUP(C343,nodes!A:D,4,0)</f>
        <v>240</v>
      </c>
      <c r="L343" s="4">
        <f t="shared" si="32"/>
        <v>30</v>
      </c>
      <c r="N343" s="12">
        <f t="shared" si="33"/>
        <v>7437500</v>
      </c>
      <c r="O343" s="12">
        <f t="shared" si="34"/>
        <v>42840000</v>
      </c>
      <c r="P343" s="12">
        <f t="shared" si="35"/>
        <v>11900</v>
      </c>
    </row>
    <row r="344" spans="1:16" x14ac:dyDescent="0.25">
      <c r="A344" s="3">
        <v>343</v>
      </c>
      <c r="B344" s="3">
        <v>55</v>
      </c>
      <c r="C344" s="3">
        <v>76</v>
      </c>
      <c r="D344" s="2">
        <v>12280</v>
      </c>
      <c r="E344" s="2">
        <f t="shared" si="30"/>
        <v>5492.5</v>
      </c>
      <c r="F344" s="2">
        <v>2380</v>
      </c>
      <c r="G344" s="2">
        <f t="shared" si="31"/>
        <v>991.66666666666674</v>
      </c>
      <c r="H344" s="4">
        <f>VLOOKUP(B344,nodes!A:D,2,0)</f>
        <v>360</v>
      </c>
      <c r="I344" s="4">
        <f>VLOOKUP(B344,nodes!A:D,4,0)</f>
        <v>240</v>
      </c>
      <c r="J344" s="4">
        <f>VLOOKUP(C344,nodes!A:D,2,0)</f>
        <v>360</v>
      </c>
      <c r="K344" s="4">
        <f>VLOOKUP(C344,nodes!A:D,4,0)</f>
        <v>210</v>
      </c>
      <c r="L344" s="4">
        <f t="shared" si="32"/>
        <v>30</v>
      </c>
      <c r="N344" s="12">
        <f t="shared" si="33"/>
        <v>7437500</v>
      </c>
      <c r="O344" s="12">
        <f t="shared" si="34"/>
        <v>42840000</v>
      </c>
      <c r="P344" s="12">
        <f t="shared" si="35"/>
        <v>11900</v>
      </c>
    </row>
    <row r="345" spans="1:16" x14ac:dyDescent="0.25">
      <c r="A345" s="3">
        <v>344</v>
      </c>
      <c r="B345" s="3">
        <v>76</v>
      </c>
      <c r="C345" s="3">
        <v>97</v>
      </c>
      <c r="D345" s="2">
        <v>12280</v>
      </c>
      <c r="E345" s="2">
        <f t="shared" si="30"/>
        <v>5492.5</v>
      </c>
      <c r="F345" s="2">
        <v>2380</v>
      </c>
      <c r="G345" s="2">
        <f t="shared" si="31"/>
        <v>991.66666666666674</v>
      </c>
      <c r="H345" s="4">
        <f>VLOOKUP(B345,nodes!A:D,2,0)</f>
        <v>360</v>
      </c>
      <c r="I345" s="4">
        <f>VLOOKUP(B345,nodes!A:D,4,0)</f>
        <v>210</v>
      </c>
      <c r="J345" s="4">
        <f>VLOOKUP(C345,nodes!A:D,2,0)</f>
        <v>360</v>
      </c>
      <c r="K345" s="4">
        <f>VLOOKUP(C345,nodes!A:D,4,0)</f>
        <v>180</v>
      </c>
      <c r="L345" s="4">
        <f t="shared" si="32"/>
        <v>30</v>
      </c>
      <c r="N345" s="12">
        <f t="shared" si="33"/>
        <v>7437500</v>
      </c>
      <c r="O345" s="12">
        <f t="shared" si="34"/>
        <v>42840000</v>
      </c>
      <c r="P345" s="12">
        <f t="shared" si="35"/>
        <v>11900</v>
      </c>
    </row>
    <row r="346" spans="1:16" x14ac:dyDescent="0.25">
      <c r="A346" s="3">
        <v>345</v>
      </c>
      <c r="B346" s="3">
        <v>97</v>
      </c>
      <c r="C346" s="3">
        <v>118</v>
      </c>
      <c r="D346" s="2">
        <v>12280</v>
      </c>
      <c r="E346" s="2">
        <f t="shared" si="30"/>
        <v>5492.5</v>
      </c>
      <c r="F346" s="2">
        <v>2380</v>
      </c>
      <c r="G346" s="2">
        <f t="shared" si="31"/>
        <v>991.66666666666674</v>
      </c>
      <c r="H346" s="4">
        <f>VLOOKUP(B346,nodes!A:D,2,0)</f>
        <v>360</v>
      </c>
      <c r="I346" s="4">
        <f>VLOOKUP(B346,nodes!A:D,4,0)</f>
        <v>180</v>
      </c>
      <c r="J346" s="4">
        <f>VLOOKUP(C346,nodes!A:D,2,0)</f>
        <v>360</v>
      </c>
      <c r="K346" s="4">
        <f>VLOOKUP(C346,nodes!A:D,4,0)</f>
        <v>150</v>
      </c>
      <c r="L346" s="4">
        <f t="shared" si="32"/>
        <v>30</v>
      </c>
      <c r="N346" s="12">
        <f t="shared" si="33"/>
        <v>7437500</v>
      </c>
      <c r="O346" s="12">
        <f t="shared" si="34"/>
        <v>42840000</v>
      </c>
      <c r="P346" s="12">
        <f t="shared" si="35"/>
        <v>11900</v>
      </c>
    </row>
    <row r="347" spans="1:16" x14ac:dyDescent="0.25">
      <c r="A347" s="3">
        <v>346</v>
      </c>
      <c r="B347" s="3">
        <v>118</v>
      </c>
      <c r="C347" s="3">
        <v>139</v>
      </c>
      <c r="D347" s="2">
        <v>12280</v>
      </c>
      <c r="E347" s="2">
        <f t="shared" si="30"/>
        <v>5492.5</v>
      </c>
      <c r="F347" s="2">
        <v>2380</v>
      </c>
      <c r="G347" s="2">
        <f t="shared" si="31"/>
        <v>991.66666666666674</v>
      </c>
      <c r="H347" s="4">
        <f>VLOOKUP(B347,nodes!A:D,2,0)</f>
        <v>360</v>
      </c>
      <c r="I347" s="4">
        <f>VLOOKUP(B347,nodes!A:D,4,0)</f>
        <v>150</v>
      </c>
      <c r="J347" s="4">
        <f>VLOOKUP(C347,nodes!A:D,2,0)</f>
        <v>360</v>
      </c>
      <c r="K347" s="4">
        <f>VLOOKUP(C347,nodes!A:D,4,0)</f>
        <v>120</v>
      </c>
      <c r="L347" s="4">
        <f t="shared" si="32"/>
        <v>30</v>
      </c>
      <c r="N347" s="12">
        <f t="shared" si="33"/>
        <v>7437500</v>
      </c>
      <c r="O347" s="12">
        <f t="shared" si="34"/>
        <v>42840000</v>
      </c>
      <c r="P347" s="12">
        <f t="shared" si="35"/>
        <v>11900</v>
      </c>
    </row>
    <row r="348" spans="1:16" x14ac:dyDescent="0.25">
      <c r="A348" s="3">
        <v>347</v>
      </c>
      <c r="B348" s="3">
        <v>139</v>
      </c>
      <c r="C348" s="3">
        <v>160</v>
      </c>
      <c r="D348" s="2">
        <v>12280</v>
      </c>
      <c r="E348" s="2">
        <f t="shared" si="30"/>
        <v>5492.5</v>
      </c>
      <c r="F348" s="2">
        <v>2380</v>
      </c>
      <c r="G348" s="2">
        <f t="shared" si="31"/>
        <v>991.66666666666674</v>
      </c>
      <c r="H348" s="4">
        <f>VLOOKUP(B348,nodes!A:D,2,0)</f>
        <v>360</v>
      </c>
      <c r="I348" s="4">
        <f>VLOOKUP(B348,nodes!A:D,4,0)</f>
        <v>120</v>
      </c>
      <c r="J348" s="4">
        <f>VLOOKUP(C348,nodes!A:D,2,0)</f>
        <v>360</v>
      </c>
      <c r="K348" s="4">
        <f>VLOOKUP(C348,nodes!A:D,4,0)</f>
        <v>90</v>
      </c>
      <c r="L348" s="4">
        <f t="shared" si="32"/>
        <v>30</v>
      </c>
      <c r="N348" s="12">
        <f t="shared" si="33"/>
        <v>7437500</v>
      </c>
      <c r="O348" s="12">
        <f t="shared" si="34"/>
        <v>42840000</v>
      </c>
      <c r="P348" s="12">
        <f t="shared" si="35"/>
        <v>11900</v>
      </c>
    </row>
    <row r="349" spans="1:16" x14ac:dyDescent="0.25">
      <c r="A349" s="3">
        <v>348</v>
      </c>
      <c r="B349" s="3">
        <v>160</v>
      </c>
      <c r="C349" s="3">
        <v>181</v>
      </c>
      <c r="D349" s="2">
        <v>12280</v>
      </c>
      <c r="E349" s="2">
        <f t="shared" si="30"/>
        <v>5492.5</v>
      </c>
      <c r="F349" s="2">
        <v>2380</v>
      </c>
      <c r="G349" s="2">
        <f t="shared" si="31"/>
        <v>991.66666666666674</v>
      </c>
      <c r="H349" s="4">
        <f>VLOOKUP(B349,nodes!A:D,2,0)</f>
        <v>360</v>
      </c>
      <c r="I349" s="4">
        <f>VLOOKUP(B349,nodes!A:D,4,0)</f>
        <v>90</v>
      </c>
      <c r="J349" s="4">
        <f>VLOOKUP(C349,nodes!A:D,2,0)</f>
        <v>360</v>
      </c>
      <c r="K349" s="4">
        <f>VLOOKUP(C349,nodes!A:D,4,0)</f>
        <v>60</v>
      </c>
      <c r="L349" s="4">
        <f t="shared" si="32"/>
        <v>30</v>
      </c>
      <c r="N349" s="12">
        <f t="shared" si="33"/>
        <v>7437500</v>
      </c>
      <c r="O349" s="12">
        <f t="shared" si="34"/>
        <v>42840000</v>
      </c>
      <c r="P349" s="12">
        <f t="shared" si="35"/>
        <v>11900</v>
      </c>
    </row>
    <row r="350" spans="1:16" x14ac:dyDescent="0.25">
      <c r="A350" s="3">
        <v>349</v>
      </c>
      <c r="B350" s="3">
        <v>181</v>
      </c>
      <c r="C350" s="3">
        <v>202</v>
      </c>
      <c r="D350" s="2">
        <v>12280</v>
      </c>
      <c r="E350" s="2">
        <f t="shared" si="30"/>
        <v>5492.5</v>
      </c>
      <c r="F350" s="2">
        <v>2380</v>
      </c>
      <c r="G350" s="2">
        <f t="shared" si="31"/>
        <v>991.66666666666674</v>
      </c>
      <c r="H350" s="4">
        <f>VLOOKUP(B350,nodes!A:D,2,0)</f>
        <v>360</v>
      </c>
      <c r="I350" s="4">
        <f>VLOOKUP(B350,nodes!A:D,4,0)</f>
        <v>60</v>
      </c>
      <c r="J350" s="4">
        <f>VLOOKUP(C350,nodes!A:D,2,0)</f>
        <v>360</v>
      </c>
      <c r="K350" s="4">
        <f>VLOOKUP(C350,nodes!A:D,4,0)</f>
        <v>30</v>
      </c>
      <c r="L350" s="4">
        <f t="shared" si="32"/>
        <v>30</v>
      </c>
      <c r="N350" s="12">
        <f t="shared" si="33"/>
        <v>7437500</v>
      </c>
      <c r="O350" s="12">
        <f t="shared" si="34"/>
        <v>42840000</v>
      </c>
      <c r="P350" s="12">
        <f t="shared" si="35"/>
        <v>11900</v>
      </c>
    </row>
    <row r="351" spans="1:16" x14ac:dyDescent="0.25">
      <c r="A351" s="3">
        <v>350</v>
      </c>
      <c r="B351" s="3">
        <v>202</v>
      </c>
      <c r="C351" s="3">
        <v>223</v>
      </c>
      <c r="D351" s="2">
        <v>12280</v>
      </c>
      <c r="E351" s="2">
        <f t="shared" si="30"/>
        <v>5492.5</v>
      </c>
      <c r="F351" s="2">
        <v>2380</v>
      </c>
      <c r="G351" s="2">
        <f t="shared" si="31"/>
        <v>991.66666666666674</v>
      </c>
      <c r="H351" s="4">
        <f>VLOOKUP(B351,nodes!A:D,2,0)</f>
        <v>360</v>
      </c>
      <c r="I351" s="4">
        <f>VLOOKUP(B351,nodes!A:D,4,0)</f>
        <v>30</v>
      </c>
      <c r="J351" s="4">
        <f>VLOOKUP(C351,nodes!A:D,2,0)</f>
        <v>360</v>
      </c>
      <c r="K351" s="4">
        <f>VLOOKUP(C351,nodes!A:D,4,0)</f>
        <v>0</v>
      </c>
      <c r="L351" s="4">
        <f t="shared" si="32"/>
        <v>30</v>
      </c>
      <c r="N351" s="12">
        <f t="shared" si="33"/>
        <v>7437500</v>
      </c>
      <c r="O351" s="12">
        <f t="shared" si="34"/>
        <v>42840000</v>
      </c>
      <c r="P351" s="12">
        <f t="shared" si="35"/>
        <v>11900</v>
      </c>
    </row>
    <row r="352" spans="1:16" x14ac:dyDescent="0.25">
      <c r="A352" s="3">
        <v>351</v>
      </c>
      <c r="B352" s="3">
        <v>14</v>
      </c>
      <c r="C352" s="3">
        <v>35</v>
      </c>
      <c r="D352" s="2">
        <v>12280</v>
      </c>
      <c r="E352" s="2">
        <f t="shared" si="30"/>
        <v>5492.5</v>
      </c>
      <c r="F352" s="2">
        <v>2380</v>
      </c>
      <c r="G352" s="2">
        <f t="shared" si="31"/>
        <v>991.66666666666674</v>
      </c>
      <c r="H352" s="4">
        <f>VLOOKUP(B352,nodes!A:D,2,0)</f>
        <v>390</v>
      </c>
      <c r="I352" s="4">
        <f>VLOOKUP(B352,nodes!A:D,4,0)</f>
        <v>300</v>
      </c>
      <c r="J352" s="4">
        <f>VLOOKUP(C352,nodes!A:D,2,0)</f>
        <v>390</v>
      </c>
      <c r="K352" s="4">
        <f>VLOOKUP(C352,nodes!A:D,4,0)</f>
        <v>270</v>
      </c>
      <c r="L352" s="4">
        <f t="shared" si="32"/>
        <v>30</v>
      </c>
      <c r="N352" s="12">
        <f t="shared" si="33"/>
        <v>7437500</v>
      </c>
      <c r="O352" s="12">
        <f t="shared" si="34"/>
        <v>42840000</v>
      </c>
      <c r="P352" s="12">
        <f t="shared" si="35"/>
        <v>11900</v>
      </c>
    </row>
    <row r="353" spans="1:16" x14ac:dyDescent="0.25">
      <c r="A353" s="3">
        <v>352</v>
      </c>
      <c r="B353" s="3">
        <v>35</v>
      </c>
      <c r="C353" s="3">
        <v>56</v>
      </c>
      <c r="D353" s="2">
        <v>12280</v>
      </c>
      <c r="E353" s="2">
        <f t="shared" si="30"/>
        <v>5492.5</v>
      </c>
      <c r="F353" s="2">
        <v>2380</v>
      </c>
      <c r="G353" s="2">
        <f t="shared" si="31"/>
        <v>991.66666666666674</v>
      </c>
      <c r="H353" s="4">
        <f>VLOOKUP(B353,nodes!A:D,2,0)</f>
        <v>390</v>
      </c>
      <c r="I353" s="4">
        <f>VLOOKUP(B353,nodes!A:D,4,0)</f>
        <v>270</v>
      </c>
      <c r="J353" s="4">
        <f>VLOOKUP(C353,nodes!A:D,2,0)</f>
        <v>390</v>
      </c>
      <c r="K353" s="4">
        <f>VLOOKUP(C353,nodes!A:D,4,0)</f>
        <v>240</v>
      </c>
      <c r="L353" s="4">
        <f t="shared" si="32"/>
        <v>30</v>
      </c>
      <c r="N353" s="12">
        <f t="shared" si="33"/>
        <v>7437500</v>
      </c>
      <c r="O353" s="12">
        <f t="shared" si="34"/>
        <v>42840000</v>
      </c>
      <c r="P353" s="12">
        <f t="shared" si="35"/>
        <v>11900</v>
      </c>
    </row>
    <row r="354" spans="1:16" x14ac:dyDescent="0.25">
      <c r="A354" s="3">
        <v>353</v>
      </c>
      <c r="B354" s="3">
        <v>56</v>
      </c>
      <c r="C354" s="3">
        <v>77</v>
      </c>
      <c r="D354" s="2">
        <v>12280</v>
      </c>
      <c r="E354" s="2">
        <f t="shared" si="30"/>
        <v>5492.5</v>
      </c>
      <c r="F354" s="2">
        <v>2380</v>
      </c>
      <c r="G354" s="2">
        <f t="shared" si="31"/>
        <v>991.66666666666674</v>
      </c>
      <c r="H354" s="4">
        <f>VLOOKUP(B354,nodes!A:D,2,0)</f>
        <v>390</v>
      </c>
      <c r="I354" s="4">
        <f>VLOOKUP(B354,nodes!A:D,4,0)</f>
        <v>240</v>
      </c>
      <c r="J354" s="4">
        <f>VLOOKUP(C354,nodes!A:D,2,0)</f>
        <v>390</v>
      </c>
      <c r="K354" s="4">
        <f>VLOOKUP(C354,nodes!A:D,4,0)</f>
        <v>210</v>
      </c>
      <c r="L354" s="4">
        <f t="shared" si="32"/>
        <v>30</v>
      </c>
      <c r="N354" s="12">
        <f t="shared" si="33"/>
        <v>7437500</v>
      </c>
      <c r="O354" s="12">
        <f t="shared" si="34"/>
        <v>42840000</v>
      </c>
      <c r="P354" s="12">
        <f t="shared" si="35"/>
        <v>11900</v>
      </c>
    </row>
    <row r="355" spans="1:16" x14ac:dyDescent="0.25">
      <c r="A355" s="3">
        <v>354</v>
      </c>
      <c r="B355" s="3">
        <v>77</v>
      </c>
      <c r="C355" s="3">
        <v>98</v>
      </c>
      <c r="D355" s="2">
        <v>12280</v>
      </c>
      <c r="E355" s="2">
        <f t="shared" si="30"/>
        <v>5492.5</v>
      </c>
      <c r="F355" s="2">
        <v>2380</v>
      </c>
      <c r="G355" s="2">
        <f t="shared" si="31"/>
        <v>991.66666666666674</v>
      </c>
      <c r="H355" s="4">
        <f>VLOOKUP(B355,nodes!A:D,2,0)</f>
        <v>390</v>
      </c>
      <c r="I355" s="4">
        <f>VLOOKUP(B355,nodes!A:D,4,0)</f>
        <v>210</v>
      </c>
      <c r="J355" s="4">
        <f>VLOOKUP(C355,nodes!A:D,2,0)</f>
        <v>390</v>
      </c>
      <c r="K355" s="4">
        <f>VLOOKUP(C355,nodes!A:D,4,0)</f>
        <v>180</v>
      </c>
      <c r="L355" s="4">
        <f t="shared" si="32"/>
        <v>30</v>
      </c>
      <c r="N355" s="12">
        <f t="shared" si="33"/>
        <v>7437500</v>
      </c>
      <c r="O355" s="12">
        <f t="shared" si="34"/>
        <v>42840000</v>
      </c>
      <c r="P355" s="12">
        <f t="shared" si="35"/>
        <v>11900</v>
      </c>
    </row>
    <row r="356" spans="1:16" x14ac:dyDescent="0.25">
      <c r="A356" s="3">
        <v>355</v>
      </c>
      <c r="B356" s="3">
        <v>98</v>
      </c>
      <c r="C356" s="3">
        <v>119</v>
      </c>
      <c r="D356" s="2">
        <v>12280</v>
      </c>
      <c r="E356" s="2">
        <f t="shared" si="30"/>
        <v>5492.5</v>
      </c>
      <c r="F356" s="2">
        <v>2380</v>
      </c>
      <c r="G356" s="2">
        <f t="shared" si="31"/>
        <v>991.66666666666674</v>
      </c>
      <c r="H356" s="4">
        <f>VLOOKUP(B356,nodes!A:D,2,0)</f>
        <v>390</v>
      </c>
      <c r="I356" s="4">
        <f>VLOOKUP(B356,nodes!A:D,4,0)</f>
        <v>180</v>
      </c>
      <c r="J356" s="4">
        <f>VLOOKUP(C356,nodes!A:D,2,0)</f>
        <v>390</v>
      </c>
      <c r="K356" s="4">
        <f>VLOOKUP(C356,nodes!A:D,4,0)</f>
        <v>150</v>
      </c>
      <c r="L356" s="4">
        <f t="shared" si="32"/>
        <v>30</v>
      </c>
      <c r="N356" s="12">
        <f t="shared" si="33"/>
        <v>7437500</v>
      </c>
      <c r="O356" s="12">
        <f t="shared" si="34"/>
        <v>42840000</v>
      </c>
      <c r="P356" s="12">
        <f t="shared" si="35"/>
        <v>11900</v>
      </c>
    </row>
    <row r="357" spans="1:16" x14ac:dyDescent="0.25">
      <c r="A357" s="3">
        <v>356</v>
      </c>
      <c r="B357" s="3">
        <v>119</v>
      </c>
      <c r="C357" s="3">
        <v>140</v>
      </c>
      <c r="D357" s="2">
        <v>12280</v>
      </c>
      <c r="E357" s="2">
        <f t="shared" si="30"/>
        <v>5492.5</v>
      </c>
      <c r="F357" s="2">
        <v>2380</v>
      </c>
      <c r="G357" s="2">
        <f t="shared" si="31"/>
        <v>991.66666666666674</v>
      </c>
      <c r="H357" s="4">
        <f>VLOOKUP(B357,nodes!A:D,2,0)</f>
        <v>390</v>
      </c>
      <c r="I357" s="4">
        <f>VLOOKUP(B357,nodes!A:D,4,0)</f>
        <v>150</v>
      </c>
      <c r="J357" s="4">
        <f>VLOOKUP(C357,nodes!A:D,2,0)</f>
        <v>390</v>
      </c>
      <c r="K357" s="4">
        <f>VLOOKUP(C357,nodes!A:D,4,0)</f>
        <v>120</v>
      </c>
      <c r="L357" s="4">
        <f t="shared" si="32"/>
        <v>30</v>
      </c>
      <c r="N357" s="12">
        <f t="shared" si="33"/>
        <v>7437500</v>
      </c>
      <c r="O357" s="12">
        <f t="shared" si="34"/>
        <v>42840000</v>
      </c>
      <c r="P357" s="12">
        <f t="shared" si="35"/>
        <v>11900</v>
      </c>
    </row>
    <row r="358" spans="1:16" x14ac:dyDescent="0.25">
      <c r="A358" s="3">
        <v>357</v>
      </c>
      <c r="B358" s="3">
        <v>140</v>
      </c>
      <c r="C358" s="3">
        <v>161</v>
      </c>
      <c r="D358" s="2">
        <v>12280</v>
      </c>
      <c r="E358" s="2">
        <f t="shared" si="30"/>
        <v>5492.5</v>
      </c>
      <c r="F358" s="2">
        <v>2380</v>
      </c>
      <c r="G358" s="2">
        <f t="shared" si="31"/>
        <v>991.66666666666674</v>
      </c>
      <c r="H358" s="4">
        <f>VLOOKUP(B358,nodes!A:D,2,0)</f>
        <v>390</v>
      </c>
      <c r="I358" s="4">
        <f>VLOOKUP(B358,nodes!A:D,4,0)</f>
        <v>120</v>
      </c>
      <c r="J358" s="4">
        <f>VLOOKUP(C358,nodes!A:D,2,0)</f>
        <v>390</v>
      </c>
      <c r="K358" s="4">
        <f>VLOOKUP(C358,nodes!A:D,4,0)</f>
        <v>90</v>
      </c>
      <c r="L358" s="4">
        <f t="shared" si="32"/>
        <v>30</v>
      </c>
      <c r="N358" s="12">
        <f t="shared" si="33"/>
        <v>7437500</v>
      </c>
      <c r="O358" s="12">
        <f t="shared" si="34"/>
        <v>42840000</v>
      </c>
      <c r="P358" s="12">
        <f t="shared" si="35"/>
        <v>11900</v>
      </c>
    </row>
    <row r="359" spans="1:16" x14ac:dyDescent="0.25">
      <c r="A359" s="3">
        <v>358</v>
      </c>
      <c r="B359" s="3">
        <v>161</v>
      </c>
      <c r="C359" s="3">
        <v>182</v>
      </c>
      <c r="D359" s="2">
        <v>12280</v>
      </c>
      <c r="E359" s="2">
        <f t="shared" si="30"/>
        <v>5492.5</v>
      </c>
      <c r="F359" s="2">
        <v>2380</v>
      </c>
      <c r="G359" s="2">
        <f t="shared" si="31"/>
        <v>991.66666666666674</v>
      </c>
      <c r="H359" s="4">
        <f>VLOOKUP(B359,nodes!A:D,2,0)</f>
        <v>390</v>
      </c>
      <c r="I359" s="4">
        <f>VLOOKUP(B359,nodes!A:D,4,0)</f>
        <v>90</v>
      </c>
      <c r="J359" s="4">
        <f>VLOOKUP(C359,nodes!A:D,2,0)</f>
        <v>390</v>
      </c>
      <c r="K359" s="4">
        <f>VLOOKUP(C359,nodes!A:D,4,0)</f>
        <v>60</v>
      </c>
      <c r="L359" s="4">
        <f t="shared" si="32"/>
        <v>30</v>
      </c>
      <c r="N359" s="12">
        <f t="shared" si="33"/>
        <v>7437500</v>
      </c>
      <c r="O359" s="12">
        <f t="shared" si="34"/>
        <v>42840000</v>
      </c>
      <c r="P359" s="12">
        <f t="shared" si="35"/>
        <v>11900</v>
      </c>
    </row>
    <row r="360" spans="1:16" x14ac:dyDescent="0.25">
      <c r="A360" s="3">
        <v>359</v>
      </c>
      <c r="B360" s="3">
        <v>182</v>
      </c>
      <c r="C360" s="3">
        <v>203</v>
      </c>
      <c r="D360" s="2">
        <v>12280</v>
      </c>
      <c r="E360" s="2">
        <f t="shared" si="30"/>
        <v>5492.5</v>
      </c>
      <c r="F360" s="2">
        <v>2380</v>
      </c>
      <c r="G360" s="2">
        <f t="shared" si="31"/>
        <v>991.66666666666674</v>
      </c>
      <c r="H360" s="4">
        <f>VLOOKUP(B360,nodes!A:D,2,0)</f>
        <v>390</v>
      </c>
      <c r="I360" s="4">
        <f>VLOOKUP(B360,nodes!A:D,4,0)</f>
        <v>60</v>
      </c>
      <c r="J360" s="4">
        <f>VLOOKUP(C360,nodes!A:D,2,0)</f>
        <v>390</v>
      </c>
      <c r="K360" s="4">
        <f>VLOOKUP(C360,nodes!A:D,4,0)</f>
        <v>30</v>
      </c>
      <c r="L360" s="4">
        <f t="shared" si="32"/>
        <v>30</v>
      </c>
      <c r="N360" s="12">
        <f t="shared" si="33"/>
        <v>7437500</v>
      </c>
      <c r="O360" s="12">
        <f t="shared" si="34"/>
        <v>42840000</v>
      </c>
      <c r="P360" s="12">
        <f t="shared" si="35"/>
        <v>11900</v>
      </c>
    </row>
    <row r="361" spans="1:16" x14ac:dyDescent="0.25">
      <c r="A361" s="3">
        <v>360</v>
      </c>
      <c r="B361" s="3">
        <v>203</v>
      </c>
      <c r="C361" s="3">
        <v>224</v>
      </c>
      <c r="D361" s="2">
        <v>12280</v>
      </c>
      <c r="E361" s="2">
        <f t="shared" si="30"/>
        <v>5492.5</v>
      </c>
      <c r="F361" s="2">
        <v>2380</v>
      </c>
      <c r="G361" s="2">
        <f t="shared" si="31"/>
        <v>991.66666666666674</v>
      </c>
      <c r="H361" s="4">
        <f>VLOOKUP(B361,nodes!A:D,2,0)</f>
        <v>390</v>
      </c>
      <c r="I361" s="4">
        <f>VLOOKUP(B361,nodes!A:D,4,0)</f>
        <v>30</v>
      </c>
      <c r="J361" s="4">
        <f>VLOOKUP(C361,nodes!A:D,2,0)</f>
        <v>390</v>
      </c>
      <c r="K361" s="4">
        <f>VLOOKUP(C361,nodes!A:D,4,0)</f>
        <v>0</v>
      </c>
      <c r="L361" s="4">
        <f t="shared" si="32"/>
        <v>30</v>
      </c>
      <c r="N361" s="12">
        <f t="shared" si="33"/>
        <v>7437500</v>
      </c>
      <c r="O361" s="12">
        <f t="shared" si="34"/>
        <v>42840000</v>
      </c>
      <c r="P361" s="12">
        <f t="shared" si="35"/>
        <v>11900</v>
      </c>
    </row>
    <row r="362" spans="1:16" x14ac:dyDescent="0.25">
      <c r="A362" s="3">
        <v>361</v>
      </c>
      <c r="B362" s="3">
        <v>15</v>
      </c>
      <c r="C362" s="3">
        <v>36</v>
      </c>
      <c r="D362" s="2">
        <v>12280</v>
      </c>
      <c r="E362" s="2">
        <f t="shared" si="30"/>
        <v>5492.5</v>
      </c>
      <c r="F362" s="2">
        <v>2380</v>
      </c>
      <c r="G362" s="2">
        <f t="shared" si="31"/>
        <v>991.66666666666674</v>
      </c>
      <c r="H362" s="4">
        <f>VLOOKUP(B362,nodes!A:D,2,0)</f>
        <v>420</v>
      </c>
      <c r="I362" s="4">
        <f>VLOOKUP(B362,nodes!A:D,4,0)</f>
        <v>300</v>
      </c>
      <c r="J362" s="4">
        <f>VLOOKUP(C362,nodes!A:D,2,0)</f>
        <v>420</v>
      </c>
      <c r="K362" s="4">
        <f>VLOOKUP(C362,nodes!A:D,4,0)</f>
        <v>270</v>
      </c>
      <c r="L362" s="4">
        <f t="shared" si="32"/>
        <v>30</v>
      </c>
      <c r="N362" s="12">
        <f t="shared" si="33"/>
        <v>7437500</v>
      </c>
      <c r="O362" s="12">
        <f t="shared" si="34"/>
        <v>42840000</v>
      </c>
      <c r="P362" s="12">
        <f t="shared" si="35"/>
        <v>11900</v>
      </c>
    </row>
    <row r="363" spans="1:16" x14ac:dyDescent="0.25">
      <c r="A363" s="3">
        <v>362</v>
      </c>
      <c r="B363" s="3">
        <v>36</v>
      </c>
      <c r="C363" s="3">
        <v>57</v>
      </c>
      <c r="D363" s="2">
        <v>12280</v>
      </c>
      <c r="E363" s="2">
        <f t="shared" si="30"/>
        <v>5492.5</v>
      </c>
      <c r="F363" s="2">
        <v>2380</v>
      </c>
      <c r="G363" s="2">
        <f t="shared" si="31"/>
        <v>991.66666666666674</v>
      </c>
      <c r="H363" s="4">
        <f>VLOOKUP(B363,nodes!A:D,2,0)</f>
        <v>420</v>
      </c>
      <c r="I363" s="4">
        <f>VLOOKUP(B363,nodes!A:D,4,0)</f>
        <v>270</v>
      </c>
      <c r="J363" s="4">
        <f>VLOOKUP(C363,nodes!A:D,2,0)</f>
        <v>420</v>
      </c>
      <c r="K363" s="4">
        <f>VLOOKUP(C363,nodes!A:D,4,0)</f>
        <v>240</v>
      </c>
      <c r="L363" s="4">
        <f t="shared" si="32"/>
        <v>30</v>
      </c>
      <c r="N363" s="12">
        <f t="shared" si="33"/>
        <v>7437500</v>
      </c>
      <c r="O363" s="12">
        <f t="shared" si="34"/>
        <v>42840000</v>
      </c>
      <c r="P363" s="12">
        <f t="shared" si="35"/>
        <v>11900</v>
      </c>
    </row>
    <row r="364" spans="1:16" x14ac:dyDescent="0.25">
      <c r="A364" s="3">
        <v>363</v>
      </c>
      <c r="B364" s="3">
        <v>57</v>
      </c>
      <c r="C364" s="3">
        <v>78</v>
      </c>
      <c r="D364" s="2">
        <v>12280</v>
      </c>
      <c r="E364" s="2">
        <f t="shared" si="30"/>
        <v>5492.5</v>
      </c>
      <c r="F364" s="2">
        <v>2380</v>
      </c>
      <c r="G364" s="2">
        <f t="shared" si="31"/>
        <v>991.66666666666674</v>
      </c>
      <c r="H364" s="4">
        <f>VLOOKUP(B364,nodes!A:D,2,0)</f>
        <v>420</v>
      </c>
      <c r="I364" s="4">
        <f>VLOOKUP(B364,nodes!A:D,4,0)</f>
        <v>240</v>
      </c>
      <c r="J364" s="4">
        <f>VLOOKUP(C364,nodes!A:D,2,0)</f>
        <v>420</v>
      </c>
      <c r="K364" s="4">
        <f>VLOOKUP(C364,nodes!A:D,4,0)</f>
        <v>210</v>
      </c>
      <c r="L364" s="4">
        <f t="shared" si="32"/>
        <v>30</v>
      </c>
      <c r="N364" s="12">
        <f t="shared" si="33"/>
        <v>7437500</v>
      </c>
      <c r="O364" s="12">
        <f t="shared" si="34"/>
        <v>42840000</v>
      </c>
      <c r="P364" s="12">
        <f t="shared" si="35"/>
        <v>11900</v>
      </c>
    </row>
    <row r="365" spans="1:16" x14ac:dyDescent="0.25">
      <c r="A365" s="3">
        <v>364</v>
      </c>
      <c r="B365" s="3">
        <v>78</v>
      </c>
      <c r="C365" s="3">
        <v>99</v>
      </c>
      <c r="D365" s="2">
        <v>12280</v>
      </c>
      <c r="E365" s="2">
        <f t="shared" si="30"/>
        <v>5492.5</v>
      </c>
      <c r="F365" s="2">
        <v>2380</v>
      </c>
      <c r="G365" s="2">
        <f t="shared" si="31"/>
        <v>991.66666666666674</v>
      </c>
      <c r="H365" s="4">
        <f>VLOOKUP(B365,nodes!A:D,2,0)</f>
        <v>420</v>
      </c>
      <c r="I365" s="4">
        <f>VLOOKUP(B365,nodes!A:D,4,0)</f>
        <v>210</v>
      </c>
      <c r="J365" s="4">
        <f>VLOOKUP(C365,nodes!A:D,2,0)</f>
        <v>420</v>
      </c>
      <c r="K365" s="4">
        <f>VLOOKUP(C365,nodes!A:D,4,0)</f>
        <v>180</v>
      </c>
      <c r="L365" s="4">
        <f t="shared" si="32"/>
        <v>30</v>
      </c>
      <c r="N365" s="12">
        <f t="shared" si="33"/>
        <v>7437500</v>
      </c>
      <c r="O365" s="12">
        <f t="shared" si="34"/>
        <v>42840000</v>
      </c>
      <c r="P365" s="12">
        <f t="shared" si="35"/>
        <v>11900</v>
      </c>
    </row>
    <row r="366" spans="1:16" x14ac:dyDescent="0.25">
      <c r="A366" s="3">
        <v>365</v>
      </c>
      <c r="B366" s="3">
        <v>99</v>
      </c>
      <c r="C366" s="3">
        <v>120</v>
      </c>
      <c r="D366" s="2">
        <v>12280</v>
      </c>
      <c r="E366" s="2">
        <f t="shared" si="30"/>
        <v>5492.5</v>
      </c>
      <c r="F366" s="2">
        <v>2380</v>
      </c>
      <c r="G366" s="2">
        <f t="shared" si="31"/>
        <v>991.66666666666674</v>
      </c>
      <c r="H366" s="4">
        <f>VLOOKUP(B366,nodes!A:D,2,0)</f>
        <v>420</v>
      </c>
      <c r="I366" s="4">
        <f>VLOOKUP(B366,nodes!A:D,4,0)</f>
        <v>180</v>
      </c>
      <c r="J366" s="4">
        <f>VLOOKUP(C366,nodes!A:D,2,0)</f>
        <v>420</v>
      </c>
      <c r="K366" s="4">
        <f>VLOOKUP(C366,nodes!A:D,4,0)</f>
        <v>150</v>
      </c>
      <c r="L366" s="4">
        <f t="shared" si="32"/>
        <v>30</v>
      </c>
      <c r="N366" s="12">
        <f t="shared" si="33"/>
        <v>7437500</v>
      </c>
      <c r="O366" s="12">
        <f t="shared" si="34"/>
        <v>42840000</v>
      </c>
      <c r="P366" s="12">
        <f t="shared" si="35"/>
        <v>11900</v>
      </c>
    </row>
    <row r="367" spans="1:16" x14ac:dyDescent="0.25">
      <c r="A367" s="3">
        <v>366</v>
      </c>
      <c r="B367" s="3">
        <v>120</v>
      </c>
      <c r="C367" s="3">
        <v>141</v>
      </c>
      <c r="D367" s="2">
        <v>12280</v>
      </c>
      <c r="E367" s="2">
        <f t="shared" si="30"/>
        <v>5492.5</v>
      </c>
      <c r="F367" s="2">
        <v>2380</v>
      </c>
      <c r="G367" s="2">
        <f t="shared" si="31"/>
        <v>991.66666666666674</v>
      </c>
      <c r="H367" s="4">
        <f>VLOOKUP(B367,nodes!A:D,2,0)</f>
        <v>420</v>
      </c>
      <c r="I367" s="4">
        <f>VLOOKUP(B367,nodes!A:D,4,0)</f>
        <v>150</v>
      </c>
      <c r="J367" s="4">
        <f>VLOOKUP(C367,nodes!A:D,2,0)</f>
        <v>420</v>
      </c>
      <c r="K367" s="4">
        <f>VLOOKUP(C367,nodes!A:D,4,0)</f>
        <v>120</v>
      </c>
      <c r="L367" s="4">
        <f t="shared" si="32"/>
        <v>30</v>
      </c>
      <c r="N367" s="12">
        <f t="shared" si="33"/>
        <v>7437500</v>
      </c>
      <c r="O367" s="12">
        <f t="shared" si="34"/>
        <v>42840000</v>
      </c>
      <c r="P367" s="12">
        <f t="shared" si="35"/>
        <v>11900</v>
      </c>
    </row>
    <row r="368" spans="1:16" x14ac:dyDescent="0.25">
      <c r="A368" s="3">
        <v>367</v>
      </c>
      <c r="B368" s="3">
        <v>141</v>
      </c>
      <c r="C368" s="3">
        <v>162</v>
      </c>
      <c r="D368" s="2">
        <v>12280</v>
      </c>
      <c r="E368" s="2">
        <f t="shared" si="30"/>
        <v>5492.5</v>
      </c>
      <c r="F368" s="2">
        <v>2380</v>
      </c>
      <c r="G368" s="2">
        <f t="shared" si="31"/>
        <v>991.66666666666674</v>
      </c>
      <c r="H368" s="4">
        <f>VLOOKUP(B368,nodes!A:D,2,0)</f>
        <v>420</v>
      </c>
      <c r="I368" s="4">
        <f>VLOOKUP(B368,nodes!A:D,4,0)</f>
        <v>120</v>
      </c>
      <c r="J368" s="4">
        <f>VLOOKUP(C368,nodes!A:D,2,0)</f>
        <v>420</v>
      </c>
      <c r="K368" s="4">
        <f>VLOOKUP(C368,nodes!A:D,4,0)</f>
        <v>90</v>
      </c>
      <c r="L368" s="4">
        <f t="shared" si="32"/>
        <v>30</v>
      </c>
      <c r="N368" s="12">
        <f t="shared" si="33"/>
        <v>7437500</v>
      </c>
      <c r="O368" s="12">
        <f t="shared" si="34"/>
        <v>42840000</v>
      </c>
      <c r="P368" s="12">
        <f t="shared" si="35"/>
        <v>11900</v>
      </c>
    </row>
    <row r="369" spans="1:16" x14ac:dyDescent="0.25">
      <c r="A369" s="3">
        <v>368</v>
      </c>
      <c r="B369" s="3">
        <v>162</v>
      </c>
      <c r="C369" s="3">
        <v>183</v>
      </c>
      <c r="D369" s="2">
        <v>12280</v>
      </c>
      <c r="E369" s="2">
        <f t="shared" si="30"/>
        <v>5492.5</v>
      </c>
      <c r="F369" s="2">
        <v>2380</v>
      </c>
      <c r="G369" s="2">
        <f t="shared" si="31"/>
        <v>991.66666666666674</v>
      </c>
      <c r="H369" s="4">
        <f>VLOOKUP(B369,nodes!A:D,2,0)</f>
        <v>420</v>
      </c>
      <c r="I369" s="4">
        <f>VLOOKUP(B369,nodes!A:D,4,0)</f>
        <v>90</v>
      </c>
      <c r="J369" s="4">
        <f>VLOOKUP(C369,nodes!A:D,2,0)</f>
        <v>420</v>
      </c>
      <c r="K369" s="4">
        <f>VLOOKUP(C369,nodes!A:D,4,0)</f>
        <v>60</v>
      </c>
      <c r="L369" s="4">
        <f t="shared" si="32"/>
        <v>30</v>
      </c>
      <c r="N369" s="12">
        <f t="shared" si="33"/>
        <v>7437500</v>
      </c>
      <c r="O369" s="12">
        <f t="shared" si="34"/>
        <v>42840000</v>
      </c>
      <c r="P369" s="12">
        <f t="shared" si="35"/>
        <v>11900</v>
      </c>
    </row>
    <row r="370" spans="1:16" x14ac:dyDescent="0.25">
      <c r="A370" s="3">
        <v>369</v>
      </c>
      <c r="B370" s="3">
        <v>183</v>
      </c>
      <c r="C370" s="3">
        <v>204</v>
      </c>
      <c r="D370" s="2">
        <v>12280</v>
      </c>
      <c r="E370" s="2">
        <f t="shared" si="30"/>
        <v>5492.5</v>
      </c>
      <c r="F370" s="2">
        <v>2380</v>
      </c>
      <c r="G370" s="2">
        <f t="shared" si="31"/>
        <v>991.66666666666674</v>
      </c>
      <c r="H370" s="4">
        <f>VLOOKUP(B370,nodes!A:D,2,0)</f>
        <v>420</v>
      </c>
      <c r="I370" s="4">
        <f>VLOOKUP(B370,nodes!A:D,4,0)</f>
        <v>60</v>
      </c>
      <c r="J370" s="4">
        <f>VLOOKUP(C370,nodes!A:D,2,0)</f>
        <v>420</v>
      </c>
      <c r="K370" s="4">
        <f>VLOOKUP(C370,nodes!A:D,4,0)</f>
        <v>30</v>
      </c>
      <c r="L370" s="4">
        <f t="shared" si="32"/>
        <v>30</v>
      </c>
      <c r="N370" s="12">
        <f t="shared" si="33"/>
        <v>7437500</v>
      </c>
      <c r="O370" s="12">
        <f t="shared" si="34"/>
        <v>42840000</v>
      </c>
      <c r="P370" s="12">
        <f t="shared" si="35"/>
        <v>11900</v>
      </c>
    </row>
    <row r="371" spans="1:16" x14ac:dyDescent="0.25">
      <c r="A371" s="3">
        <v>370</v>
      </c>
      <c r="B371" s="3">
        <v>204</v>
      </c>
      <c r="C371" s="3">
        <v>225</v>
      </c>
      <c r="D371" s="2">
        <v>12280</v>
      </c>
      <c r="E371" s="2">
        <f t="shared" si="30"/>
        <v>5492.5</v>
      </c>
      <c r="F371" s="2">
        <v>2380</v>
      </c>
      <c r="G371" s="2">
        <f t="shared" si="31"/>
        <v>991.66666666666674</v>
      </c>
      <c r="H371" s="4">
        <f>VLOOKUP(B371,nodes!A:D,2,0)</f>
        <v>420</v>
      </c>
      <c r="I371" s="4">
        <f>VLOOKUP(B371,nodes!A:D,4,0)</f>
        <v>30</v>
      </c>
      <c r="J371" s="4">
        <f>VLOOKUP(C371,nodes!A:D,2,0)</f>
        <v>420</v>
      </c>
      <c r="K371" s="4">
        <f>VLOOKUP(C371,nodes!A:D,4,0)</f>
        <v>0</v>
      </c>
      <c r="L371" s="4">
        <f t="shared" si="32"/>
        <v>30</v>
      </c>
      <c r="N371" s="12">
        <f t="shared" si="33"/>
        <v>7437500</v>
      </c>
      <c r="O371" s="12">
        <f t="shared" si="34"/>
        <v>42840000</v>
      </c>
      <c r="P371" s="12">
        <f t="shared" si="35"/>
        <v>11900</v>
      </c>
    </row>
    <row r="372" spans="1:16" x14ac:dyDescent="0.25">
      <c r="A372" s="3">
        <v>371</v>
      </c>
      <c r="B372" s="3">
        <v>16</v>
      </c>
      <c r="C372" s="3">
        <v>37</v>
      </c>
      <c r="D372" s="2">
        <v>12280</v>
      </c>
      <c r="E372" s="2">
        <f t="shared" si="30"/>
        <v>5492.5</v>
      </c>
      <c r="F372" s="2">
        <v>2380</v>
      </c>
      <c r="G372" s="2">
        <f t="shared" si="31"/>
        <v>991.66666666666674</v>
      </c>
      <c r="H372" s="4">
        <f>VLOOKUP(B372,nodes!A:D,2,0)</f>
        <v>450</v>
      </c>
      <c r="I372" s="4">
        <f>VLOOKUP(B372,nodes!A:D,4,0)</f>
        <v>300</v>
      </c>
      <c r="J372" s="4">
        <f>VLOOKUP(C372,nodes!A:D,2,0)</f>
        <v>450</v>
      </c>
      <c r="K372" s="4">
        <f>VLOOKUP(C372,nodes!A:D,4,0)</f>
        <v>270</v>
      </c>
      <c r="L372" s="4">
        <f t="shared" si="32"/>
        <v>30</v>
      </c>
      <c r="N372" s="12">
        <f t="shared" si="33"/>
        <v>7437500</v>
      </c>
      <c r="O372" s="12">
        <f t="shared" si="34"/>
        <v>42840000</v>
      </c>
      <c r="P372" s="12">
        <f t="shared" si="35"/>
        <v>11900</v>
      </c>
    </row>
    <row r="373" spans="1:16" x14ac:dyDescent="0.25">
      <c r="A373" s="3">
        <v>372</v>
      </c>
      <c r="B373" s="3">
        <v>37</v>
      </c>
      <c r="C373" s="3">
        <v>58</v>
      </c>
      <c r="D373" s="2">
        <v>12280</v>
      </c>
      <c r="E373" s="2">
        <f t="shared" si="30"/>
        <v>5492.5</v>
      </c>
      <c r="F373" s="2">
        <v>2380</v>
      </c>
      <c r="G373" s="2">
        <f t="shared" si="31"/>
        <v>991.66666666666674</v>
      </c>
      <c r="H373" s="4">
        <f>VLOOKUP(B373,nodes!A:D,2,0)</f>
        <v>450</v>
      </c>
      <c r="I373" s="4">
        <f>VLOOKUP(B373,nodes!A:D,4,0)</f>
        <v>270</v>
      </c>
      <c r="J373" s="4">
        <f>VLOOKUP(C373,nodes!A:D,2,0)</f>
        <v>450</v>
      </c>
      <c r="K373" s="4">
        <f>VLOOKUP(C373,nodes!A:D,4,0)</f>
        <v>240</v>
      </c>
      <c r="L373" s="4">
        <f t="shared" si="32"/>
        <v>30</v>
      </c>
      <c r="N373" s="12">
        <f t="shared" si="33"/>
        <v>7437500</v>
      </c>
      <c r="O373" s="12">
        <f t="shared" si="34"/>
        <v>42840000</v>
      </c>
      <c r="P373" s="12">
        <f t="shared" si="35"/>
        <v>11900</v>
      </c>
    </row>
    <row r="374" spans="1:16" x14ac:dyDescent="0.25">
      <c r="A374" s="3">
        <v>373</v>
      </c>
      <c r="B374" s="3">
        <v>58</v>
      </c>
      <c r="C374" s="3">
        <v>79</v>
      </c>
      <c r="D374" s="2">
        <v>12280</v>
      </c>
      <c r="E374" s="2">
        <f t="shared" si="30"/>
        <v>5492.5</v>
      </c>
      <c r="F374" s="2">
        <v>2380</v>
      </c>
      <c r="G374" s="2">
        <f t="shared" si="31"/>
        <v>991.66666666666674</v>
      </c>
      <c r="H374" s="4">
        <f>VLOOKUP(B374,nodes!A:D,2,0)</f>
        <v>450</v>
      </c>
      <c r="I374" s="4">
        <f>VLOOKUP(B374,nodes!A:D,4,0)</f>
        <v>240</v>
      </c>
      <c r="J374" s="4">
        <f>VLOOKUP(C374,nodes!A:D,2,0)</f>
        <v>450</v>
      </c>
      <c r="K374" s="4">
        <f>VLOOKUP(C374,nodes!A:D,4,0)</f>
        <v>210</v>
      </c>
      <c r="L374" s="4">
        <f t="shared" si="32"/>
        <v>30</v>
      </c>
      <c r="N374" s="12">
        <f t="shared" si="33"/>
        <v>7437500</v>
      </c>
      <c r="O374" s="12">
        <f t="shared" si="34"/>
        <v>42840000</v>
      </c>
      <c r="P374" s="12">
        <f t="shared" si="35"/>
        <v>11900</v>
      </c>
    </row>
    <row r="375" spans="1:16" x14ac:dyDescent="0.25">
      <c r="A375" s="3">
        <v>374</v>
      </c>
      <c r="B375" s="3">
        <v>79</v>
      </c>
      <c r="C375" s="3">
        <v>100</v>
      </c>
      <c r="D375" s="2">
        <v>12280</v>
      </c>
      <c r="E375" s="2">
        <f t="shared" si="30"/>
        <v>5492.5</v>
      </c>
      <c r="F375" s="2">
        <v>2380</v>
      </c>
      <c r="G375" s="2">
        <f t="shared" si="31"/>
        <v>991.66666666666674</v>
      </c>
      <c r="H375" s="4">
        <f>VLOOKUP(B375,nodes!A:D,2,0)</f>
        <v>450</v>
      </c>
      <c r="I375" s="4">
        <f>VLOOKUP(B375,nodes!A:D,4,0)</f>
        <v>210</v>
      </c>
      <c r="J375" s="4">
        <f>VLOOKUP(C375,nodes!A:D,2,0)</f>
        <v>450</v>
      </c>
      <c r="K375" s="4">
        <f>VLOOKUP(C375,nodes!A:D,4,0)</f>
        <v>180</v>
      </c>
      <c r="L375" s="4">
        <f t="shared" si="32"/>
        <v>30</v>
      </c>
      <c r="N375" s="12">
        <f t="shared" si="33"/>
        <v>7437500</v>
      </c>
      <c r="O375" s="12">
        <f t="shared" si="34"/>
        <v>42840000</v>
      </c>
      <c r="P375" s="12">
        <f t="shared" si="35"/>
        <v>11900</v>
      </c>
    </row>
    <row r="376" spans="1:16" x14ac:dyDescent="0.25">
      <c r="A376" s="3">
        <v>375</v>
      </c>
      <c r="B376" s="3">
        <v>100</v>
      </c>
      <c r="C376" s="3">
        <v>121</v>
      </c>
      <c r="D376" s="2">
        <v>12280</v>
      </c>
      <c r="E376" s="2">
        <f t="shared" si="30"/>
        <v>5492.5</v>
      </c>
      <c r="F376" s="2">
        <v>2380</v>
      </c>
      <c r="G376" s="2">
        <f t="shared" si="31"/>
        <v>991.66666666666674</v>
      </c>
      <c r="H376" s="4">
        <f>VLOOKUP(B376,nodes!A:D,2,0)</f>
        <v>450</v>
      </c>
      <c r="I376" s="4">
        <f>VLOOKUP(B376,nodes!A:D,4,0)</f>
        <v>180</v>
      </c>
      <c r="J376" s="4">
        <f>VLOOKUP(C376,nodes!A:D,2,0)</f>
        <v>450</v>
      </c>
      <c r="K376" s="4">
        <f>VLOOKUP(C376,nodes!A:D,4,0)</f>
        <v>150</v>
      </c>
      <c r="L376" s="4">
        <f t="shared" si="32"/>
        <v>30</v>
      </c>
      <c r="N376" s="12">
        <f t="shared" si="33"/>
        <v>7437500</v>
      </c>
      <c r="O376" s="12">
        <f t="shared" si="34"/>
        <v>42840000</v>
      </c>
      <c r="P376" s="12">
        <f t="shared" si="35"/>
        <v>11900</v>
      </c>
    </row>
    <row r="377" spans="1:16" x14ac:dyDescent="0.25">
      <c r="A377" s="3">
        <v>376</v>
      </c>
      <c r="B377" s="3">
        <v>121</v>
      </c>
      <c r="C377" s="3">
        <v>142</v>
      </c>
      <c r="D377" s="2">
        <v>12280</v>
      </c>
      <c r="E377" s="2">
        <f t="shared" si="30"/>
        <v>5492.5</v>
      </c>
      <c r="F377" s="2">
        <v>2380</v>
      </c>
      <c r="G377" s="2">
        <f t="shared" si="31"/>
        <v>991.66666666666674</v>
      </c>
      <c r="H377" s="4">
        <f>VLOOKUP(B377,nodes!A:D,2,0)</f>
        <v>450</v>
      </c>
      <c r="I377" s="4">
        <f>VLOOKUP(B377,nodes!A:D,4,0)</f>
        <v>150</v>
      </c>
      <c r="J377" s="4">
        <f>VLOOKUP(C377,nodes!A:D,2,0)</f>
        <v>450</v>
      </c>
      <c r="K377" s="4">
        <f>VLOOKUP(C377,nodes!A:D,4,0)</f>
        <v>120</v>
      </c>
      <c r="L377" s="4">
        <f t="shared" si="32"/>
        <v>30</v>
      </c>
      <c r="N377" s="12">
        <f t="shared" si="33"/>
        <v>7437500</v>
      </c>
      <c r="O377" s="12">
        <f t="shared" si="34"/>
        <v>42840000</v>
      </c>
      <c r="P377" s="12">
        <f t="shared" si="35"/>
        <v>11900</v>
      </c>
    </row>
    <row r="378" spans="1:16" x14ac:dyDescent="0.25">
      <c r="A378" s="3">
        <v>377</v>
      </c>
      <c r="B378" s="3">
        <v>142</v>
      </c>
      <c r="C378" s="3">
        <v>163</v>
      </c>
      <c r="D378" s="2">
        <v>12280</v>
      </c>
      <c r="E378" s="2">
        <f t="shared" si="30"/>
        <v>5492.5</v>
      </c>
      <c r="F378" s="2">
        <v>2380</v>
      </c>
      <c r="G378" s="2">
        <f t="shared" si="31"/>
        <v>991.66666666666674</v>
      </c>
      <c r="H378" s="4">
        <f>VLOOKUP(B378,nodes!A:D,2,0)</f>
        <v>450</v>
      </c>
      <c r="I378" s="4">
        <f>VLOOKUP(B378,nodes!A:D,4,0)</f>
        <v>120</v>
      </c>
      <c r="J378" s="4">
        <f>VLOOKUP(C378,nodes!A:D,2,0)</f>
        <v>450</v>
      </c>
      <c r="K378" s="4">
        <f>VLOOKUP(C378,nodes!A:D,4,0)</f>
        <v>90</v>
      </c>
      <c r="L378" s="4">
        <f t="shared" si="32"/>
        <v>30</v>
      </c>
      <c r="N378" s="12">
        <f t="shared" si="33"/>
        <v>7437500</v>
      </c>
      <c r="O378" s="12">
        <f t="shared" si="34"/>
        <v>42840000</v>
      </c>
      <c r="P378" s="12">
        <f t="shared" si="35"/>
        <v>11900</v>
      </c>
    </row>
    <row r="379" spans="1:16" x14ac:dyDescent="0.25">
      <c r="A379" s="3">
        <v>378</v>
      </c>
      <c r="B379" s="3">
        <v>163</v>
      </c>
      <c r="C379" s="3">
        <v>184</v>
      </c>
      <c r="D379" s="2">
        <v>12280</v>
      </c>
      <c r="E379" s="2">
        <f t="shared" si="30"/>
        <v>5492.5</v>
      </c>
      <c r="F379" s="2">
        <v>2380</v>
      </c>
      <c r="G379" s="2">
        <f t="shared" si="31"/>
        <v>991.66666666666674</v>
      </c>
      <c r="H379" s="4">
        <f>VLOOKUP(B379,nodes!A:D,2,0)</f>
        <v>450</v>
      </c>
      <c r="I379" s="4">
        <f>VLOOKUP(B379,nodes!A:D,4,0)</f>
        <v>90</v>
      </c>
      <c r="J379" s="4">
        <f>VLOOKUP(C379,nodes!A:D,2,0)</f>
        <v>450</v>
      </c>
      <c r="K379" s="4">
        <f>VLOOKUP(C379,nodes!A:D,4,0)</f>
        <v>60</v>
      </c>
      <c r="L379" s="4">
        <f t="shared" si="32"/>
        <v>30</v>
      </c>
      <c r="N379" s="12">
        <f t="shared" si="33"/>
        <v>7437500</v>
      </c>
      <c r="O379" s="12">
        <f t="shared" si="34"/>
        <v>42840000</v>
      </c>
      <c r="P379" s="12">
        <f t="shared" si="35"/>
        <v>11900</v>
      </c>
    </row>
    <row r="380" spans="1:16" x14ac:dyDescent="0.25">
      <c r="A380" s="3">
        <v>379</v>
      </c>
      <c r="B380" s="3">
        <v>184</v>
      </c>
      <c r="C380" s="3">
        <v>205</v>
      </c>
      <c r="D380" s="2">
        <v>12280</v>
      </c>
      <c r="E380" s="2">
        <f t="shared" si="30"/>
        <v>5492.5</v>
      </c>
      <c r="F380" s="2">
        <v>2380</v>
      </c>
      <c r="G380" s="2">
        <f t="shared" si="31"/>
        <v>991.66666666666674</v>
      </c>
      <c r="H380" s="4">
        <f>VLOOKUP(B380,nodes!A:D,2,0)</f>
        <v>450</v>
      </c>
      <c r="I380" s="4">
        <f>VLOOKUP(B380,nodes!A:D,4,0)</f>
        <v>60</v>
      </c>
      <c r="J380" s="4">
        <f>VLOOKUP(C380,nodes!A:D,2,0)</f>
        <v>450</v>
      </c>
      <c r="K380" s="4">
        <f>VLOOKUP(C380,nodes!A:D,4,0)</f>
        <v>30</v>
      </c>
      <c r="L380" s="4">
        <f t="shared" si="32"/>
        <v>30</v>
      </c>
      <c r="N380" s="12">
        <f t="shared" si="33"/>
        <v>7437500</v>
      </c>
      <c r="O380" s="12">
        <f t="shared" si="34"/>
        <v>42840000</v>
      </c>
      <c r="P380" s="12">
        <f t="shared" si="35"/>
        <v>11900</v>
      </c>
    </row>
    <row r="381" spans="1:16" x14ac:dyDescent="0.25">
      <c r="A381" s="3">
        <v>380</v>
      </c>
      <c r="B381" s="3">
        <v>205</v>
      </c>
      <c r="C381" s="3">
        <v>226</v>
      </c>
      <c r="D381" s="2">
        <v>12280</v>
      </c>
      <c r="E381" s="2">
        <f t="shared" si="30"/>
        <v>5492.5</v>
      </c>
      <c r="F381" s="2">
        <v>2380</v>
      </c>
      <c r="G381" s="2">
        <f t="shared" si="31"/>
        <v>991.66666666666674</v>
      </c>
      <c r="H381" s="4">
        <f>VLOOKUP(B381,nodes!A:D,2,0)</f>
        <v>450</v>
      </c>
      <c r="I381" s="4">
        <f>VLOOKUP(B381,nodes!A:D,4,0)</f>
        <v>30</v>
      </c>
      <c r="J381" s="4">
        <f>VLOOKUP(C381,nodes!A:D,2,0)</f>
        <v>450</v>
      </c>
      <c r="K381" s="4">
        <f>VLOOKUP(C381,nodes!A:D,4,0)</f>
        <v>0</v>
      </c>
      <c r="L381" s="4">
        <f t="shared" si="32"/>
        <v>30</v>
      </c>
      <c r="N381" s="12">
        <f t="shared" si="33"/>
        <v>7437500</v>
      </c>
      <c r="O381" s="12">
        <f t="shared" si="34"/>
        <v>42840000</v>
      </c>
      <c r="P381" s="12">
        <f t="shared" si="35"/>
        <v>11900</v>
      </c>
    </row>
    <row r="382" spans="1:16" x14ac:dyDescent="0.25">
      <c r="A382" s="3">
        <v>381</v>
      </c>
      <c r="B382" s="3">
        <v>17</v>
      </c>
      <c r="C382" s="3">
        <v>38</v>
      </c>
      <c r="D382" s="2">
        <v>12280</v>
      </c>
      <c r="E382" s="2">
        <f t="shared" si="30"/>
        <v>5492.5</v>
      </c>
      <c r="F382" s="2">
        <v>2380</v>
      </c>
      <c r="G382" s="2">
        <f t="shared" si="31"/>
        <v>991.66666666666674</v>
      </c>
      <c r="H382" s="4">
        <f>VLOOKUP(B382,nodes!A:D,2,0)</f>
        <v>480</v>
      </c>
      <c r="I382" s="4">
        <f>VLOOKUP(B382,nodes!A:D,4,0)</f>
        <v>300</v>
      </c>
      <c r="J382" s="4">
        <f>VLOOKUP(C382,nodes!A:D,2,0)</f>
        <v>480</v>
      </c>
      <c r="K382" s="4">
        <f>VLOOKUP(C382,nodes!A:D,4,0)</f>
        <v>270</v>
      </c>
      <c r="L382" s="4">
        <f t="shared" si="32"/>
        <v>30</v>
      </c>
      <c r="N382" s="12">
        <f t="shared" si="33"/>
        <v>7437500</v>
      </c>
      <c r="O382" s="12">
        <f t="shared" si="34"/>
        <v>42840000</v>
      </c>
      <c r="P382" s="12">
        <f t="shared" si="35"/>
        <v>11900</v>
      </c>
    </row>
    <row r="383" spans="1:16" x14ac:dyDescent="0.25">
      <c r="A383" s="3">
        <v>382</v>
      </c>
      <c r="B383" s="3">
        <v>38</v>
      </c>
      <c r="C383" s="3">
        <v>59</v>
      </c>
      <c r="D383" s="2">
        <v>12280</v>
      </c>
      <c r="E383" s="2">
        <f t="shared" si="30"/>
        <v>5492.5</v>
      </c>
      <c r="F383" s="2">
        <v>2380</v>
      </c>
      <c r="G383" s="2">
        <f t="shared" si="31"/>
        <v>991.66666666666674</v>
      </c>
      <c r="H383" s="4">
        <f>VLOOKUP(B383,nodes!A:D,2,0)</f>
        <v>480</v>
      </c>
      <c r="I383" s="4">
        <f>VLOOKUP(B383,nodes!A:D,4,0)</f>
        <v>270</v>
      </c>
      <c r="J383" s="4">
        <f>VLOOKUP(C383,nodes!A:D,2,0)</f>
        <v>480</v>
      </c>
      <c r="K383" s="4">
        <f>VLOOKUP(C383,nodes!A:D,4,0)</f>
        <v>240</v>
      </c>
      <c r="L383" s="4">
        <f t="shared" si="32"/>
        <v>30</v>
      </c>
      <c r="N383" s="12">
        <f t="shared" si="33"/>
        <v>7437500</v>
      </c>
      <c r="O383" s="12">
        <f t="shared" si="34"/>
        <v>42840000</v>
      </c>
      <c r="P383" s="12">
        <f t="shared" si="35"/>
        <v>11900</v>
      </c>
    </row>
    <row r="384" spans="1:16" x14ac:dyDescent="0.25">
      <c r="A384" s="3">
        <v>383</v>
      </c>
      <c r="B384" s="3">
        <v>59</v>
      </c>
      <c r="C384" s="3">
        <v>80</v>
      </c>
      <c r="D384" s="2">
        <v>12280</v>
      </c>
      <c r="E384" s="2">
        <f t="shared" si="30"/>
        <v>5492.5</v>
      </c>
      <c r="F384" s="2">
        <v>2380</v>
      </c>
      <c r="G384" s="2">
        <f t="shared" si="31"/>
        <v>991.66666666666674</v>
      </c>
      <c r="H384" s="4">
        <f>VLOOKUP(B384,nodes!A:D,2,0)</f>
        <v>480</v>
      </c>
      <c r="I384" s="4">
        <f>VLOOKUP(B384,nodes!A:D,4,0)</f>
        <v>240</v>
      </c>
      <c r="J384" s="4">
        <f>VLOOKUP(C384,nodes!A:D,2,0)</f>
        <v>480</v>
      </c>
      <c r="K384" s="4">
        <f>VLOOKUP(C384,nodes!A:D,4,0)</f>
        <v>210</v>
      </c>
      <c r="L384" s="4">
        <f t="shared" si="32"/>
        <v>30</v>
      </c>
      <c r="N384" s="12">
        <f t="shared" si="33"/>
        <v>7437500</v>
      </c>
      <c r="O384" s="12">
        <f t="shared" si="34"/>
        <v>42840000</v>
      </c>
      <c r="P384" s="12">
        <f t="shared" si="35"/>
        <v>11900</v>
      </c>
    </row>
    <row r="385" spans="1:16" x14ac:dyDescent="0.25">
      <c r="A385" s="3">
        <v>384</v>
      </c>
      <c r="B385" s="3">
        <v>80</v>
      </c>
      <c r="C385" s="3">
        <v>101</v>
      </c>
      <c r="D385" s="2">
        <v>12280</v>
      </c>
      <c r="E385" s="2">
        <f t="shared" si="30"/>
        <v>5492.5</v>
      </c>
      <c r="F385" s="2">
        <v>2380</v>
      </c>
      <c r="G385" s="2">
        <f t="shared" si="31"/>
        <v>991.66666666666674</v>
      </c>
      <c r="H385" s="4">
        <f>VLOOKUP(B385,nodes!A:D,2,0)</f>
        <v>480</v>
      </c>
      <c r="I385" s="4">
        <f>VLOOKUP(B385,nodes!A:D,4,0)</f>
        <v>210</v>
      </c>
      <c r="J385" s="4">
        <f>VLOOKUP(C385,nodes!A:D,2,0)</f>
        <v>480</v>
      </c>
      <c r="K385" s="4">
        <f>VLOOKUP(C385,nodes!A:D,4,0)</f>
        <v>180</v>
      </c>
      <c r="L385" s="4">
        <f t="shared" si="32"/>
        <v>30</v>
      </c>
      <c r="N385" s="12">
        <f t="shared" si="33"/>
        <v>7437500</v>
      </c>
      <c r="O385" s="12">
        <f t="shared" si="34"/>
        <v>42840000</v>
      </c>
      <c r="P385" s="12">
        <f t="shared" si="35"/>
        <v>11900</v>
      </c>
    </row>
    <row r="386" spans="1:16" x14ac:dyDescent="0.25">
      <c r="A386" s="3">
        <v>385</v>
      </c>
      <c r="B386" s="3">
        <v>101</v>
      </c>
      <c r="C386" s="3">
        <v>122</v>
      </c>
      <c r="D386" s="2">
        <v>12280</v>
      </c>
      <c r="E386" s="2">
        <f t="shared" si="30"/>
        <v>5492.5</v>
      </c>
      <c r="F386" s="2">
        <v>2380</v>
      </c>
      <c r="G386" s="2">
        <f t="shared" si="31"/>
        <v>991.66666666666674</v>
      </c>
      <c r="H386" s="4">
        <f>VLOOKUP(B386,nodes!A:D,2,0)</f>
        <v>480</v>
      </c>
      <c r="I386" s="4">
        <f>VLOOKUP(B386,nodes!A:D,4,0)</f>
        <v>180</v>
      </c>
      <c r="J386" s="4">
        <f>VLOOKUP(C386,nodes!A:D,2,0)</f>
        <v>480</v>
      </c>
      <c r="K386" s="4">
        <f>VLOOKUP(C386,nodes!A:D,4,0)</f>
        <v>150</v>
      </c>
      <c r="L386" s="4">
        <f t="shared" si="32"/>
        <v>30</v>
      </c>
      <c r="N386" s="12">
        <f t="shared" si="33"/>
        <v>7437500</v>
      </c>
      <c r="O386" s="12">
        <f t="shared" si="34"/>
        <v>42840000</v>
      </c>
      <c r="P386" s="12">
        <f t="shared" si="35"/>
        <v>11900</v>
      </c>
    </row>
    <row r="387" spans="1:16" x14ac:dyDescent="0.25">
      <c r="A387" s="3">
        <v>386</v>
      </c>
      <c r="B387" s="3">
        <v>122</v>
      </c>
      <c r="C387" s="3">
        <v>143</v>
      </c>
      <c r="D387" s="2">
        <v>12280</v>
      </c>
      <c r="E387" s="2">
        <f t="shared" ref="E387:E431" si="36">(30*13^3)/12</f>
        <v>5492.5</v>
      </c>
      <c r="F387" s="2">
        <v>2380</v>
      </c>
      <c r="G387" s="2">
        <f t="shared" ref="G387:G431" si="37">F387/(2*(1+0.2))</f>
        <v>991.66666666666674</v>
      </c>
      <c r="H387" s="4">
        <f>VLOOKUP(B387,nodes!A:D,2,0)</f>
        <v>480</v>
      </c>
      <c r="I387" s="4">
        <f>VLOOKUP(B387,nodes!A:D,4,0)</f>
        <v>150</v>
      </c>
      <c r="J387" s="4">
        <f>VLOOKUP(C387,nodes!A:D,2,0)</f>
        <v>480</v>
      </c>
      <c r="K387" s="4">
        <f>VLOOKUP(C387,nodes!A:D,4,0)</f>
        <v>120</v>
      </c>
      <c r="L387" s="4">
        <f t="shared" ref="L387:L431" si="38">((J387-H387)^2+(K387-I387)^2)^0.5</f>
        <v>30</v>
      </c>
      <c r="N387" s="12">
        <f t="shared" ref="N387:N431" si="39">12*2380*60*(25^3)/(300*12)</f>
        <v>7437500</v>
      </c>
      <c r="O387" s="12">
        <f t="shared" ref="O387:O431" si="40">12*2380*25*(60^3)/(300*12)</f>
        <v>42840000</v>
      </c>
      <c r="P387" s="12">
        <f t="shared" ref="P387:P431" si="41">2380*25*60/300</f>
        <v>11900</v>
      </c>
    </row>
    <row r="388" spans="1:16" x14ac:dyDescent="0.25">
      <c r="A388" s="3">
        <v>387</v>
      </c>
      <c r="B388" s="3">
        <v>143</v>
      </c>
      <c r="C388" s="3">
        <v>164</v>
      </c>
      <c r="D388" s="2">
        <v>12280</v>
      </c>
      <c r="E388" s="2">
        <f t="shared" si="36"/>
        <v>5492.5</v>
      </c>
      <c r="F388" s="2">
        <v>2380</v>
      </c>
      <c r="G388" s="2">
        <f t="shared" si="37"/>
        <v>991.66666666666674</v>
      </c>
      <c r="H388" s="4">
        <f>VLOOKUP(B388,nodes!A:D,2,0)</f>
        <v>480</v>
      </c>
      <c r="I388" s="4">
        <f>VLOOKUP(B388,nodes!A:D,4,0)</f>
        <v>120</v>
      </c>
      <c r="J388" s="4">
        <f>VLOOKUP(C388,nodes!A:D,2,0)</f>
        <v>480</v>
      </c>
      <c r="K388" s="4">
        <f>VLOOKUP(C388,nodes!A:D,4,0)</f>
        <v>90</v>
      </c>
      <c r="L388" s="4">
        <f t="shared" si="38"/>
        <v>30</v>
      </c>
      <c r="N388" s="12">
        <f t="shared" si="39"/>
        <v>7437500</v>
      </c>
      <c r="O388" s="12">
        <f t="shared" si="40"/>
        <v>42840000</v>
      </c>
      <c r="P388" s="12">
        <f t="shared" si="41"/>
        <v>11900</v>
      </c>
    </row>
    <row r="389" spans="1:16" x14ac:dyDescent="0.25">
      <c r="A389" s="3">
        <v>388</v>
      </c>
      <c r="B389" s="3">
        <v>164</v>
      </c>
      <c r="C389" s="3">
        <v>185</v>
      </c>
      <c r="D389" s="2">
        <v>12280</v>
      </c>
      <c r="E389" s="2">
        <f t="shared" si="36"/>
        <v>5492.5</v>
      </c>
      <c r="F389" s="2">
        <v>2380</v>
      </c>
      <c r="G389" s="2">
        <f t="shared" si="37"/>
        <v>991.66666666666674</v>
      </c>
      <c r="H389" s="4">
        <f>VLOOKUP(B389,nodes!A:D,2,0)</f>
        <v>480</v>
      </c>
      <c r="I389" s="4">
        <f>VLOOKUP(B389,nodes!A:D,4,0)</f>
        <v>90</v>
      </c>
      <c r="J389" s="4">
        <f>VLOOKUP(C389,nodes!A:D,2,0)</f>
        <v>480</v>
      </c>
      <c r="K389" s="4">
        <f>VLOOKUP(C389,nodes!A:D,4,0)</f>
        <v>60</v>
      </c>
      <c r="L389" s="4">
        <f t="shared" si="38"/>
        <v>30</v>
      </c>
      <c r="N389" s="12">
        <f t="shared" si="39"/>
        <v>7437500</v>
      </c>
      <c r="O389" s="12">
        <f t="shared" si="40"/>
        <v>42840000</v>
      </c>
      <c r="P389" s="12">
        <f t="shared" si="41"/>
        <v>11900</v>
      </c>
    </row>
    <row r="390" spans="1:16" x14ac:dyDescent="0.25">
      <c r="A390" s="3">
        <v>389</v>
      </c>
      <c r="B390" s="3">
        <v>185</v>
      </c>
      <c r="C390" s="3">
        <v>206</v>
      </c>
      <c r="D390" s="2">
        <v>12280</v>
      </c>
      <c r="E390" s="2">
        <f t="shared" si="36"/>
        <v>5492.5</v>
      </c>
      <c r="F390" s="2">
        <v>2380</v>
      </c>
      <c r="G390" s="2">
        <f t="shared" si="37"/>
        <v>991.66666666666674</v>
      </c>
      <c r="H390" s="4">
        <f>VLOOKUP(B390,nodes!A:D,2,0)</f>
        <v>480</v>
      </c>
      <c r="I390" s="4">
        <f>VLOOKUP(B390,nodes!A:D,4,0)</f>
        <v>60</v>
      </c>
      <c r="J390" s="4">
        <f>VLOOKUP(C390,nodes!A:D,2,0)</f>
        <v>480</v>
      </c>
      <c r="K390" s="4">
        <f>VLOOKUP(C390,nodes!A:D,4,0)</f>
        <v>30</v>
      </c>
      <c r="L390" s="4">
        <f t="shared" si="38"/>
        <v>30</v>
      </c>
      <c r="N390" s="12">
        <f t="shared" si="39"/>
        <v>7437500</v>
      </c>
      <c r="O390" s="12">
        <f t="shared" si="40"/>
        <v>42840000</v>
      </c>
      <c r="P390" s="12">
        <f t="shared" si="41"/>
        <v>11900</v>
      </c>
    </row>
    <row r="391" spans="1:16" x14ac:dyDescent="0.25">
      <c r="A391" s="3">
        <v>390</v>
      </c>
      <c r="B391" s="3">
        <v>206</v>
      </c>
      <c r="C391" s="3">
        <v>227</v>
      </c>
      <c r="D391" s="2">
        <v>12280</v>
      </c>
      <c r="E391" s="2">
        <f t="shared" si="36"/>
        <v>5492.5</v>
      </c>
      <c r="F391" s="2">
        <v>2380</v>
      </c>
      <c r="G391" s="2">
        <f t="shared" si="37"/>
        <v>991.66666666666674</v>
      </c>
      <c r="H391" s="4">
        <f>VLOOKUP(B391,nodes!A:D,2,0)</f>
        <v>480</v>
      </c>
      <c r="I391" s="4">
        <f>VLOOKUP(B391,nodes!A:D,4,0)</f>
        <v>30</v>
      </c>
      <c r="J391" s="4">
        <f>VLOOKUP(C391,nodes!A:D,2,0)</f>
        <v>480</v>
      </c>
      <c r="K391" s="4">
        <f>VLOOKUP(C391,nodes!A:D,4,0)</f>
        <v>0</v>
      </c>
      <c r="L391" s="4">
        <f t="shared" si="38"/>
        <v>30</v>
      </c>
      <c r="N391" s="12">
        <f t="shared" si="39"/>
        <v>7437500</v>
      </c>
      <c r="O391" s="12">
        <f t="shared" si="40"/>
        <v>42840000</v>
      </c>
      <c r="P391" s="12">
        <f t="shared" si="41"/>
        <v>11900</v>
      </c>
    </row>
    <row r="392" spans="1:16" x14ac:dyDescent="0.25">
      <c r="A392" s="3">
        <v>391</v>
      </c>
      <c r="B392" s="3">
        <v>18</v>
      </c>
      <c r="C392" s="3">
        <v>39</v>
      </c>
      <c r="D392" s="2">
        <v>12280</v>
      </c>
      <c r="E392" s="2">
        <f t="shared" si="36"/>
        <v>5492.5</v>
      </c>
      <c r="F392" s="2">
        <v>2380</v>
      </c>
      <c r="G392" s="2">
        <f t="shared" si="37"/>
        <v>991.66666666666674</v>
      </c>
      <c r="H392" s="4">
        <f>VLOOKUP(B392,nodes!A:D,2,0)</f>
        <v>509.99999999999994</v>
      </c>
      <c r="I392" s="4">
        <f>VLOOKUP(B392,nodes!A:D,4,0)</f>
        <v>300</v>
      </c>
      <c r="J392" s="4">
        <f>VLOOKUP(C392,nodes!A:D,2,0)</f>
        <v>509.99999999999994</v>
      </c>
      <c r="K392" s="4">
        <f>VLOOKUP(C392,nodes!A:D,4,0)</f>
        <v>270</v>
      </c>
      <c r="L392" s="4">
        <f t="shared" si="38"/>
        <v>30</v>
      </c>
      <c r="N392" s="12">
        <f t="shared" si="39"/>
        <v>7437500</v>
      </c>
      <c r="O392" s="12">
        <f t="shared" si="40"/>
        <v>42840000</v>
      </c>
      <c r="P392" s="12">
        <f t="shared" si="41"/>
        <v>11900</v>
      </c>
    </row>
    <row r="393" spans="1:16" x14ac:dyDescent="0.25">
      <c r="A393" s="3">
        <v>392</v>
      </c>
      <c r="B393" s="3">
        <v>39</v>
      </c>
      <c r="C393" s="3">
        <v>60</v>
      </c>
      <c r="D393" s="2">
        <v>12280</v>
      </c>
      <c r="E393" s="2">
        <f t="shared" si="36"/>
        <v>5492.5</v>
      </c>
      <c r="F393" s="2">
        <v>2380</v>
      </c>
      <c r="G393" s="2">
        <f t="shared" si="37"/>
        <v>991.66666666666674</v>
      </c>
      <c r="H393" s="4">
        <f>VLOOKUP(B393,nodes!A:D,2,0)</f>
        <v>509.99999999999994</v>
      </c>
      <c r="I393" s="4">
        <f>VLOOKUP(B393,nodes!A:D,4,0)</f>
        <v>270</v>
      </c>
      <c r="J393" s="4">
        <f>VLOOKUP(C393,nodes!A:D,2,0)</f>
        <v>509.99999999999994</v>
      </c>
      <c r="K393" s="4">
        <f>VLOOKUP(C393,nodes!A:D,4,0)</f>
        <v>240</v>
      </c>
      <c r="L393" s="4">
        <f t="shared" si="38"/>
        <v>30</v>
      </c>
      <c r="N393" s="12">
        <f t="shared" si="39"/>
        <v>7437500</v>
      </c>
      <c r="O393" s="12">
        <f t="shared" si="40"/>
        <v>42840000</v>
      </c>
      <c r="P393" s="12">
        <f t="shared" si="41"/>
        <v>11900</v>
      </c>
    </row>
    <row r="394" spans="1:16" x14ac:dyDescent="0.25">
      <c r="A394" s="3">
        <v>393</v>
      </c>
      <c r="B394" s="3">
        <v>60</v>
      </c>
      <c r="C394" s="3">
        <v>81</v>
      </c>
      <c r="D394" s="2">
        <v>12280</v>
      </c>
      <c r="E394" s="2">
        <f t="shared" si="36"/>
        <v>5492.5</v>
      </c>
      <c r="F394" s="2">
        <v>2380</v>
      </c>
      <c r="G394" s="2">
        <f t="shared" si="37"/>
        <v>991.66666666666674</v>
      </c>
      <c r="H394" s="4">
        <f>VLOOKUP(B394,nodes!A:D,2,0)</f>
        <v>509.99999999999994</v>
      </c>
      <c r="I394" s="4">
        <f>VLOOKUP(B394,nodes!A:D,4,0)</f>
        <v>240</v>
      </c>
      <c r="J394" s="4">
        <f>VLOOKUP(C394,nodes!A:D,2,0)</f>
        <v>509.99999999999994</v>
      </c>
      <c r="K394" s="4">
        <f>VLOOKUP(C394,nodes!A:D,4,0)</f>
        <v>210</v>
      </c>
      <c r="L394" s="4">
        <f t="shared" si="38"/>
        <v>30</v>
      </c>
      <c r="N394" s="12">
        <f t="shared" si="39"/>
        <v>7437500</v>
      </c>
      <c r="O394" s="12">
        <f t="shared" si="40"/>
        <v>42840000</v>
      </c>
      <c r="P394" s="12">
        <f t="shared" si="41"/>
        <v>11900</v>
      </c>
    </row>
    <row r="395" spans="1:16" x14ac:dyDescent="0.25">
      <c r="A395" s="3">
        <v>394</v>
      </c>
      <c r="B395" s="3">
        <v>81</v>
      </c>
      <c r="C395" s="3">
        <v>102</v>
      </c>
      <c r="D395" s="2">
        <v>12280</v>
      </c>
      <c r="E395" s="2">
        <f t="shared" si="36"/>
        <v>5492.5</v>
      </c>
      <c r="F395" s="2">
        <v>2380</v>
      </c>
      <c r="G395" s="2">
        <f t="shared" si="37"/>
        <v>991.66666666666674</v>
      </c>
      <c r="H395" s="4">
        <f>VLOOKUP(B395,nodes!A:D,2,0)</f>
        <v>509.99999999999994</v>
      </c>
      <c r="I395" s="4">
        <f>VLOOKUP(B395,nodes!A:D,4,0)</f>
        <v>210</v>
      </c>
      <c r="J395" s="4">
        <f>VLOOKUP(C395,nodes!A:D,2,0)</f>
        <v>509.99999999999994</v>
      </c>
      <c r="K395" s="4">
        <f>VLOOKUP(C395,nodes!A:D,4,0)</f>
        <v>180</v>
      </c>
      <c r="L395" s="4">
        <f t="shared" si="38"/>
        <v>30</v>
      </c>
      <c r="N395" s="12">
        <f t="shared" si="39"/>
        <v>7437500</v>
      </c>
      <c r="O395" s="12">
        <f t="shared" si="40"/>
        <v>42840000</v>
      </c>
      <c r="P395" s="12">
        <f t="shared" si="41"/>
        <v>11900</v>
      </c>
    </row>
    <row r="396" spans="1:16" x14ac:dyDescent="0.25">
      <c r="A396" s="3">
        <v>395</v>
      </c>
      <c r="B396" s="3">
        <v>102</v>
      </c>
      <c r="C396" s="3">
        <v>123</v>
      </c>
      <c r="D396" s="2">
        <v>12280</v>
      </c>
      <c r="E396" s="2">
        <f t="shared" si="36"/>
        <v>5492.5</v>
      </c>
      <c r="F396" s="2">
        <v>2380</v>
      </c>
      <c r="G396" s="2">
        <f t="shared" si="37"/>
        <v>991.66666666666674</v>
      </c>
      <c r="H396" s="4">
        <f>VLOOKUP(B396,nodes!A:D,2,0)</f>
        <v>509.99999999999994</v>
      </c>
      <c r="I396" s="4">
        <f>VLOOKUP(B396,nodes!A:D,4,0)</f>
        <v>180</v>
      </c>
      <c r="J396" s="4">
        <f>VLOOKUP(C396,nodes!A:D,2,0)</f>
        <v>509.99999999999994</v>
      </c>
      <c r="K396" s="4">
        <f>VLOOKUP(C396,nodes!A:D,4,0)</f>
        <v>150</v>
      </c>
      <c r="L396" s="4">
        <f t="shared" si="38"/>
        <v>30</v>
      </c>
      <c r="N396" s="12">
        <f t="shared" si="39"/>
        <v>7437500</v>
      </c>
      <c r="O396" s="12">
        <f t="shared" si="40"/>
        <v>42840000</v>
      </c>
      <c r="P396" s="12">
        <f t="shared" si="41"/>
        <v>11900</v>
      </c>
    </row>
    <row r="397" spans="1:16" x14ac:dyDescent="0.25">
      <c r="A397" s="3">
        <v>396</v>
      </c>
      <c r="B397" s="3">
        <v>123</v>
      </c>
      <c r="C397" s="3">
        <v>144</v>
      </c>
      <c r="D397" s="2">
        <v>12280</v>
      </c>
      <c r="E397" s="2">
        <f t="shared" si="36"/>
        <v>5492.5</v>
      </c>
      <c r="F397" s="2">
        <v>2380</v>
      </c>
      <c r="G397" s="2">
        <f t="shared" si="37"/>
        <v>991.66666666666674</v>
      </c>
      <c r="H397" s="4">
        <f>VLOOKUP(B397,nodes!A:D,2,0)</f>
        <v>509.99999999999994</v>
      </c>
      <c r="I397" s="4">
        <f>VLOOKUP(B397,nodes!A:D,4,0)</f>
        <v>150</v>
      </c>
      <c r="J397" s="4">
        <f>VLOOKUP(C397,nodes!A:D,2,0)</f>
        <v>509.99999999999994</v>
      </c>
      <c r="K397" s="4">
        <f>VLOOKUP(C397,nodes!A:D,4,0)</f>
        <v>120</v>
      </c>
      <c r="L397" s="4">
        <f t="shared" si="38"/>
        <v>30</v>
      </c>
      <c r="N397" s="12">
        <f t="shared" si="39"/>
        <v>7437500</v>
      </c>
      <c r="O397" s="12">
        <f t="shared" si="40"/>
        <v>42840000</v>
      </c>
      <c r="P397" s="12">
        <f t="shared" si="41"/>
        <v>11900</v>
      </c>
    </row>
    <row r="398" spans="1:16" x14ac:dyDescent="0.25">
      <c r="A398" s="3">
        <v>397</v>
      </c>
      <c r="B398" s="3">
        <v>144</v>
      </c>
      <c r="C398" s="3">
        <v>165</v>
      </c>
      <c r="D398" s="2">
        <v>12280</v>
      </c>
      <c r="E398" s="2">
        <f t="shared" si="36"/>
        <v>5492.5</v>
      </c>
      <c r="F398" s="2">
        <v>2380</v>
      </c>
      <c r="G398" s="2">
        <f t="shared" si="37"/>
        <v>991.66666666666674</v>
      </c>
      <c r="H398" s="4">
        <f>VLOOKUP(B398,nodes!A:D,2,0)</f>
        <v>509.99999999999994</v>
      </c>
      <c r="I398" s="4">
        <f>VLOOKUP(B398,nodes!A:D,4,0)</f>
        <v>120</v>
      </c>
      <c r="J398" s="4">
        <f>VLOOKUP(C398,nodes!A:D,2,0)</f>
        <v>509.99999999999994</v>
      </c>
      <c r="K398" s="4">
        <f>VLOOKUP(C398,nodes!A:D,4,0)</f>
        <v>90</v>
      </c>
      <c r="L398" s="4">
        <f t="shared" si="38"/>
        <v>30</v>
      </c>
      <c r="N398" s="12">
        <f t="shared" si="39"/>
        <v>7437500</v>
      </c>
      <c r="O398" s="12">
        <f t="shared" si="40"/>
        <v>42840000</v>
      </c>
      <c r="P398" s="12">
        <f t="shared" si="41"/>
        <v>11900</v>
      </c>
    </row>
    <row r="399" spans="1:16" x14ac:dyDescent="0.25">
      <c r="A399" s="3">
        <v>398</v>
      </c>
      <c r="B399" s="3">
        <v>165</v>
      </c>
      <c r="C399" s="3">
        <v>186</v>
      </c>
      <c r="D399" s="2">
        <v>12280</v>
      </c>
      <c r="E399" s="2">
        <f t="shared" si="36"/>
        <v>5492.5</v>
      </c>
      <c r="F399" s="2">
        <v>2380</v>
      </c>
      <c r="G399" s="2">
        <f t="shared" si="37"/>
        <v>991.66666666666674</v>
      </c>
      <c r="H399" s="4">
        <f>VLOOKUP(B399,nodes!A:D,2,0)</f>
        <v>509.99999999999994</v>
      </c>
      <c r="I399" s="4">
        <f>VLOOKUP(B399,nodes!A:D,4,0)</f>
        <v>90</v>
      </c>
      <c r="J399" s="4">
        <f>VLOOKUP(C399,nodes!A:D,2,0)</f>
        <v>509.99999999999994</v>
      </c>
      <c r="K399" s="4">
        <f>VLOOKUP(C399,nodes!A:D,4,0)</f>
        <v>60</v>
      </c>
      <c r="L399" s="4">
        <f t="shared" si="38"/>
        <v>30</v>
      </c>
      <c r="N399" s="12">
        <f t="shared" si="39"/>
        <v>7437500</v>
      </c>
      <c r="O399" s="12">
        <f t="shared" si="40"/>
        <v>42840000</v>
      </c>
      <c r="P399" s="12">
        <f t="shared" si="41"/>
        <v>11900</v>
      </c>
    </row>
    <row r="400" spans="1:16" x14ac:dyDescent="0.25">
      <c r="A400" s="3">
        <v>399</v>
      </c>
      <c r="B400" s="3">
        <v>186</v>
      </c>
      <c r="C400" s="3">
        <v>207</v>
      </c>
      <c r="D400" s="2">
        <v>12280</v>
      </c>
      <c r="E400" s="2">
        <f t="shared" si="36"/>
        <v>5492.5</v>
      </c>
      <c r="F400" s="2">
        <v>2380</v>
      </c>
      <c r="G400" s="2">
        <f t="shared" si="37"/>
        <v>991.66666666666674</v>
      </c>
      <c r="H400" s="4">
        <f>VLOOKUP(B400,nodes!A:D,2,0)</f>
        <v>509.99999999999994</v>
      </c>
      <c r="I400" s="4">
        <f>VLOOKUP(B400,nodes!A:D,4,0)</f>
        <v>60</v>
      </c>
      <c r="J400" s="4">
        <f>VLOOKUP(C400,nodes!A:D,2,0)</f>
        <v>509.99999999999994</v>
      </c>
      <c r="K400" s="4">
        <f>VLOOKUP(C400,nodes!A:D,4,0)</f>
        <v>30</v>
      </c>
      <c r="L400" s="4">
        <f t="shared" si="38"/>
        <v>30</v>
      </c>
      <c r="N400" s="12">
        <f t="shared" si="39"/>
        <v>7437500</v>
      </c>
      <c r="O400" s="12">
        <f t="shared" si="40"/>
        <v>42840000</v>
      </c>
      <c r="P400" s="12">
        <f t="shared" si="41"/>
        <v>11900</v>
      </c>
    </row>
    <row r="401" spans="1:16" x14ac:dyDescent="0.25">
      <c r="A401" s="3">
        <v>400</v>
      </c>
      <c r="B401" s="3">
        <v>207</v>
      </c>
      <c r="C401" s="3">
        <v>228</v>
      </c>
      <c r="D401" s="2">
        <v>12280</v>
      </c>
      <c r="E401" s="2">
        <f t="shared" si="36"/>
        <v>5492.5</v>
      </c>
      <c r="F401" s="2">
        <v>2380</v>
      </c>
      <c r="G401" s="2">
        <f t="shared" si="37"/>
        <v>991.66666666666674</v>
      </c>
      <c r="H401" s="4">
        <f>VLOOKUP(B401,nodes!A:D,2,0)</f>
        <v>509.99999999999994</v>
      </c>
      <c r="I401" s="4">
        <f>VLOOKUP(B401,nodes!A:D,4,0)</f>
        <v>30</v>
      </c>
      <c r="J401" s="4">
        <f>VLOOKUP(C401,nodes!A:D,2,0)</f>
        <v>509.99999999999994</v>
      </c>
      <c r="K401" s="4">
        <f>VLOOKUP(C401,nodes!A:D,4,0)</f>
        <v>0</v>
      </c>
      <c r="L401" s="4">
        <f t="shared" si="38"/>
        <v>30</v>
      </c>
      <c r="N401" s="12">
        <f t="shared" si="39"/>
        <v>7437500</v>
      </c>
      <c r="O401" s="12">
        <f t="shared" si="40"/>
        <v>42840000</v>
      </c>
      <c r="P401" s="12">
        <f t="shared" si="41"/>
        <v>11900</v>
      </c>
    </row>
    <row r="402" spans="1:16" x14ac:dyDescent="0.25">
      <c r="A402" s="3">
        <v>401</v>
      </c>
      <c r="B402" s="3">
        <v>19</v>
      </c>
      <c r="C402" s="3">
        <v>40</v>
      </c>
      <c r="D402" s="2">
        <v>12280</v>
      </c>
      <c r="E402" s="2">
        <f t="shared" si="36"/>
        <v>5492.5</v>
      </c>
      <c r="F402" s="2">
        <v>2380</v>
      </c>
      <c r="G402" s="2">
        <f t="shared" si="37"/>
        <v>991.66666666666674</v>
      </c>
      <c r="H402" s="4">
        <f>VLOOKUP(B402,nodes!A:D,2,0)</f>
        <v>540</v>
      </c>
      <c r="I402" s="4">
        <f>VLOOKUP(B402,nodes!A:D,4,0)</f>
        <v>300</v>
      </c>
      <c r="J402" s="4">
        <f>VLOOKUP(C402,nodes!A:D,2,0)</f>
        <v>540</v>
      </c>
      <c r="K402" s="4">
        <f>VLOOKUP(C402,nodes!A:D,4,0)</f>
        <v>270</v>
      </c>
      <c r="L402" s="4">
        <f t="shared" si="38"/>
        <v>30</v>
      </c>
      <c r="N402" s="12">
        <f t="shared" si="39"/>
        <v>7437500</v>
      </c>
      <c r="O402" s="12">
        <f t="shared" si="40"/>
        <v>42840000</v>
      </c>
      <c r="P402" s="12">
        <f t="shared" si="41"/>
        <v>11900</v>
      </c>
    </row>
    <row r="403" spans="1:16" x14ac:dyDescent="0.25">
      <c r="A403" s="3">
        <v>402</v>
      </c>
      <c r="B403" s="3">
        <v>40</v>
      </c>
      <c r="C403" s="3">
        <v>61</v>
      </c>
      <c r="D403" s="2">
        <v>12280</v>
      </c>
      <c r="E403" s="2">
        <f t="shared" si="36"/>
        <v>5492.5</v>
      </c>
      <c r="F403" s="2">
        <v>2380</v>
      </c>
      <c r="G403" s="2">
        <f t="shared" si="37"/>
        <v>991.66666666666674</v>
      </c>
      <c r="H403" s="4">
        <f>VLOOKUP(B403,nodes!A:D,2,0)</f>
        <v>540</v>
      </c>
      <c r="I403" s="4">
        <f>VLOOKUP(B403,nodes!A:D,4,0)</f>
        <v>270</v>
      </c>
      <c r="J403" s="4">
        <f>VLOOKUP(C403,nodes!A:D,2,0)</f>
        <v>540</v>
      </c>
      <c r="K403" s="4">
        <f>VLOOKUP(C403,nodes!A:D,4,0)</f>
        <v>240</v>
      </c>
      <c r="L403" s="4">
        <f t="shared" si="38"/>
        <v>30</v>
      </c>
      <c r="N403" s="12">
        <f t="shared" si="39"/>
        <v>7437500</v>
      </c>
      <c r="O403" s="12">
        <f t="shared" si="40"/>
        <v>42840000</v>
      </c>
      <c r="P403" s="12">
        <f t="shared" si="41"/>
        <v>11900</v>
      </c>
    </row>
    <row r="404" spans="1:16" x14ac:dyDescent="0.25">
      <c r="A404" s="3">
        <v>403</v>
      </c>
      <c r="B404" s="3">
        <v>61</v>
      </c>
      <c r="C404" s="3">
        <v>82</v>
      </c>
      <c r="D404" s="2">
        <v>12280</v>
      </c>
      <c r="E404" s="2">
        <f t="shared" si="36"/>
        <v>5492.5</v>
      </c>
      <c r="F404" s="2">
        <v>2380</v>
      </c>
      <c r="G404" s="2">
        <f t="shared" si="37"/>
        <v>991.66666666666674</v>
      </c>
      <c r="H404" s="4">
        <f>VLOOKUP(B404,nodes!A:D,2,0)</f>
        <v>540</v>
      </c>
      <c r="I404" s="4">
        <f>VLOOKUP(B404,nodes!A:D,4,0)</f>
        <v>240</v>
      </c>
      <c r="J404" s="4">
        <f>VLOOKUP(C404,nodes!A:D,2,0)</f>
        <v>540</v>
      </c>
      <c r="K404" s="4">
        <f>VLOOKUP(C404,nodes!A:D,4,0)</f>
        <v>210</v>
      </c>
      <c r="L404" s="4">
        <f t="shared" si="38"/>
        <v>30</v>
      </c>
      <c r="N404" s="12">
        <f t="shared" si="39"/>
        <v>7437500</v>
      </c>
      <c r="O404" s="12">
        <f t="shared" si="40"/>
        <v>42840000</v>
      </c>
      <c r="P404" s="12">
        <f t="shared" si="41"/>
        <v>11900</v>
      </c>
    </row>
    <row r="405" spans="1:16" x14ac:dyDescent="0.25">
      <c r="A405" s="3">
        <v>404</v>
      </c>
      <c r="B405" s="3">
        <v>82</v>
      </c>
      <c r="C405" s="3">
        <v>103</v>
      </c>
      <c r="D405" s="2">
        <v>12280</v>
      </c>
      <c r="E405" s="2">
        <f t="shared" si="36"/>
        <v>5492.5</v>
      </c>
      <c r="F405" s="2">
        <v>2380</v>
      </c>
      <c r="G405" s="2">
        <f t="shared" si="37"/>
        <v>991.66666666666674</v>
      </c>
      <c r="H405" s="4">
        <f>VLOOKUP(B405,nodes!A:D,2,0)</f>
        <v>540</v>
      </c>
      <c r="I405" s="4">
        <f>VLOOKUP(B405,nodes!A:D,4,0)</f>
        <v>210</v>
      </c>
      <c r="J405" s="4">
        <f>VLOOKUP(C405,nodes!A:D,2,0)</f>
        <v>540</v>
      </c>
      <c r="K405" s="4">
        <f>VLOOKUP(C405,nodes!A:D,4,0)</f>
        <v>180</v>
      </c>
      <c r="L405" s="4">
        <f t="shared" si="38"/>
        <v>30</v>
      </c>
      <c r="N405" s="12">
        <f t="shared" si="39"/>
        <v>7437500</v>
      </c>
      <c r="O405" s="12">
        <f t="shared" si="40"/>
        <v>42840000</v>
      </c>
      <c r="P405" s="12">
        <f t="shared" si="41"/>
        <v>11900</v>
      </c>
    </row>
    <row r="406" spans="1:16" x14ac:dyDescent="0.25">
      <c r="A406" s="3">
        <v>405</v>
      </c>
      <c r="B406" s="3">
        <v>103</v>
      </c>
      <c r="C406" s="3">
        <v>124</v>
      </c>
      <c r="D406" s="2">
        <v>12280</v>
      </c>
      <c r="E406" s="2">
        <f t="shared" si="36"/>
        <v>5492.5</v>
      </c>
      <c r="F406" s="2">
        <v>2380</v>
      </c>
      <c r="G406" s="2">
        <f t="shared" si="37"/>
        <v>991.66666666666674</v>
      </c>
      <c r="H406" s="4">
        <f>VLOOKUP(B406,nodes!A:D,2,0)</f>
        <v>540</v>
      </c>
      <c r="I406" s="4">
        <f>VLOOKUP(B406,nodes!A:D,4,0)</f>
        <v>180</v>
      </c>
      <c r="J406" s="4">
        <f>VLOOKUP(C406,nodes!A:D,2,0)</f>
        <v>540</v>
      </c>
      <c r="K406" s="4">
        <f>VLOOKUP(C406,nodes!A:D,4,0)</f>
        <v>150</v>
      </c>
      <c r="L406" s="4">
        <f t="shared" si="38"/>
        <v>30</v>
      </c>
      <c r="N406" s="12">
        <f t="shared" si="39"/>
        <v>7437500</v>
      </c>
      <c r="O406" s="12">
        <f t="shared" si="40"/>
        <v>42840000</v>
      </c>
      <c r="P406" s="12">
        <f t="shared" si="41"/>
        <v>11900</v>
      </c>
    </row>
    <row r="407" spans="1:16" x14ac:dyDescent="0.25">
      <c r="A407" s="3">
        <v>406</v>
      </c>
      <c r="B407" s="3">
        <v>124</v>
      </c>
      <c r="C407" s="3">
        <v>145</v>
      </c>
      <c r="D407" s="2">
        <v>12280</v>
      </c>
      <c r="E407" s="2">
        <f t="shared" si="36"/>
        <v>5492.5</v>
      </c>
      <c r="F407" s="2">
        <v>2380</v>
      </c>
      <c r="G407" s="2">
        <f t="shared" si="37"/>
        <v>991.66666666666674</v>
      </c>
      <c r="H407" s="4">
        <f>VLOOKUP(B407,nodes!A:D,2,0)</f>
        <v>540</v>
      </c>
      <c r="I407" s="4">
        <f>VLOOKUP(B407,nodes!A:D,4,0)</f>
        <v>150</v>
      </c>
      <c r="J407" s="4">
        <f>VLOOKUP(C407,nodes!A:D,2,0)</f>
        <v>540</v>
      </c>
      <c r="K407" s="4">
        <f>VLOOKUP(C407,nodes!A:D,4,0)</f>
        <v>120</v>
      </c>
      <c r="L407" s="4">
        <f t="shared" si="38"/>
        <v>30</v>
      </c>
      <c r="N407" s="12">
        <f t="shared" si="39"/>
        <v>7437500</v>
      </c>
      <c r="O407" s="12">
        <f t="shared" si="40"/>
        <v>42840000</v>
      </c>
      <c r="P407" s="12">
        <f t="shared" si="41"/>
        <v>11900</v>
      </c>
    </row>
    <row r="408" spans="1:16" x14ac:dyDescent="0.25">
      <c r="A408" s="3">
        <v>407</v>
      </c>
      <c r="B408" s="3">
        <v>145</v>
      </c>
      <c r="C408" s="3">
        <v>166</v>
      </c>
      <c r="D408" s="2">
        <v>12280</v>
      </c>
      <c r="E408" s="2">
        <f t="shared" si="36"/>
        <v>5492.5</v>
      </c>
      <c r="F408" s="2">
        <v>2380</v>
      </c>
      <c r="G408" s="2">
        <f t="shared" si="37"/>
        <v>991.66666666666674</v>
      </c>
      <c r="H408" s="4">
        <f>VLOOKUP(B408,nodes!A:D,2,0)</f>
        <v>540</v>
      </c>
      <c r="I408" s="4">
        <f>VLOOKUP(B408,nodes!A:D,4,0)</f>
        <v>120</v>
      </c>
      <c r="J408" s="4">
        <f>VLOOKUP(C408,nodes!A:D,2,0)</f>
        <v>540</v>
      </c>
      <c r="K408" s="4">
        <f>VLOOKUP(C408,nodes!A:D,4,0)</f>
        <v>90</v>
      </c>
      <c r="L408" s="4">
        <f t="shared" si="38"/>
        <v>30</v>
      </c>
      <c r="N408" s="12">
        <f t="shared" si="39"/>
        <v>7437500</v>
      </c>
      <c r="O408" s="12">
        <f t="shared" si="40"/>
        <v>42840000</v>
      </c>
      <c r="P408" s="12">
        <f t="shared" si="41"/>
        <v>11900</v>
      </c>
    </row>
    <row r="409" spans="1:16" x14ac:dyDescent="0.25">
      <c r="A409" s="3">
        <v>408</v>
      </c>
      <c r="B409" s="3">
        <v>166</v>
      </c>
      <c r="C409" s="3">
        <v>187</v>
      </c>
      <c r="D409" s="2">
        <v>12280</v>
      </c>
      <c r="E409" s="2">
        <f t="shared" si="36"/>
        <v>5492.5</v>
      </c>
      <c r="F409" s="2">
        <v>2380</v>
      </c>
      <c r="G409" s="2">
        <f t="shared" si="37"/>
        <v>991.66666666666674</v>
      </c>
      <c r="H409" s="4">
        <f>VLOOKUP(B409,nodes!A:D,2,0)</f>
        <v>540</v>
      </c>
      <c r="I409" s="4">
        <f>VLOOKUP(B409,nodes!A:D,4,0)</f>
        <v>90</v>
      </c>
      <c r="J409" s="4">
        <f>VLOOKUP(C409,nodes!A:D,2,0)</f>
        <v>540</v>
      </c>
      <c r="K409" s="4">
        <f>VLOOKUP(C409,nodes!A:D,4,0)</f>
        <v>60</v>
      </c>
      <c r="L409" s="4">
        <f t="shared" si="38"/>
        <v>30</v>
      </c>
      <c r="N409" s="12">
        <f t="shared" si="39"/>
        <v>7437500</v>
      </c>
      <c r="O409" s="12">
        <f t="shared" si="40"/>
        <v>42840000</v>
      </c>
      <c r="P409" s="12">
        <f t="shared" si="41"/>
        <v>11900</v>
      </c>
    </row>
    <row r="410" spans="1:16" x14ac:dyDescent="0.25">
      <c r="A410" s="3">
        <v>409</v>
      </c>
      <c r="B410" s="3">
        <v>187</v>
      </c>
      <c r="C410" s="3">
        <v>208</v>
      </c>
      <c r="D410" s="2">
        <v>12280</v>
      </c>
      <c r="E410" s="2">
        <f t="shared" si="36"/>
        <v>5492.5</v>
      </c>
      <c r="F410" s="2">
        <v>2380</v>
      </c>
      <c r="G410" s="2">
        <f t="shared" si="37"/>
        <v>991.66666666666674</v>
      </c>
      <c r="H410" s="4">
        <f>VLOOKUP(B410,nodes!A:D,2,0)</f>
        <v>540</v>
      </c>
      <c r="I410" s="4">
        <f>VLOOKUP(B410,nodes!A:D,4,0)</f>
        <v>60</v>
      </c>
      <c r="J410" s="4">
        <f>VLOOKUP(C410,nodes!A:D,2,0)</f>
        <v>540</v>
      </c>
      <c r="K410" s="4">
        <f>VLOOKUP(C410,nodes!A:D,4,0)</f>
        <v>30</v>
      </c>
      <c r="L410" s="4">
        <f t="shared" si="38"/>
        <v>30</v>
      </c>
      <c r="N410" s="12">
        <f t="shared" si="39"/>
        <v>7437500</v>
      </c>
      <c r="O410" s="12">
        <f t="shared" si="40"/>
        <v>42840000</v>
      </c>
      <c r="P410" s="12">
        <f t="shared" si="41"/>
        <v>11900</v>
      </c>
    </row>
    <row r="411" spans="1:16" x14ac:dyDescent="0.25">
      <c r="A411" s="3">
        <v>410</v>
      </c>
      <c r="B411" s="3">
        <v>208</v>
      </c>
      <c r="C411" s="3">
        <v>229</v>
      </c>
      <c r="D411" s="2">
        <v>12280</v>
      </c>
      <c r="E411" s="2">
        <f t="shared" si="36"/>
        <v>5492.5</v>
      </c>
      <c r="F411" s="2">
        <v>2380</v>
      </c>
      <c r="G411" s="2">
        <f t="shared" si="37"/>
        <v>991.66666666666674</v>
      </c>
      <c r="H411" s="4">
        <f>VLOOKUP(B411,nodes!A:D,2,0)</f>
        <v>540</v>
      </c>
      <c r="I411" s="4">
        <f>VLOOKUP(B411,nodes!A:D,4,0)</f>
        <v>30</v>
      </c>
      <c r="J411" s="4">
        <f>VLOOKUP(C411,nodes!A:D,2,0)</f>
        <v>540</v>
      </c>
      <c r="K411" s="4">
        <f>VLOOKUP(C411,nodes!A:D,4,0)</f>
        <v>0</v>
      </c>
      <c r="L411" s="4">
        <f t="shared" si="38"/>
        <v>30</v>
      </c>
      <c r="N411" s="12">
        <f t="shared" si="39"/>
        <v>7437500</v>
      </c>
      <c r="O411" s="12">
        <f t="shared" si="40"/>
        <v>42840000</v>
      </c>
      <c r="P411" s="12">
        <f t="shared" si="41"/>
        <v>11900</v>
      </c>
    </row>
    <row r="412" spans="1:16" x14ac:dyDescent="0.25">
      <c r="A412" s="3">
        <v>411</v>
      </c>
      <c r="B412" s="3">
        <v>20</v>
      </c>
      <c r="C412" s="3">
        <v>41</v>
      </c>
      <c r="D412" s="2">
        <v>12280</v>
      </c>
      <c r="E412" s="2">
        <f t="shared" si="36"/>
        <v>5492.5</v>
      </c>
      <c r="F412" s="2">
        <v>2380</v>
      </c>
      <c r="G412" s="2">
        <f t="shared" si="37"/>
        <v>991.66666666666674</v>
      </c>
      <c r="H412" s="4">
        <f>VLOOKUP(B412,nodes!A:D,2,0)</f>
        <v>570</v>
      </c>
      <c r="I412" s="4">
        <f>VLOOKUP(B412,nodes!A:D,4,0)</f>
        <v>300</v>
      </c>
      <c r="J412" s="4">
        <f>VLOOKUP(C412,nodes!A:D,2,0)</f>
        <v>570</v>
      </c>
      <c r="K412" s="4">
        <f>VLOOKUP(C412,nodes!A:D,4,0)</f>
        <v>270</v>
      </c>
      <c r="L412" s="4">
        <f t="shared" si="38"/>
        <v>30</v>
      </c>
      <c r="N412" s="12">
        <f t="shared" si="39"/>
        <v>7437500</v>
      </c>
      <c r="O412" s="12">
        <f t="shared" si="40"/>
        <v>42840000</v>
      </c>
      <c r="P412" s="12">
        <f t="shared" si="41"/>
        <v>11900</v>
      </c>
    </row>
    <row r="413" spans="1:16" x14ac:dyDescent="0.25">
      <c r="A413" s="3">
        <v>412</v>
      </c>
      <c r="B413" s="3">
        <v>41</v>
      </c>
      <c r="C413" s="3">
        <v>62</v>
      </c>
      <c r="D413" s="2">
        <v>12280</v>
      </c>
      <c r="E413" s="2">
        <f t="shared" si="36"/>
        <v>5492.5</v>
      </c>
      <c r="F413" s="2">
        <v>2380</v>
      </c>
      <c r="G413" s="2">
        <f t="shared" si="37"/>
        <v>991.66666666666674</v>
      </c>
      <c r="H413" s="4">
        <f>VLOOKUP(B413,nodes!A:D,2,0)</f>
        <v>570</v>
      </c>
      <c r="I413" s="4">
        <f>VLOOKUP(B413,nodes!A:D,4,0)</f>
        <v>270</v>
      </c>
      <c r="J413" s="4">
        <f>VLOOKUP(C413,nodes!A:D,2,0)</f>
        <v>570</v>
      </c>
      <c r="K413" s="4">
        <f>VLOOKUP(C413,nodes!A:D,4,0)</f>
        <v>240</v>
      </c>
      <c r="L413" s="4">
        <f t="shared" si="38"/>
        <v>30</v>
      </c>
      <c r="N413" s="12">
        <f t="shared" si="39"/>
        <v>7437500</v>
      </c>
      <c r="O413" s="12">
        <f t="shared" si="40"/>
        <v>42840000</v>
      </c>
      <c r="P413" s="12">
        <f t="shared" si="41"/>
        <v>11900</v>
      </c>
    </row>
    <row r="414" spans="1:16" x14ac:dyDescent="0.25">
      <c r="A414" s="3">
        <v>413</v>
      </c>
      <c r="B414" s="3">
        <v>62</v>
      </c>
      <c r="C414" s="3">
        <v>83</v>
      </c>
      <c r="D414" s="2">
        <v>12280</v>
      </c>
      <c r="E414" s="2">
        <f t="shared" si="36"/>
        <v>5492.5</v>
      </c>
      <c r="F414" s="2">
        <v>2380</v>
      </c>
      <c r="G414" s="2">
        <f t="shared" si="37"/>
        <v>991.66666666666674</v>
      </c>
      <c r="H414" s="4">
        <f>VLOOKUP(B414,nodes!A:D,2,0)</f>
        <v>570</v>
      </c>
      <c r="I414" s="4">
        <f>VLOOKUP(B414,nodes!A:D,4,0)</f>
        <v>240</v>
      </c>
      <c r="J414" s="4">
        <f>VLOOKUP(C414,nodes!A:D,2,0)</f>
        <v>570</v>
      </c>
      <c r="K414" s="4">
        <f>VLOOKUP(C414,nodes!A:D,4,0)</f>
        <v>210</v>
      </c>
      <c r="L414" s="4">
        <f t="shared" si="38"/>
        <v>30</v>
      </c>
      <c r="N414" s="12">
        <f t="shared" si="39"/>
        <v>7437500</v>
      </c>
      <c r="O414" s="12">
        <f t="shared" si="40"/>
        <v>42840000</v>
      </c>
      <c r="P414" s="12">
        <f t="shared" si="41"/>
        <v>11900</v>
      </c>
    </row>
    <row r="415" spans="1:16" x14ac:dyDescent="0.25">
      <c r="A415" s="3">
        <v>414</v>
      </c>
      <c r="B415" s="3">
        <v>83</v>
      </c>
      <c r="C415" s="3">
        <v>104</v>
      </c>
      <c r="D415" s="2">
        <v>12280</v>
      </c>
      <c r="E415" s="2">
        <f t="shared" si="36"/>
        <v>5492.5</v>
      </c>
      <c r="F415" s="2">
        <v>2380</v>
      </c>
      <c r="G415" s="2">
        <f t="shared" si="37"/>
        <v>991.66666666666674</v>
      </c>
      <c r="H415" s="4">
        <f>VLOOKUP(B415,nodes!A:D,2,0)</f>
        <v>570</v>
      </c>
      <c r="I415" s="4">
        <f>VLOOKUP(B415,nodes!A:D,4,0)</f>
        <v>210</v>
      </c>
      <c r="J415" s="4">
        <f>VLOOKUP(C415,nodes!A:D,2,0)</f>
        <v>570</v>
      </c>
      <c r="K415" s="4">
        <f>VLOOKUP(C415,nodes!A:D,4,0)</f>
        <v>180</v>
      </c>
      <c r="L415" s="4">
        <f t="shared" si="38"/>
        <v>30</v>
      </c>
      <c r="N415" s="12">
        <f t="shared" si="39"/>
        <v>7437500</v>
      </c>
      <c r="O415" s="12">
        <f t="shared" si="40"/>
        <v>42840000</v>
      </c>
      <c r="P415" s="12">
        <f t="shared" si="41"/>
        <v>11900</v>
      </c>
    </row>
    <row r="416" spans="1:16" x14ac:dyDescent="0.25">
      <c r="A416" s="3">
        <v>415</v>
      </c>
      <c r="B416" s="3">
        <v>104</v>
      </c>
      <c r="C416" s="3">
        <v>125</v>
      </c>
      <c r="D416" s="2">
        <v>12280</v>
      </c>
      <c r="E416" s="2">
        <f t="shared" si="36"/>
        <v>5492.5</v>
      </c>
      <c r="F416" s="2">
        <v>2380</v>
      </c>
      <c r="G416" s="2">
        <f t="shared" si="37"/>
        <v>991.66666666666674</v>
      </c>
      <c r="H416" s="4">
        <f>VLOOKUP(B416,nodes!A:D,2,0)</f>
        <v>570</v>
      </c>
      <c r="I416" s="4">
        <f>VLOOKUP(B416,nodes!A:D,4,0)</f>
        <v>180</v>
      </c>
      <c r="J416" s="4">
        <f>VLOOKUP(C416,nodes!A:D,2,0)</f>
        <v>570</v>
      </c>
      <c r="K416" s="4">
        <f>VLOOKUP(C416,nodes!A:D,4,0)</f>
        <v>150</v>
      </c>
      <c r="L416" s="4">
        <f t="shared" si="38"/>
        <v>30</v>
      </c>
      <c r="N416" s="12">
        <f t="shared" si="39"/>
        <v>7437500</v>
      </c>
      <c r="O416" s="12">
        <f t="shared" si="40"/>
        <v>42840000</v>
      </c>
      <c r="P416" s="12">
        <f t="shared" si="41"/>
        <v>11900</v>
      </c>
    </row>
    <row r="417" spans="1:16" x14ac:dyDescent="0.25">
      <c r="A417" s="3">
        <v>416</v>
      </c>
      <c r="B417" s="3">
        <v>125</v>
      </c>
      <c r="C417" s="3">
        <v>146</v>
      </c>
      <c r="D417" s="2">
        <v>12280</v>
      </c>
      <c r="E417" s="2">
        <f t="shared" si="36"/>
        <v>5492.5</v>
      </c>
      <c r="F417" s="2">
        <v>2380</v>
      </c>
      <c r="G417" s="2">
        <f t="shared" si="37"/>
        <v>991.66666666666674</v>
      </c>
      <c r="H417" s="4">
        <f>VLOOKUP(B417,nodes!A:D,2,0)</f>
        <v>570</v>
      </c>
      <c r="I417" s="4">
        <f>VLOOKUP(B417,nodes!A:D,4,0)</f>
        <v>150</v>
      </c>
      <c r="J417" s="4">
        <f>VLOOKUP(C417,nodes!A:D,2,0)</f>
        <v>570</v>
      </c>
      <c r="K417" s="4">
        <f>VLOOKUP(C417,nodes!A:D,4,0)</f>
        <v>120</v>
      </c>
      <c r="L417" s="4">
        <f t="shared" si="38"/>
        <v>30</v>
      </c>
      <c r="N417" s="12">
        <f t="shared" si="39"/>
        <v>7437500</v>
      </c>
      <c r="O417" s="12">
        <f t="shared" si="40"/>
        <v>42840000</v>
      </c>
      <c r="P417" s="12">
        <f t="shared" si="41"/>
        <v>11900</v>
      </c>
    </row>
    <row r="418" spans="1:16" x14ac:dyDescent="0.25">
      <c r="A418" s="3">
        <v>417</v>
      </c>
      <c r="B418" s="3">
        <v>146</v>
      </c>
      <c r="C418" s="3">
        <v>167</v>
      </c>
      <c r="D418" s="2">
        <v>12280</v>
      </c>
      <c r="E418" s="2">
        <f t="shared" si="36"/>
        <v>5492.5</v>
      </c>
      <c r="F418" s="2">
        <v>2380</v>
      </c>
      <c r="G418" s="2">
        <f t="shared" si="37"/>
        <v>991.66666666666674</v>
      </c>
      <c r="H418" s="4">
        <f>VLOOKUP(B418,nodes!A:D,2,0)</f>
        <v>570</v>
      </c>
      <c r="I418" s="4">
        <f>VLOOKUP(B418,nodes!A:D,4,0)</f>
        <v>120</v>
      </c>
      <c r="J418" s="4">
        <f>VLOOKUP(C418,nodes!A:D,2,0)</f>
        <v>570</v>
      </c>
      <c r="K418" s="4">
        <f>VLOOKUP(C418,nodes!A:D,4,0)</f>
        <v>90</v>
      </c>
      <c r="L418" s="4">
        <f t="shared" si="38"/>
        <v>30</v>
      </c>
      <c r="N418" s="12">
        <f t="shared" si="39"/>
        <v>7437500</v>
      </c>
      <c r="O418" s="12">
        <f t="shared" si="40"/>
        <v>42840000</v>
      </c>
      <c r="P418" s="12">
        <f t="shared" si="41"/>
        <v>11900</v>
      </c>
    </row>
    <row r="419" spans="1:16" x14ac:dyDescent="0.25">
      <c r="A419" s="3">
        <v>418</v>
      </c>
      <c r="B419" s="3">
        <v>167</v>
      </c>
      <c r="C419" s="3">
        <v>188</v>
      </c>
      <c r="D419" s="2">
        <v>12280</v>
      </c>
      <c r="E419" s="2">
        <f t="shared" si="36"/>
        <v>5492.5</v>
      </c>
      <c r="F419" s="2">
        <v>2380</v>
      </c>
      <c r="G419" s="2">
        <f t="shared" si="37"/>
        <v>991.66666666666674</v>
      </c>
      <c r="H419" s="4">
        <f>VLOOKUP(B419,nodes!A:D,2,0)</f>
        <v>570</v>
      </c>
      <c r="I419" s="4">
        <f>VLOOKUP(B419,nodes!A:D,4,0)</f>
        <v>90</v>
      </c>
      <c r="J419" s="4">
        <f>VLOOKUP(C419,nodes!A:D,2,0)</f>
        <v>570</v>
      </c>
      <c r="K419" s="4">
        <f>VLOOKUP(C419,nodes!A:D,4,0)</f>
        <v>60</v>
      </c>
      <c r="L419" s="4">
        <f t="shared" si="38"/>
        <v>30</v>
      </c>
      <c r="N419" s="12">
        <f t="shared" si="39"/>
        <v>7437500</v>
      </c>
      <c r="O419" s="12">
        <f t="shared" si="40"/>
        <v>42840000</v>
      </c>
      <c r="P419" s="12">
        <f t="shared" si="41"/>
        <v>11900</v>
      </c>
    </row>
    <row r="420" spans="1:16" x14ac:dyDescent="0.25">
      <c r="A420" s="3">
        <v>419</v>
      </c>
      <c r="B420" s="3">
        <v>188</v>
      </c>
      <c r="C420" s="3">
        <v>209</v>
      </c>
      <c r="D420" s="2">
        <v>12280</v>
      </c>
      <c r="E420" s="2">
        <f t="shared" si="36"/>
        <v>5492.5</v>
      </c>
      <c r="F420" s="2">
        <v>2380</v>
      </c>
      <c r="G420" s="2">
        <f t="shared" si="37"/>
        <v>991.66666666666674</v>
      </c>
      <c r="H420" s="4">
        <f>VLOOKUP(B420,nodes!A:D,2,0)</f>
        <v>570</v>
      </c>
      <c r="I420" s="4">
        <f>VLOOKUP(B420,nodes!A:D,4,0)</f>
        <v>60</v>
      </c>
      <c r="J420" s="4">
        <f>VLOOKUP(C420,nodes!A:D,2,0)</f>
        <v>570</v>
      </c>
      <c r="K420" s="4">
        <f>VLOOKUP(C420,nodes!A:D,4,0)</f>
        <v>30</v>
      </c>
      <c r="L420" s="4">
        <f t="shared" si="38"/>
        <v>30</v>
      </c>
      <c r="N420" s="12">
        <f t="shared" si="39"/>
        <v>7437500</v>
      </c>
      <c r="O420" s="12">
        <f t="shared" si="40"/>
        <v>42840000</v>
      </c>
      <c r="P420" s="12">
        <f t="shared" si="41"/>
        <v>11900</v>
      </c>
    </row>
    <row r="421" spans="1:16" x14ac:dyDescent="0.25">
      <c r="A421" s="3">
        <v>420</v>
      </c>
      <c r="B421" s="3">
        <v>209</v>
      </c>
      <c r="C421" s="3">
        <v>230</v>
      </c>
      <c r="D421" s="2">
        <v>12280</v>
      </c>
      <c r="E421" s="2">
        <f t="shared" si="36"/>
        <v>5492.5</v>
      </c>
      <c r="F421" s="2">
        <v>2380</v>
      </c>
      <c r="G421" s="2">
        <f t="shared" si="37"/>
        <v>991.66666666666674</v>
      </c>
      <c r="H421" s="4">
        <f>VLOOKUP(B421,nodes!A:D,2,0)</f>
        <v>570</v>
      </c>
      <c r="I421" s="4">
        <f>VLOOKUP(B421,nodes!A:D,4,0)</f>
        <v>30</v>
      </c>
      <c r="J421" s="4">
        <f>VLOOKUP(C421,nodes!A:D,2,0)</f>
        <v>570</v>
      </c>
      <c r="K421" s="4">
        <f>VLOOKUP(C421,nodes!A:D,4,0)</f>
        <v>0</v>
      </c>
      <c r="L421" s="4">
        <f t="shared" si="38"/>
        <v>30</v>
      </c>
      <c r="N421" s="12">
        <f t="shared" si="39"/>
        <v>7437500</v>
      </c>
      <c r="O421" s="12">
        <f t="shared" si="40"/>
        <v>42840000</v>
      </c>
      <c r="P421" s="12">
        <f t="shared" si="41"/>
        <v>11900</v>
      </c>
    </row>
    <row r="422" spans="1:16" x14ac:dyDescent="0.25">
      <c r="A422" s="3">
        <v>421</v>
      </c>
      <c r="B422" s="3">
        <v>21</v>
      </c>
      <c r="C422" s="3">
        <v>42</v>
      </c>
      <c r="D422" s="2">
        <v>12280</v>
      </c>
      <c r="E422" s="2">
        <f t="shared" si="36"/>
        <v>5492.5</v>
      </c>
      <c r="F422" s="2">
        <v>2380</v>
      </c>
      <c r="G422" s="2">
        <f t="shared" si="37"/>
        <v>991.66666666666674</v>
      </c>
      <c r="H422" s="4">
        <f>VLOOKUP(B422,nodes!A:D,2,0)</f>
        <v>600</v>
      </c>
      <c r="I422" s="4">
        <f>VLOOKUP(B422,nodes!A:D,4,0)</f>
        <v>300</v>
      </c>
      <c r="J422" s="4">
        <f>VLOOKUP(C422,nodes!A:D,2,0)</f>
        <v>600</v>
      </c>
      <c r="K422" s="4">
        <f>VLOOKUP(C422,nodes!A:D,4,0)</f>
        <v>270</v>
      </c>
      <c r="L422" s="4">
        <f t="shared" si="38"/>
        <v>30</v>
      </c>
      <c r="N422" s="12">
        <f t="shared" si="39"/>
        <v>7437500</v>
      </c>
      <c r="O422" s="12">
        <f t="shared" si="40"/>
        <v>42840000</v>
      </c>
      <c r="P422" s="12">
        <f t="shared" si="41"/>
        <v>11900</v>
      </c>
    </row>
    <row r="423" spans="1:16" x14ac:dyDescent="0.25">
      <c r="A423" s="3">
        <v>422</v>
      </c>
      <c r="B423" s="3">
        <v>42</v>
      </c>
      <c r="C423" s="3">
        <v>63</v>
      </c>
      <c r="D423" s="2">
        <v>12280</v>
      </c>
      <c r="E423" s="2">
        <f t="shared" si="36"/>
        <v>5492.5</v>
      </c>
      <c r="F423" s="2">
        <v>2380</v>
      </c>
      <c r="G423" s="2">
        <f t="shared" si="37"/>
        <v>991.66666666666674</v>
      </c>
      <c r="H423" s="4">
        <f>VLOOKUP(B423,nodes!A:D,2,0)</f>
        <v>600</v>
      </c>
      <c r="I423" s="4">
        <f>VLOOKUP(B423,nodes!A:D,4,0)</f>
        <v>270</v>
      </c>
      <c r="J423" s="4">
        <f>VLOOKUP(C423,nodes!A:D,2,0)</f>
        <v>600</v>
      </c>
      <c r="K423" s="4">
        <f>VLOOKUP(C423,nodes!A:D,4,0)</f>
        <v>240</v>
      </c>
      <c r="L423" s="4">
        <f t="shared" si="38"/>
        <v>30</v>
      </c>
      <c r="N423" s="12">
        <f t="shared" si="39"/>
        <v>7437500</v>
      </c>
      <c r="O423" s="12">
        <f t="shared" si="40"/>
        <v>42840000</v>
      </c>
      <c r="P423" s="12">
        <f t="shared" si="41"/>
        <v>11900</v>
      </c>
    </row>
    <row r="424" spans="1:16" x14ac:dyDescent="0.25">
      <c r="A424" s="3">
        <v>423</v>
      </c>
      <c r="B424" s="3">
        <v>63</v>
      </c>
      <c r="C424" s="3">
        <v>84</v>
      </c>
      <c r="D424" s="2">
        <v>12280</v>
      </c>
      <c r="E424" s="2">
        <f t="shared" si="36"/>
        <v>5492.5</v>
      </c>
      <c r="F424" s="2">
        <v>2380</v>
      </c>
      <c r="G424" s="2">
        <f t="shared" si="37"/>
        <v>991.66666666666674</v>
      </c>
      <c r="H424" s="4">
        <f>VLOOKUP(B424,nodes!A:D,2,0)</f>
        <v>600</v>
      </c>
      <c r="I424" s="4">
        <f>VLOOKUP(B424,nodes!A:D,4,0)</f>
        <v>240</v>
      </c>
      <c r="J424" s="4">
        <f>VLOOKUP(C424,nodes!A:D,2,0)</f>
        <v>600</v>
      </c>
      <c r="K424" s="4">
        <f>VLOOKUP(C424,nodes!A:D,4,0)</f>
        <v>210</v>
      </c>
      <c r="L424" s="4">
        <f t="shared" si="38"/>
        <v>30</v>
      </c>
      <c r="N424" s="12">
        <f t="shared" si="39"/>
        <v>7437500</v>
      </c>
      <c r="O424" s="12">
        <f t="shared" si="40"/>
        <v>42840000</v>
      </c>
      <c r="P424" s="12">
        <f t="shared" si="41"/>
        <v>11900</v>
      </c>
    </row>
    <row r="425" spans="1:16" x14ac:dyDescent="0.25">
      <c r="A425" s="3">
        <v>424</v>
      </c>
      <c r="B425" s="3">
        <v>84</v>
      </c>
      <c r="C425" s="3">
        <v>105</v>
      </c>
      <c r="D425" s="2">
        <v>12280</v>
      </c>
      <c r="E425" s="2">
        <f t="shared" si="36"/>
        <v>5492.5</v>
      </c>
      <c r="F425" s="2">
        <v>2380</v>
      </c>
      <c r="G425" s="2">
        <f t="shared" si="37"/>
        <v>991.66666666666674</v>
      </c>
      <c r="H425" s="4">
        <f>VLOOKUP(B425,nodes!A:D,2,0)</f>
        <v>600</v>
      </c>
      <c r="I425" s="4">
        <f>VLOOKUP(B425,nodes!A:D,4,0)</f>
        <v>210</v>
      </c>
      <c r="J425" s="4">
        <f>VLOOKUP(C425,nodes!A:D,2,0)</f>
        <v>600</v>
      </c>
      <c r="K425" s="4">
        <f>VLOOKUP(C425,nodes!A:D,4,0)</f>
        <v>180</v>
      </c>
      <c r="L425" s="4">
        <f t="shared" si="38"/>
        <v>30</v>
      </c>
      <c r="N425" s="12">
        <f t="shared" si="39"/>
        <v>7437500</v>
      </c>
      <c r="O425" s="12">
        <f t="shared" si="40"/>
        <v>42840000</v>
      </c>
      <c r="P425" s="12">
        <f t="shared" si="41"/>
        <v>11900</v>
      </c>
    </row>
    <row r="426" spans="1:16" x14ac:dyDescent="0.25">
      <c r="A426" s="3">
        <v>425</v>
      </c>
      <c r="B426" s="3">
        <v>105</v>
      </c>
      <c r="C426" s="3">
        <v>126</v>
      </c>
      <c r="D426" s="2">
        <v>12280</v>
      </c>
      <c r="E426" s="2">
        <f t="shared" si="36"/>
        <v>5492.5</v>
      </c>
      <c r="F426" s="2">
        <v>2380</v>
      </c>
      <c r="G426" s="2">
        <f t="shared" si="37"/>
        <v>991.66666666666674</v>
      </c>
      <c r="H426" s="4">
        <f>VLOOKUP(B426,nodes!A:D,2,0)</f>
        <v>600</v>
      </c>
      <c r="I426" s="4">
        <f>VLOOKUP(B426,nodes!A:D,4,0)</f>
        <v>180</v>
      </c>
      <c r="J426" s="4">
        <f>VLOOKUP(C426,nodes!A:D,2,0)</f>
        <v>600</v>
      </c>
      <c r="K426" s="4">
        <f>VLOOKUP(C426,nodes!A:D,4,0)</f>
        <v>150</v>
      </c>
      <c r="L426" s="4">
        <f t="shared" si="38"/>
        <v>30</v>
      </c>
      <c r="N426" s="12">
        <f t="shared" si="39"/>
        <v>7437500</v>
      </c>
      <c r="O426" s="12">
        <f t="shared" si="40"/>
        <v>42840000</v>
      </c>
      <c r="P426" s="12">
        <f t="shared" si="41"/>
        <v>11900</v>
      </c>
    </row>
    <row r="427" spans="1:16" x14ac:dyDescent="0.25">
      <c r="A427" s="3">
        <v>426</v>
      </c>
      <c r="B427" s="3">
        <v>126</v>
      </c>
      <c r="C427" s="3">
        <v>147</v>
      </c>
      <c r="D427" s="2">
        <v>12280</v>
      </c>
      <c r="E427" s="2">
        <f t="shared" si="36"/>
        <v>5492.5</v>
      </c>
      <c r="F427" s="2">
        <v>2380</v>
      </c>
      <c r="G427" s="2">
        <f t="shared" si="37"/>
        <v>991.66666666666674</v>
      </c>
      <c r="H427" s="4">
        <f>VLOOKUP(B427,nodes!A:D,2,0)</f>
        <v>600</v>
      </c>
      <c r="I427" s="4">
        <f>VLOOKUP(B427,nodes!A:D,4,0)</f>
        <v>150</v>
      </c>
      <c r="J427" s="4">
        <f>VLOOKUP(C427,nodes!A:D,2,0)</f>
        <v>600</v>
      </c>
      <c r="K427" s="4">
        <f>VLOOKUP(C427,nodes!A:D,4,0)</f>
        <v>120</v>
      </c>
      <c r="L427" s="4">
        <f t="shared" si="38"/>
        <v>30</v>
      </c>
      <c r="N427" s="12">
        <f t="shared" si="39"/>
        <v>7437500</v>
      </c>
      <c r="O427" s="12">
        <f t="shared" si="40"/>
        <v>42840000</v>
      </c>
      <c r="P427" s="12">
        <f t="shared" si="41"/>
        <v>11900</v>
      </c>
    </row>
    <row r="428" spans="1:16" x14ac:dyDescent="0.25">
      <c r="A428" s="3">
        <v>427</v>
      </c>
      <c r="B428" s="3">
        <v>147</v>
      </c>
      <c r="C428" s="3">
        <v>168</v>
      </c>
      <c r="D428" s="2">
        <v>12280</v>
      </c>
      <c r="E428" s="2">
        <f t="shared" si="36"/>
        <v>5492.5</v>
      </c>
      <c r="F428" s="2">
        <v>2380</v>
      </c>
      <c r="G428" s="2">
        <f t="shared" si="37"/>
        <v>991.66666666666674</v>
      </c>
      <c r="H428" s="4">
        <f>VLOOKUP(B428,nodes!A:D,2,0)</f>
        <v>600</v>
      </c>
      <c r="I428" s="4">
        <f>VLOOKUP(B428,nodes!A:D,4,0)</f>
        <v>120</v>
      </c>
      <c r="J428" s="4">
        <f>VLOOKUP(C428,nodes!A:D,2,0)</f>
        <v>600</v>
      </c>
      <c r="K428" s="4">
        <f>VLOOKUP(C428,nodes!A:D,4,0)</f>
        <v>90</v>
      </c>
      <c r="L428" s="4">
        <f t="shared" si="38"/>
        <v>30</v>
      </c>
      <c r="N428" s="12">
        <f t="shared" si="39"/>
        <v>7437500</v>
      </c>
      <c r="O428" s="12">
        <f t="shared" si="40"/>
        <v>42840000</v>
      </c>
      <c r="P428" s="12">
        <f t="shared" si="41"/>
        <v>11900</v>
      </c>
    </row>
    <row r="429" spans="1:16" x14ac:dyDescent="0.25">
      <c r="A429" s="3">
        <v>428</v>
      </c>
      <c r="B429" s="3">
        <v>168</v>
      </c>
      <c r="C429" s="3">
        <v>189</v>
      </c>
      <c r="D429" s="2">
        <v>12280</v>
      </c>
      <c r="E429" s="2">
        <f t="shared" si="36"/>
        <v>5492.5</v>
      </c>
      <c r="F429" s="2">
        <v>2380</v>
      </c>
      <c r="G429" s="2">
        <f t="shared" si="37"/>
        <v>991.66666666666674</v>
      </c>
      <c r="H429" s="4">
        <f>VLOOKUP(B429,nodes!A:D,2,0)</f>
        <v>600</v>
      </c>
      <c r="I429" s="4">
        <f>VLOOKUP(B429,nodes!A:D,4,0)</f>
        <v>90</v>
      </c>
      <c r="J429" s="4">
        <f>VLOOKUP(C429,nodes!A:D,2,0)</f>
        <v>600</v>
      </c>
      <c r="K429" s="4">
        <f>VLOOKUP(C429,nodes!A:D,4,0)</f>
        <v>60</v>
      </c>
      <c r="L429" s="4">
        <f t="shared" si="38"/>
        <v>30</v>
      </c>
      <c r="N429" s="12">
        <f t="shared" si="39"/>
        <v>7437500</v>
      </c>
      <c r="O429" s="12">
        <f t="shared" si="40"/>
        <v>42840000</v>
      </c>
      <c r="P429" s="12">
        <f t="shared" si="41"/>
        <v>11900</v>
      </c>
    </row>
    <row r="430" spans="1:16" x14ac:dyDescent="0.25">
      <c r="A430" s="3">
        <v>429</v>
      </c>
      <c r="B430" s="3">
        <v>189</v>
      </c>
      <c r="C430" s="3">
        <v>210</v>
      </c>
      <c r="D430" s="2">
        <v>12280</v>
      </c>
      <c r="E430" s="2">
        <f t="shared" si="36"/>
        <v>5492.5</v>
      </c>
      <c r="F430" s="2">
        <v>2380</v>
      </c>
      <c r="G430" s="2">
        <f t="shared" si="37"/>
        <v>991.66666666666674</v>
      </c>
      <c r="H430" s="4">
        <f>VLOOKUP(B430,nodes!A:D,2,0)</f>
        <v>600</v>
      </c>
      <c r="I430" s="4">
        <f>VLOOKUP(B430,nodes!A:D,4,0)</f>
        <v>60</v>
      </c>
      <c r="J430" s="4">
        <f>VLOOKUP(C430,nodes!A:D,2,0)</f>
        <v>600</v>
      </c>
      <c r="K430" s="4">
        <f>VLOOKUP(C430,nodes!A:D,4,0)</f>
        <v>30</v>
      </c>
      <c r="L430" s="4">
        <f t="shared" si="38"/>
        <v>30</v>
      </c>
      <c r="N430" s="12">
        <f t="shared" si="39"/>
        <v>7437500</v>
      </c>
      <c r="O430" s="12">
        <f t="shared" si="40"/>
        <v>42840000</v>
      </c>
      <c r="P430" s="12">
        <f t="shared" si="41"/>
        <v>11900</v>
      </c>
    </row>
    <row r="431" spans="1:16" x14ac:dyDescent="0.25">
      <c r="A431" s="3">
        <v>430</v>
      </c>
      <c r="B431" s="3">
        <v>210</v>
      </c>
      <c r="C431" s="3">
        <v>231</v>
      </c>
      <c r="D431" s="2">
        <v>12280</v>
      </c>
      <c r="E431" s="2">
        <f t="shared" si="36"/>
        <v>5492.5</v>
      </c>
      <c r="F431" s="2">
        <v>2380</v>
      </c>
      <c r="G431" s="2">
        <f t="shared" si="37"/>
        <v>991.66666666666674</v>
      </c>
      <c r="H431" s="4">
        <f>VLOOKUP(B431,nodes!A:D,2,0)</f>
        <v>600</v>
      </c>
      <c r="I431" s="4">
        <f>VLOOKUP(B431,nodes!A:D,4,0)</f>
        <v>30</v>
      </c>
      <c r="J431" s="4">
        <f>VLOOKUP(C431,nodes!A:D,2,0)</f>
        <v>600</v>
      </c>
      <c r="K431" s="4">
        <f>VLOOKUP(C431,nodes!A:D,4,0)</f>
        <v>0</v>
      </c>
      <c r="L431" s="4">
        <f t="shared" si="38"/>
        <v>30</v>
      </c>
      <c r="N431" s="12">
        <f t="shared" si="39"/>
        <v>7437500</v>
      </c>
      <c r="O431" s="12">
        <f t="shared" si="40"/>
        <v>42840000</v>
      </c>
      <c r="P431" s="12">
        <f t="shared" si="41"/>
        <v>11900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DFC0B-4428-48FB-8613-D2FD77469E06}">
  <dimension ref="A1:Q431"/>
  <sheetViews>
    <sheetView zoomScale="70" zoomScaleNormal="70" workbookViewId="0"/>
  </sheetViews>
  <sheetFormatPr defaultColWidth="13.77734375" defaultRowHeight="13.8" x14ac:dyDescent="0.25"/>
  <cols>
    <col min="1" max="3" width="13.77734375" style="3"/>
    <col min="4" max="7" width="13.77734375" style="2"/>
    <col min="8" max="13" width="13.77734375" style="4"/>
    <col min="14" max="14" width="13.77734375" style="12"/>
    <col min="15" max="15" width="13.77734375" style="1"/>
    <col min="16" max="16" width="13.77734375" style="12"/>
    <col min="17" max="16384" width="13.77734375" style="1"/>
  </cols>
  <sheetData>
    <row r="1" spans="1:17" s="8" customFormat="1" x14ac:dyDescent="0.25">
      <c r="A1" s="5" t="s">
        <v>0</v>
      </c>
      <c r="B1" s="6" t="s">
        <v>23</v>
      </c>
      <c r="C1" s="6" t="s">
        <v>24</v>
      </c>
      <c r="D1" s="7" t="s">
        <v>1</v>
      </c>
      <c r="E1" s="7" t="s">
        <v>2</v>
      </c>
      <c r="F1" s="7" t="s">
        <v>3</v>
      </c>
      <c r="G1" s="7" t="s">
        <v>4</v>
      </c>
      <c r="H1" s="8" t="s">
        <v>5</v>
      </c>
      <c r="I1" s="9" t="s">
        <v>7</v>
      </c>
      <c r="J1" s="9" t="s">
        <v>6</v>
      </c>
      <c r="K1" s="9" t="s">
        <v>9</v>
      </c>
      <c r="L1" s="9" t="s">
        <v>10</v>
      </c>
      <c r="M1" s="9"/>
      <c r="N1" s="10" t="s">
        <v>26</v>
      </c>
      <c r="O1" s="11" t="s">
        <v>27</v>
      </c>
      <c r="P1" s="10" t="s">
        <v>28</v>
      </c>
      <c r="Q1" s="9"/>
    </row>
    <row r="2" spans="1:17" x14ac:dyDescent="0.25">
      <c r="A2" s="3">
        <v>1</v>
      </c>
      <c r="B2" s="3">
        <v>1</v>
      </c>
      <c r="C2" s="3">
        <v>2</v>
      </c>
      <c r="D2" s="2">
        <v>11140</v>
      </c>
      <c r="E2" s="2">
        <f>(30*13^3)/12</f>
        <v>5492.5</v>
      </c>
      <c r="F2" s="2">
        <v>2380</v>
      </c>
      <c r="G2" s="2">
        <f>F2/(2*(1+0.2))</f>
        <v>991.66666666666674</v>
      </c>
      <c r="H2" s="4">
        <f>VLOOKUP(B2,nodes!A:D,2,0)</f>
        <v>0</v>
      </c>
      <c r="I2" s="4">
        <f>VLOOKUP(B2,nodes!A:D,4,0)</f>
        <v>300</v>
      </c>
      <c r="J2" s="4">
        <f>VLOOKUP(C2,nodes!A:D,2,0)</f>
        <v>30</v>
      </c>
      <c r="K2" s="4">
        <f>VLOOKUP(C2,nodes!A:D,4,0)</f>
        <v>300</v>
      </c>
      <c r="L2" s="4">
        <f>((J2-H2)^2+(K2-I2)^2)^0.5</f>
        <v>30</v>
      </c>
      <c r="N2" s="12">
        <f>12*2380*60*(25^3)/(300*12)</f>
        <v>7437500</v>
      </c>
      <c r="O2" s="12">
        <f>12*2380*25*(60^3)/(300*12)</f>
        <v>42840000</v>
      </c>
      <c r="P2" s="12">
        <f>2380*25*60/300</f>
        <v>11900</v>
      </c>
    </row>
    <row r="3" spans="1:17" x14ac:dyDescent="0.25">
      <c r="A3" s="3">
        <v>2</v>
      </c>
      <c r="B3" s="3">
        <v>2</v>
      </c>
      <c r="C3" s="3">
        <v>3</v>
      </c>
      <c r="D3" s="2">
        <v>11140</v>
      </c>
      <c r="E3" s="2">
        <f t="shared" ref="E3:E66" si="0">(30*13^3)/12</f>
        <v>5492.5</v>
      </c>
      <c r="F3" s="2">
        <v>2380</v>
      </c>
      <c r="G3" s="2">
        <f t="shared" ref="G3:G66" si="1">F3/(2*(1+0.2))</f>
        <v>991.66666666666674</v>
      </c>
      <c r="H3" s="4">
        <f>VLOOKUP(B3,nodes!A:D,2,0)</f>
        <v>30</v>
      </c>
      <c r="I3" s="4">
        <f>VLOOKUP(B3,nodes!A:D,4,0)</f>
        <v>300</v>
      </c>
      <c r="J3" s="4">
        <f>VLOOKUP(C3,nodes!A:D,2,0)</f>
        <v>60</v>
      </c>
      <c r="K3" s="4">
        <f>VLOOKUP(C3,nodes!A:D,4,0)</f>
        <v>300</v>
      </c>
      <c r="L3" s="4">
        <f t="shared" ref="L3:L66" si="2">((J3-H3)^2+(K3-I3)^2)^0.5</f>
        <v>30</v>
      </c>
      <c r="N3" s="12">
        <f t="shared" ref="N3:N66" si="3">12*2380*60*(25^3)/(300*12)</f>
        <v>7437500</v>
      </c>
      <c r="O3" s="12">
        <f t="shared" ref="O3:O66" si="4">12*2380*25*(60^3)/(300*12)</f>
        <v>42840000</v>
      </c>
      <c r="P3" s="12">
        <f t="shared" ref="P3:P66" si="5">2380*25*60/300</f>
        <v>11900</v>
      </c>
    </row>
    <row r="4" spans="1:17" x14ac:dyDescent="0.25">
      <c r="A4" s="3">
        <v>3</v>
      </c>
      <c r="B4" s="3">
        <v>3</v>
      </c>
      <c r="C4" s="3">
        <v>4</v>
      </c>
      <c r="D4" s="2">
        <v>11140</v>
      </c>
      <c r="E4" s="2">
        <f t="shared" si="0"/>
        <v>5492.5</v>
      </c>
      <c r="F4" s="2">
        <v>2380</v>
      </c>
      <c r="G4" s="2">
        <f t="shared" si="1"/>
        <v>991.66666666666674</v>
      </c>
      <c r="H4" s="4">
        <f>VLOOKUP(B4,nodes!A:D,2,0)</f>
        <v>60</v>
      </c>
      <c r="I4" s="4">
        <f>VLOOKUP(B4,nodes!A:D,4,0)</f>
        <v>300</v>
      </c>
      <c r="J4" s="4">
        <f>VLOOKUP(C4,nodes!A:D,2,0)</f>
        <v>90</v>
      </c>
      <c r="K4" s="4">
        <f>VLOOKUP(C4,nodes!A:D,4,0)</f>
        <v>300</v>
      </c>
      <c r="L4" s="4">
        <f t="shared" si="2"/>
        <v>30</v>
      </c>
      <c r="N4" s="12">
        <f t="shared" si="3"/>
        <v>7437500</v>
      </c>
      <c r="O4" s="12">
        <f t="shared" si="4"/>
        <v>42840000</v>
      </c>
      <c r="P4" s="12">
        <f t="shared" si="5"/>
        <v>11900</v>
      </c>
    </row>
    <row r="5" spans="1:17" x14ac:dyDescent="0.25">
      <c r="A5" s="3">
        <v>4</v>
      </c>
      <c r="B5" s="3">
        <v>4</v>
      </c>
      <c r="C5" s="3">
        <v>5</v>
      </c>
      <c r="D5" s="2">
        <v>11140</v>
      </c>
      <c r="E5" s="2">
        <f t="shared" si="0"/>
        <v>5492.5</v>
      </c>
      <c r="F5" s="2">
        <v>2380</v>
      </c>
      <c r="G5" s="2">
        <f t="shared" si="1"/>
        <v>991.66666666666674</v>
      </c>
      <c r="H5" s="4">
        <f>VLOOKUP(B5,nodes!A:D,2,0)</f>
        <v>90</v>
      </c>
      <c r="I5" s="4">
        <f>VLOOKUP(B5,nodes!A:D,4,0)</f>
        <v>300</v>
      </c>
      <c r="J5" s="4">
        <f>VLOOKUP(C5,nodes!A:D,2,0)</f>
        <v>120</v>
      </c>
      <c r="K5" s="4">
        <f>VLOOKUP(C5,nodes!A:D,4,0)</f>
        <v>300</v>
      </c>
      <c r="L5" s="4">
        <f t="shared" si="2"/>
        <v>30</v>
      </c>
      <c r="N5" s="12">
        <f t="shared" si="3"/>
        <v>7437500</v>
      </c>
      <c r="O5" s="12">
        <f t="shared" si="4"/>
        <v>42840000</v>
      </c>
      <c r="P5" s="12">
        <f t="shared" si="5"/>
        <v>11900</v>
      </c>
    </row>
    <row r="6" spans="1:17" x14ac:dyDescent="0.25">
      <c r="A6" s="3">
        <v>5</v>
      </c>
      <c r="B6" s="3">
        <v>5</v>
      </c>
      <c r="C6" s="3">
        <v>6</v>
      </c>
      <c r="D6" s="2">
        <v>11140</v>
      </c>
      <c r="E6" s="2">
        <f t="shared" si="0"/>
        <v>5492.5</v>
      </c>
      <c r="F6" s="2">
        <v>2380</v>
      </c>
      <c r="G6" s="2">
        <f t="shared" si="1"/>
        <v>991.66666666666674</v>
      </c>
      <c r="H6" s="4">
        <f>VLOOKUP(B6,nodes!A:D,2,0)</f>
        <v>120</v>
      </c>
      <c r="I6" s="4">
        <f>VLOOKUP(B6,nodes!A:D,4,0)</f>
        <v>300</v>
      </c>
      <c r="J6" s="4">
        <f>VLOOKUP(C6,nodes!A:D,2,0)</f>
        <v>150</v>
      </c>
      <c r="K6" s="4">
        <f>VLOOKUP(C6,nodes!A:D,4,0)</f>
        <v>300</v>
      </c>
      <c r="L6" s="4">
        <f t="shared" si="2"/>
        <v>30</v>
      </c>
      <c r="N6" s="12">
        <f t="shared" si="3"/>
        <v>7437500</v>
      </c>
      <c r="O6" s="12">
        <f t="shared" si="4"/>
        <v>42840000</v>
      </c>
      <c r="P6" s="12">
        <f t="shared" si="5"/>
        <v>11900</v>
      </c>
    </row>
    <row r="7" spans="1:17" x14ac:dyDescent="0.25">
      <c r="A7" s="3">
        <v>6</v>
      </c>
      <c r="B7" s="3">
        <v>6</v>
      </c>
      <c r="C7" s="3">
        <v>7</v>
      </c>
      <c r="D7" s="2">
        <v>11140</v>
      </c>
      <c r="E7" s="2">
        <f t="shared" si="0"/>
        <v>5492.5</v>
      </c>
      <c r="F7" s="2">
        <v>2380</v>
      </c>
      <c r="G7" s="2">
        <f t="shared" si="1"/>
        <v>991.66666666666674</v>
      </c>
      <c r="H7" s="4">
        <f>VLOOKUP(B7,nodes!A:D,2,0)</f>
        <v>150</v>
      </c>
      <c r="I7" s="4">
        <f>VLOOKUP(B7,nodes!A:D,4,0)</f>
        <v>300</v>
      </c>
      <c r="J7" s="4">
        <f>VLOOKUP(C7,nodes!A:D,2,0)</f>
        <v>180</v>
      </c>
      <c r="K7" s="4">
        <f>VLOOKUP(C7,nodes!A:D,4,0)</f>
        <v>300</v>
      </c>
      <c r="L7" s="4">
        <f t="shared" si="2"/>
        <v>30</v>
      </c>
      <c r="N7" s="12">
        <f t="shared" si="3"/>
        <v>7437500</v>
      </c>
      <c r="O7" s="12">
        <f t="shared" si="4"/>
        <v>42840000</v>
      </c>
      <c r="P7" s="12">
        <f t="shared" si="5"/>
        <v>11900</v>
      </c>
    </row>
    <row r="8" spans="1:17" x14ac:dyDescent="0.25">
      <c r="A8" s="3">
        <v>7</v>
      </c>
      <c r="B8" s="3">
        <v>7</v>
      </c>
      <c r="C8" s="3">
        <v>8</v>
      </c>
      <c r="D8" s="2">
        <v>11140</v>
      </c>
      <c r="E8" s="2">
        <f t="shared" si="0"/>
        <v>5492.5</v>
      </c>
      <c r="F8" s="2">
        <v>2380</v>
      </c>
      <c r="G8" s="2">
        <f t="shared" si="1"/>
        <v>991.66666666666674</v>
      </c>
      <c r="H8" s="4">
        <f>VLOOKUP(B8,nodes!A:D,2,0)</f>
        <v>180</v>
      </c>
      <c r="I8" s="4">
        <f>VLOOKUP(B8,nodes!A:D,4,0)</f>
        <v>300</v>
      </c>
      <c r="J8" s="4">
        <f>VLOOKUP(C8,nodes!A:D,2,0)</f>
        <v>210</v>
      </c>
      <c r="K8" s="4">
        <f>VLOOKUP(C8,nodes!A:D,4,0)</f>
        <v>300</v>
      </c>
      <c r="L8" s="4">
        <f t="shared" si="2"/>
        <v>30</v>
      </c>
      <c r="N8" s="12">
        <f t="shared" si="3"/>
        <v>7437500</v>
      </c>
      <c r="O8" s="12">
        <f t="shared" si="4"/>
        <v>42840000</v>
      </c>
      <c r="P8" s="12">
        <f t="shared" si="5"/>
        <v>11900</v>
      </c>
    </row>
    <row r="9" spans="1:17" x14ac:dyDescent="0.25">
      <c r="A9" s="3">
        <v>8</v>
      </c>
      <c r="B9" s="3">
        <v>8</v>
      </c>
      <c r="C9" s="3">
        <v>9</v>
      </c>
      <c r="D9" s="2">
        <v>11140</v>
      </c>
      <c r="E9" s="2">
        <f t="shared" si="0"/>
        <v>5492.5</v>
      </c>
      <c r="F9" s="2">
        <v>2380</v>
      </c>
      <c r="G9" s="2">
        <f t="shared" si="1"/>
        <v>991.66666666666674</v>
      </c>
      <c r="H9" s="4">
        <f>VLOOKUP(B9,nodes!A:D,2,0)</f>
        <v>210</v>
      </c>
      <c r="I9" s="4">
        <f>VLOOKUP(B9,nodes!A:D,4,0)</f>
        <v>300</v>
      </c>
      <c r="J9" s="4">
        <f>VLOOKUP(C9,nodes!A:D,2,0)</f>
        <v>240</v>
      </c>
      <c r="K9" s="4">
        <f>VLOOKUP(C9,nodes!A:D,4,0)</f>
        <v>300</v>
      </c>
      <c r="L9" s="4">
        <f t="shared" si="2"/>
        <v>30</v>
      </c>
      <c r="N9" s="12">
        <f t="shared" si="3"/>
        <v>7437500</v>
      </c>
      <c r="O9" s="12">
        <f t="shared" si="4"/>
        <v>42840000</v>
      </c>
      <c r="P9" s="12">
        <f t="shared" si="5"/>
        <v>11900</v>
      </c>
    </row>
    <row r="10" spans="1:17" x14ac:dyDescent="0.25">
      <c r="A10" s="3">
        <v>9</v>
      </c>
      <c r="B10" s="3">
        <v>9</v>
      </c>
      <c r="C10" s="3">
        <v>10</v>
      </c>
      <c r="D10" s="2">
        <v>11140</v>
      </c>
      <c r="E10" s="2">
        <f t="shared" si="0"/>
        <v>5492.5</v>
      </c>
      <c r="F10" s="2">
        <v>2380</v>
      </c>
      <c r="G10" s="2">
        <f t="shared" si="1"/>
        <v>991.66666666666674</v>
      </c>
      <c r="H10" s="4">
        <f>VLOOKUP(B10,nodes!A:D,2,0)</f>
        <v>240</v>
      </c>
      <c r="I10" s="4">
        <f>VLOOKUP(B10,nodes!A:D,4,0)</f>
        <v>300</v>
      </c>
      <c r="J10" s="4">
        <f>VLOOKUP(C10,nodes!A:D,2,0)</f>
        <v>270</v>
      </c>
      <c r="K10" s="4">
        <f>VLOOKUP(C10,nodes!A:D,4,0)</f>
        <v>300</v>
      </c>
      <c r="L10" s="4">
        <f t="shared" si="2"/>
        <v>30</v>
      </c>
      <c r="N10" s="12">
        <f t="shared" si="3"/>
        <v>7437500</v>
      </c>
      <c r="O10" s="12">
        <f t="shared" si="4"/>
        <v>42840000</v>
      </c>
      <c r="P10" s="12">
        <f t="shared" si="5"/>
        <v>11900</v>
      </c>
    </row>
    <row r="11" spans="1:17" x14ac:dyDescent="0.25">
      <c r="A11" s="3">
        <v>10</v>
      </c>
      <c r="B11" s="3">
        <v>10</v>
      </c>
      <c r="C11" s="3">
        <v>11</v>
      </c>
      <c r="D11" s="2">
        <v>11140</v>
      </c>
      <c r="E11" s="2">
        <f t="shared" si="0"/>
        <v>5492.5</v>
      </c>
      <c r="F11" s="2">
        <v>2380</v>
      </c>
      <c r="G11" s="2">
        <f t="shared" si="1"/>
        <v>991.66666666666674</v>
      </c>
      <c r="H11" s="4">
        <f>VLOOKUP(B11,nodes!A:D,2,0)</f>
        <v>270</v>
      </c>
      <c r="I11" s="4">
        <f>VLOOKUP(B11,nodes!A:D,4,0)</f>
        <v>300</v>
      </c>
      <c r="J11" s="4">
        <f>VLOOKUP(C11,nodes!A:D,2,0)</f>
        <v>300</v>
      </c>
      <c r="K11" s="4">
        <f>VLOOKUP(C11,nodes!A:D,4,0)</f>
        <v>300</v>
      </c>
      <c r="L11" s="4">
        <f t="shared" si="2"/>
        <v>30</v>
      </c>
      <c r="N11" s="12">
        <f t="shared" si="3"/>
        <v>7437500</v>
      </c>
      <c r="O11" s="12">
        <f t="shared" si="4"/>
        <v>42840000</v>
      </c>
      <c r="P11" s="12">
        <f t="shared" si="5"/>
        <v>11900</v>
      </c>
    </row>
    <row r="12" spans="1:17" x14ac:dyDescent="0.25">
      <c r="A12" s="3">
        <v>11</v>
      </c>
      <c r="B12" s="3">
        <v>11</v>
      </c>
      <c r="C12" s="3">
        <v>12</v>
      </c>
      <c r="D12" s="2">
        <v>11140</v>
      </c>
      <c r="E12" s="2">
        <f t="shared" si="0"/>
        <v>5492.5</v>
      </c>
      <c r="F12" s="2">
        <v>2380</v>
      </c>
      <c r="G12" s="2">
        <f t="shared" si="1"/>
        <v>991.66666666666674</v>
      </c>
      <c r="H12" s="4">
        <f>VLOOKUP(B12,nodes!A:D,2,0)</f>
        <v>300</v>
      </c>
      <c r="I12" s="4">
        <f>VLOOKUP(B12,nodes!A:D,4,0)</f>
        <v>300</v>
      </c>
      <c r="J12" s="4">
        <f>VLOOKUP(C12,nodes!A:D,2,0)</f>
        <v>330</v>
      </c>
      <c r="K12" s="4">
        <f>VLOOKUP(C12,nodes!A:D,4,0)</f>
        <v>300</v>
      </c>
      <c r="L12" s="4">
        <f t="shared" si="2"/>
        <v>30</v>
      </c>
      <c r="N12" s="12">
        <f t="shared" si="3"/>
        <v>7437500</v>
      </c>
      <c r="O12" s="12">
        <f t="shared" si="4"/>
        <v>42840000</v>
      </c>
      <c r="P12" s="12">
        <f t="shared" si="5"/>
        <v>11900</v>
      </c>
    </row>
    <row r="13" spans="1:17" x14ac:dyDescent="0.25">
      <c r="A13" s="3">
        <v>12</v>
      </c>
      <c r="B13" s="3">
        <v>12</v>
      </c>
      <c r="C13" s="3">
        <v>13</v>
      </c>
      <c r="D13" s="2">
        <v>11140</v>
      </c>
      <c r="E13" s="2">
        <f t="shared" si="0"/>
        <v>5492.5</v>
      </c>
      <c r="F13" s="2">
        <v>2380</v>
      </c>
      <c r="G13" s="2">
        <f t="shared" si="1"/>
        <v>991.66666666666674</v>
      </c>
      <c r="H13" s="4">
        <f>VLOOKUP(B13,nodes!A:D,2,0)</f>
        <v>330</v>
      </c>
      <c r="I13" s="4">
        <f>VLOOKUP(B13,nodes!A:D,4,0)</f>
        <v>300</v>
      </c>
      <c r="J13" s="4">
        <f>VLOOKUP(C13,nodes!A:D,2,0)</f>
        <v>360</v>
      </c>
      <c r="K13" s="4">
        <f>VLOOKUP(C13,nodes!A:D,4,0)</f>
        <v>300</v>
      </c>
      <c r="L13" s="4">
        <f t="shared" si="2"/>
        <v>30</v>
      </c>
      <c r="N13" s="12">
        <f t="shared" si="3"/>
        <v>7437500</v>
      </c>
      <c r="O13" s="12">
        <f t="shared" si="4"/>
        <v>42840000</v>
      </c>
      <c r="P13" s="12">
        <f t="shared" si="5"/>
        <v>11900</v>
      </c>
    </row>
    <row r="14" spans="1:17" x14ac:dyDescent="0.25">
      <c r="A14" s="3">
        <v>13</v>
      </c>
      <c r="B14" s="3">
        <v>13</v>
      </c>
      <c r="C14" s="3">
        <v>14</v>
      </c>
      <c r="D14" s="2">
        <v>11140</v>
      </c>
      <c r="E14" s="2">
        <f t="shared" si="0"/>
        <v>5492.5</v>
      </c>
      <c r="F14" s="2">
        <v>2380</v>
      </c>
      <c r="G14" s="2">
        <f t="shared" si="1"/>
        <v>991.66666666666674</v>
      </c>
      <c r="H14" s="4">
        <f>VLOOKUP(B14,nodes!A:D,2,0)</f>
        <v>360</v>
      </c>
      <c r="I14" s="4">
        <f>VLOOKUP(B14,nodes!A:D,4,0)</f>
        <v>300</v>
      </c>
      <c r="J14" s="4">
        <f>VLOOKUP(C14,nodes!A:D,2,0)</f>
        <v>390</v>
      </c>
      <c r="K14" s="4">
        <f>VLOOKUP(C14,nodes!A:D,4,0)</f>
        <v>300</v>
      </c>
      <c r="L14" s="4">
        <f t="shared" si="2"/>
        <v>30</v>
      </c>
      <c r="N14" s="12">
        <f t="shared" si="3"/>
        <v>7437500</v>
      </c>
      <c r="O14" s="12">
        <f t="shared" si="4"/>
        <v>42840000</v>
      </c>
      <c r="P14" s="12">
        <f t="shared" si="5"/>
        <v>11900</v>
      </c>
    </row>
    <row r="15" spans="1:17" x14ac:dyDescent="0.25">
      <c r="A15" s="3">
        <v>14</v>
      </c>
      <c r="B15" s="3">
        <v>14</v>
      </c>
      <c r="C15" s="3">
        <v>15</v>
      </c>
      <c r="D15" s="2">
        <v>11140</v>
      </c>
      <c r="E15" s="2">
        <f t="shared" si="0"/>
        <v>5492.5</v>
      </c>
      <c r="F15" s="2">
        <v>2380</v>
      </c>
      <c r="G15" s="2">
        <f t="shared" si="1"/>
        <v>991.66666666666674</v>
      </c>
      <c r="H15" s="4">
        <f>VLOOKUP(B15,nodes!A:D,2,0)</f>
        <v>390</v>
      </c>
      <c r="I15" s="4">
        <f>VLOOKUP(B15,nodes!A:D,4,0)</f>
        <v>300</v>
      </c>
      <c r="J15" s="4">
        <f>VLOOKUP(C15,nodes!A:D,2,0)</f>
        <v>420</v>
      </c>
      <c r="K15" s="4">
        <f>VLOOKUP(C15,nodes!A:D,4,0)</f>
        <v>300</v>
      </c>
      <c r="L15" s="4">
        <f t="shared" si="2"/>
        <v>30</v>
      </c>
      <c r="N15" s="12">
        <f t="shared" si="3"/>
        <v>7437500</v>
      </c>
      <c r="O15" s="12">
        <f t="shared" si="4"/>
        <v>42840000</v>
      </c>
      <c r="P15" s="12">
        <f t="shared" si="5"/>
        <v>11900</v>
      </c>
    </row>
    <row r="16" spans="1:17" x14ac:dyDescent="0.25">
      <c r="A16" s="3">
        <v>15</v>
      </c>
      <c r="B16" s="3">
        <v>15</v>
      </c>
      <c r="C16" s="3">
        <v>16</v>
      </c>
      <c r="D16" s="2">
        <v>11140</v>
      </c>
      <c r="E16" s="2">
        <f t="shared" si="0"/>
        <v>5492.5</v>
      </c>
      <c r="F16" s="2">
        <v>2380</v>
      </c>
      <c r="G16" s="2">
        <f t="shared" si="1"/>
        <v>991.66666666666674</v>
      </c>
      <c r="H16" s="4">
        <f>VLOOKUP(B16,nodes!A:D,2,0)</f>
        <v>420</v>
      </c>
      <c r="I16" s="4">
        <f>VLOOKUP(B16,nodes!A:D,4,0)</f>
        <v>300</v>
      </c>
      <c r="J16" s="4">
        <f>VLOOKUP(C16,nodes!A:D,2,0)</f>
        <v>450</v>
      </c>
      <c r="K16" s="4">
        <f>VLOOKUP(C16,nodes!A:D,4,0)</f>
        <v>300</v>
      </c>
      <c r="L16" s="4">
        <f t="shared" si="2"/>
        <v>30</v>
      </c>
      <c r="N16" s="12">
        <f t="shared" si="3"/>
        <v>7437500</v>
      </c>
      <c r="O16" s="12">
        <f t="shared" si="4"/>
        <v>42840000</v>
      </c>
      <c r="P16" s="12">
        <f t="shared" si="5"/>
        <v>11900</v>
      </c>
    </row>
    <row r="17" spans="1:16" x14ac:dyDescent="0.25">
      <c r="A17" s="3">
        <v>16</v>
      </c>
      <c r="B17" s="3">
        <v>16</v>
      </c>
      <c r="C17" s="3">
        <v>17</v>
      </c>
      <c r="D17" s="2">
        <v>11140</v>
      </c>
      <c r="E17" s="2">
        <f t="shared" si="0"/>
        <v>5492.5</v>
      </c>
      <c r="F17" s="2">
        <v>2380</v>
      </c>
      <c r="G17" s="2">
        <f t="shared" si="1"/>
        <v>991.66666666666674</v>
      </c>
      <c r="H17" s="4">
        <f>VLOOKUP(B17,nodes!A:D,2,0)</f>
        <v>450</v>
      </c>
      <c r="I17" s="4">
        <f>VLOOKUP(B17,nodes!A:D,4,0)</f>
        <v>300</v>
      </c>
      <c r="J17" s="4">
        <f>VLOOKUP(C17,nodes!A:D,2,0)</f>
        <v>480</v>
      </c>
      <c r="K17" s="4">
        <f>VLOOKUP(C17,nodes!A:D,4,0)</f>
        <v>300</v>
      </c>
      <c r="L17" s="4">
        <f t="shared" si="2"/>
        <v>30</v>
      </c>
      <c r="N17" s="12">
        <f t="shared" si="3"/>
        <v>7437500</v>
      </c>
      <c r="O17" s="12">
        <f t="shared" si="4"/>
        <v>42840000</v>
      </c>
      <c r="P17" s="12">
        <f t="shared" si="5"/>
        <v>11900</v>
      </c>
    </row>
    <row r="18" spans="1:16" x14ac:dyDescent="0.25">
      <c r="A18" s="3">
        <v>17</v>
      </c>
      <c r="B18" s="3">
        <v>17</v>
      </c>
      <c r="C18" s="3">
        <v>18</v>
      </c>
      <c r="D18" s="2">
        <v>11140</v>
      </c>
      <c r="E18" s="2">
        <f t="shared" si="0"/>
        <v>5492.5</v>
      </c>
      <c r="F18" s="2">
        <v>2380</v>
      </c>
      <c r="G18" s="2">
        <f t="shared" si="1"/>
        <v>991.66666666666674</v>
      </c>
      <c r="H18" s="4">
        <f>VLOOKUP(B18,nodes!A:D,2,0)</f>
        <v>480</v>
      </c>
      <c r="I18" s="4">
        <f>VLOOKUP(B18,nodes!A:D,4,0)</f>
        <v>300</v>
      </c>
      <c r="J18" s="4">
        <f>VLOOKUP(C18,nodes!A:D,2,0)</f>
        <v>509.99999999999994</v>
      </c>
      <c r="K18" s="4">
        <f>VLOOKUP(C18,nodes!A:D,4,0)</f>
        <v>300</v>
      </c>
      <c r="L18" s="4">
        <f t="shared" si="2"/>
        <v>29.999999999999943</v>
      </c>
      <c r="N18" s="12">
        <f t="shared" si="3"/>
        <v>7437500</v>
      </c>
      <c r="O18" s="12">
        <f t="shared" si="4"/>
        <v>42840000</v>
      </c>
      <c r="P18" s="12">
        <f t="shared" si="5"/>
        <v>11900</v>
      </c>
    </row>
    <row r="19" spans="1:16" x14ac:dyDescent="0.25">
      <c r="A19" s="3">
        <v>18</v>
      </c>
      <c r="B19" s="3">
        <v>18</v>
      </c>
      <c r="C19" s="3">
        <v>19</v>
      </c>
      <c r="D19" s="2">
        <v>11140</v>
      </c>
      <c r="E19" s="2">
        <f t="shared" si="0"/>
        <v>5492.5</v>
      </c>
      <c r="F19" s="2">
        <v>2380</v>
      </c>
      <c r="G19" s="2">
        <f t="shared" si="1"/>
        <v>991.66666666666674</v>
      </c>
      <c r="H19" s="4">
        <f>VLOOKUP(B19,nodes!A:D,2,0)</f>
        <v>509.99999999999994</v>
      </c>
      <c r="I19" s="4">
        <f>VLOOKUP(B19,nodes!A:D,4,0)</f>
        <v>300</v>
      </c>
      <c r="J19" s="4">
        <f>VLOOKUP(C19,nodes!A:D,2,0)</f>
        <v>540</v>
      </c>
      <c r="K19" s="4">
        <f>VLOOKUP(C19,nodes!A:D,4,0)</f>
        <v>300</v>
      </c>
      <c r="L19" s="4">
        <f t="shared" si="2"/>
        <v>30.000000000000057</v>
      </c>
      <c r="N19" s="12">
        <f t="shared" si="3"/>
        <v>7437500</v>
      </c>
      <c r="O19" s="12">
        <f t="shared" si="4"/>
        <v>42840000</v>
      </c>
      <c r="P19" s="12">
        <f t="shared" si="5"/>
        <v>11900</v>
      </c>
    </row>
    <row r="20" spans="1:16" x14ac:dyDescent="0.25">
      <c r="A20" s="3">
        <v>19</v>
      </c>
      <c r="B20" s="3">
        <v>19</v>
      </c>
      <c r="C20" s="3">
        <v>20</v>
      </c>
      <c r="D20" s="2">
        <v>11140</v>
      </c>
      <c r="E20" s="2">
        <f t="shared" si="0"/>
        <v>5492.5</v>
      </c>
      <c r="F20" s="2">
        <v>2380</v>
      </c>
      <c r="G20" s="2">
        <f t="shared" si="1"/>
        <v>991.66666666666674</v>
      </c>
      <c r="H20" s="4">
        <f>VLOOKUP(B20,nodes!A:D,2,0)</f>
        <v>540</v>
      </c>
      <c r="I20" s="4">
        <f>VLOOKUP(B20,nodes!A:D,4,0)</f>
        <v>300</v>
      </c>
      <c r="J20" s="4">
        <f>VLOOKUP(C20,nodes!A:D,2,0)</f>
        <v>570</v>
      </c>
      <c r="K20" s="4">
        <f>VLOOKUP(C20,nodes!A:D,4,0)</f>
        <v>300</v>
      </c>
      <c r="L20" s="4">
        <f t="shared" si="2"/>
        <v>30</v>
      </c>
      <c r="N20" s="12">
        <f t="shared" si="3"/>
        <v>7437500</v>
      </c>
      <c r="O20" s="12">
        <f t="shared" si="4"/>
        <v>42840000</v>
      </c>
      <c r="P20" s="12">
        <f t="shared" si="5"/>
        <v>11900</v>
      </c>
    </row>
    <row r="21" spans="1:16" x14ac:dyDescent="0.25">
      <c r="A21" s="3">
        <v>20</v>
      </c>
      <c r="B21" s="3">
        <v>20</v>
      </c>
      <c r="C21" s="3">
        <v>21</v>
      </c>
      <c r="D21" s="2">
        <v>11140</v>
      </c>
      <c r="E21" s="2">
        <f t="shared" si="0"/>
        <v>5492.5</v>
      </c>
      <c r="F21" s="2">
        <v>2380</v>
      </c>
      <c r="G21" s="2">
        <f t="shared" si="1"/>
        <v>991.66666666666674</v>
      </c>
      <c r="H21" s="4">
        <f>VLOOKUP(B21,nodes!A:D,2,0)</f>
        <v>570</v>
      </c>
      <c r="I21" s="4">
        <f>VLOOKUP(B21,nodes!A:D,4,0)</f>
        <v>300</v>
      </c>
      <c r="J21" s="4">
        <f>VLOOKUP(C21,nodes!A:D,2,0)</f>
        <v>600</v>
      </c>
      <c r="K21" s="4">
        <f>VLOOKUP(C21,nodes!A:D,4,0)</f>
        <v>300</v>
      </c>
      <c r="L21" s="4">
        <f t="shared" si="2"/>
        <v>30</v>
      </c>
      <c r="N21" s="12">
        <f t="shared" si="3"/>
        <v>7437500</v>
      </c>
      <c r="O21" s="12">
        <f t="shared" si="4"/>
        <v>42840000</v>
      </c>
      <c r="P21" s="12">
        <f t="shared" si="5"/>
        <v>11900</v>
      </c>
    </row>
    <row r="22" spans="1:16" x14ac:dyDescent="0.25">
      <c r="A22" s="3">
        <v>21</v>
      </c>
      <c r="B22" s="3">
        <v>22</v>
      </c>
      <c r="C22" s="3">
        <v>23</v>
      </c>
      <c r="D22" s="2">
        <v>11140</v>
      </c>
      <c r="E22" s="2">
        <f t="shared" si="0"/>
        <v>5492.5</v>
      </c>
      <c r="F22" s="2">
        <v>2380</v>
      </c>
      <c r="G22" s="2">
        <f t="shared" si="1"/>
        <v>991.66666666666674</v>
      </c>
      <c r="H22" s="4">
        <f>VLOOKUP(B22,nodes!A:D,2,0)</f>
        <v>0</v>
      </c>
      <c r="I22" s="4">
        <f>VLOOKUP(B22,nodes!A:D,4,0)</f>
        <v>270</v>
      </c>
      <c r="J22" s="4">
        <f>VLOOKUP(C22,nodes!A:D,2,0)</f>
        <v>30</v>
      </c>
      <c r="K22" s="4">
        <f>VLOOKUP(C22,nodes!A:D,4,0)</f>
        <v>270</v>
      </c>
      <c r="L22" s="4">
        <f t="shared" si="2"/>
        <v>30</v>
      </c>
      <c r="N22" s="12">
        <f t="shared" si="3"/>
        <v>7437500</v>
      </c>
      <c r="O22" s="12">
        <f t="shared" si="4"/>
        <v>42840000</v>
      </c>
      <c r="P22" s="12">
        <f t="shared" si="5"/>
        <v>11900</v>
      </c>
    </row>
    <row r="23" spans="1:16" x14ac:dyDescent="0.25">
      <c r="A23" s="3">
        <v>22</v>
      </c>
      <c r="B23" s="3">
        <v>23</v>
      </c>
      <c r="C23" s="3">
        <v>24</v>
      </c>
      <c r="D23" s="2">
        <v>11140</v>
      </c>
      <c r="E23" s="2">
        <f t="shared" si="0"/>
        <v>5492.5</v>
      </c>
      <c r="F23" s="2">
        <v>2380</v>
      </c>
      <c r="G23" s="2">
        <f t="shared" si="1"/>
        <v>991.66666666666674</v>
      </c>
      <c r="H23" s="4">
        <f>VLOOKUP(B23,nodes!A:D,2,0)</f>
        <v>30</v>
      </c>
      <c r="I23" s="4">
        <f>VLOOKUP(B23,nodes!A:D,4,0)</f>
        <v>270</v>
      </c>
      <c r="J23" s="4">
        <f>VLOOKUP(C23,nodes!A:D,2,0)</f>
        <v>60</v>
      </c>
      <c r="K23" s="4">
        <f>VLOOKUP(C23,nodes!A:D,4,0)</f>
        <v>270</v>
      </c>
      <c r="L23" s="4">
        <f t="shared" si="2"/>
        <v>30</v>
      </c>
      <c r="N23" s="12">
        <f t="shared" si="3"/>
        <v>7437500</v>
      </c>
      <c r="O23" s="12">
        <f t="shared" si="4"/>
        <v>42840000</v>
      </c>
      <c r="P23" s="12">
        <f t="shared" si="5"/>
        <v>11900</v>
      </c>
    </row>
    <row r="24" spans="1:16" x14ac:dyDescent="0.25">
      <c r="A24" s="3">
        <v>23</v>
      </c>
      <c r="B24" s="3">
        <v>24</v>
      </c>
      <c r="C24" s="3">
        <v>25</v>
      </c>
      <c r="D24" s="2">
        <v>11140</v>
      </c>
      <c r="E24" s="2">
        <f t="shared" si="0"/>
        <v>5492.5</v>
      </c>
      <c r="F24" s="2">
        <v>2380</v>
      </c>
      <c r="G24" s="2">
        <f t="shared" si="1"/>
        <v>991.66666666666674</v>
      </c>
      <c r="H24" s="4">
        <f>VLOOKUP(B24,nodes!A:D,2,0)</f>
        <v>60</v>
      </c>
      <c r="I24" s="4">
        <f>VLOOKUP(B24,nodes!A:D,4,0)</f>
        <v>270</v>
      </c>
      <c r="J24" s="4">
        <f>VLOOKUP(C24,nodes!A:D,2,0)</f>
        <v>90</v>
      </c>
      <c r="K24" s="4">
        <f>VLOOKUP(C24,nodes!A:D,4,0)</f>
        <v>270</v>
      </c>
      <c r="L24" s="4">
        <f t="shared" si="2"/>
        <v>30</v>
      </c>
      <c r="N24" s="12">
        <f t="shared" si="3"/>
        <v>7437500</v>
      </c>
      <c r="O24" s="12">
        <f t="shared" si="4"/>
        <v>42840000</v>
      </c>
      <c r="P24" s="12">
        <f t="shared" si="5"/>
        <v>11900</v>
      </c>
    </row>
    <row r="25" spans="1:16" x14ac:dyDescent="0.25">
      <c r="A25" s="3">
        <v>24</v>
      </c>
      <c r="B25" s="3">
        <v>25</v>
      </c>
      <c r="C25" s="3">
        <v>26</v>
      </c>
      <c r="D25" s="2">
        <v>11140</v>
      </c>
      <c r="E25" s="2">
        <f t="shared" si="0"/>
        <v>5492.5</v>
      </c>
      <c r="F25" s="2">
        <v>2380</v>
      </c>
      <c r="G25" s="2">
        <f t="shared" si="1"/>
        <v>991.66666666666674</v>
      </c>
      <c r="H25" s="4">
        <f>VLOOKUP(B25,nodes!A:D,2,0)</f>
        <v>90</v>
      </c>
      <c r="I25" s="4">
        <f>VLOOKUP(B25,nodes!A:D,4,0)</f>
        <v>270</v>
      </c>
      <c r="J25" s="4">
        <f>VLOOKUP(C25,nodes!A:D,2,0)</f>
        <v>120</v>
      </c>
      <c r="K25" s="4">
        <f>VLOOKUP(C25,nodes!A:D,4,0)</f>
        <v>270</v>
      </c>
      <c r="L25" s="4">
        <f t="shared" si="2"/>
        <v>30</v>
      </c>
      <c r="N25" s="12">
        <f t="shared" si="3"/>
        <v>7437500</v>
      </c>
      <c r="O25" s="12">
        <f t="shared" si="4"/>
        <v>42840000</v>
      </c>
      <c r="P25" s="12">
        <f t="shared" si="5"/>
        <v>11900</v>
      </c>
    </row>
    <row r="26" spans="1:16" x14ac:dyDescent="0.25">
      <c r="A26" s="3">
        <v>25</v>
      </c>
      <c r="B26" s="3">
        <v>26</v>
      </c>
      <c r="C26" s="3">
        <v>27</v>
      </c>
      <c r="D26" s="2">
        <v>11140</v>
      </c>
      <c r="E26" s="2">
        <f t="shared" si="0"/>
        <v>5492.5</v>
      </c>
      <c r="F26" s="2">
        <v>2380</v>
      </c>
      <c r="G26" s="2">
        <f t="shared" si="1"/>
        <v>991.66666666666674</v>
      </c>
      <c r="H26" s="4">
        <f>VLOOKUP(B26,nodes!A:D,2,0)</f>
        <v>120</v>
      </c>
      <c r="I26" s="4">
        <f>VLOOKUP(B26,nodes!A:D,4,0)</f>
        <v>270</v>
      </c>
      <c r="J26" s="4">
        <f>VLOOKUP(C26,nodes!A:D,2,0)</f>
        <v>150</v>
      </c>
      <c r="K26" s="4">
        <f>VLOOKUP(C26,nodes!A:D,4,0)</f>
        <v>270</v>
      </c>
      <c r="L26" s="4">
        <f t="shared" si="2"/>
        <v>30</v>
      </c>
      <c r="N26" s="12">
        <f t="shared" si="3"/>
        <v>7437500</v>
      </c>
      <c r="O26" s="12">
        <f t="shared" si="4"/>
        <v>42840000</v>
      </c>
      <c r="P26" s="12">
        <f t="shared" si="5"/>
        <v>11900</v>
      </c>
    </row>
    <row r="27" spans="1:16" x14ac:dyDescent="0.25">
      <c r="A27" s="3">
        <v>26</v>
      </c>
      <c r="B27" s="3">
        <v>27</v>
      </c>
      <c r="C27" s="3">
        <v>28</v>
      </c>
      <c r="D27" s="2">
        <v>11140</v>
      </c>
      <c r="E27" s="2">
        <f t="shared" si="0"/>
        <v>5492.5</v>
      </c>
      <c r="F27" s="2">
        <v>2380</v>
      </c>
      <c r="G27" s="2">
        <f t="shared" si="1"/>
        <v>991.66666666666674</v>
      </c>
      <c r="H27" s="4">
        <f>VLOOKUP(B27,nodes!A:D,2,0)</f>
        <v>150</v>
      </c>
      <c r="I27" s="4">
        <f>VLOOKUP(B27,nodes!A:D,4,0)</f>
        <v>270</v>
      </c>
      <c r="J27" s="4">
        <f>VLOOKUP(C27,nodes!A:D,2,0)</f>
        <v>180</v>
      </c>
      <c r="K27" s="4">
        <f>VLOOKUP(C27,nodes!A:D,4,0)</f>
        <v>270</v>
      </c>
      <c r="L27" s="4">
        <f t="shared" si="2"/>
        <v>30</v>
      </c>
      <c r="N27" s="12">
        <f t="shared" si="3"/>
        <v>7437500</v>
      </c>
      <c r="O27" s="12">
        <f t="shared" si="4"/>
        <v>42840000</v>
      </c>
      <c r="P27" s="12">
        <f t="shared" si="5"/>
        <v>11900</v>
      </c>
    </row>
    <row r="28" spans="1:16" x14ac:dyDescent="0.25">
      <c r="A28" s="3">
        <v>27</v>
      </c>
      <c r="B28" s="3">
        <v>28</v>
      </c>
      <c r="C28" s="3">
        <v>29</v>
      </c>
      <c r="D28" s="2">
        <v>11140</v>
      </c>
      <c r="E28" s="2">
        <f t="shared" si="0"/>
        <v>5492.5</v>
      </c>
      <c r="F28" s="2">
        <v>2380</v>
      </c>
      <c r="G28" s="2">
        <f t="shared" si="1"/>
        <v>991.66666666666674</v>
      </c>
      <c r="H28" s="4">
        <f>VLOOKUP(B28,nodes!A:D,2,0)</f>
        <v>180</v>
      </c>
      <c r="I28" s="4">
        <f>VLOOKUP(B28,nodes!A:D,4,0)</f>
        <v>270</v>
      </c>
      <c r="J28" s="4">
        <f>VLOOKUP(C28,nodes!A:D,2,0)</f>
        <v>210</v>
      </c>
      <c r="K28" s="4">
        <f>VLOOKUP(C28,nodes!A:D,4,0)</f>
        <v>270</v>
      </c>
      <c r="L28" s="4">
        <f t="shared" si="2"/>
        <v>30</v>
      </c>
      <c r="N28" s="12">
        <f t="shared" si="3"/>
        <v>7437500</v>
      </c>
      <c r="O28" s="12">
        <f t="shared" si="4"/>
        <v>42840000</v>
      </c>
      <c r="P28" s="12">
        <f t="shared" si="5"/>
        <v>11900</v>
      </c>
    </row>
    <row r="29" spans="1:16" x14ac:dyDescent="0.25">
      <c r="A29" s="3">
        <v>28</v>
      </c>
      <c r="B29" s="3">
        <v>29</v>
      </c>
      <c r="C29" s="3">
        <v>30</v>
      </c>
      <c r="D29" s="2">
        <v>11140</v>
      </c>
      <c r="E29" s="2">
        <f t="shared" si="0"/>
        <v>5492.5</v>
      </c>
      <c r="F29" s="2">
        <v>2380</v>
      </c>
      <c r="G29" s="2">
        <f t="shared" si="1"/>
        <v>991.66666666666674</v>
      </c>
      <c r="H29" s="4">
        <f>VLOOKUP(B29,nodes!A:D,2,0)</f>
        <v>210</v>
      </c>
      <c r="I29" s="4">
        <f>VLOOKUP(B29,nodes!A:D,4,0)</f>
        <v>270</v>
      </c>
      <c r="J29" s="4">
        <f>VLOOKUP(C29,nodes!A:D,2,0)</f>
        <v>240</v>
      </c>
      <c r="K29" s="4">
        <f>VLOOKUP(C29,nodes!A:D,4,0)</f>
        <v>270</v>
      </c>
      <c r="L29" s="4">
        <f t="shared" si="2"/>
        <v>30</v>
      </c>
      <c r="N29" s="12">
        <f t="shared" si="3"/>
        <v>7437500</v>
      </c>
      <c r="O29" s="12">
        <f t="shared" si="4"/>
        <v>42840000</v>
      </c>
      <c r="P29" s="12">
        <f t="shared" si="5"/>
        <v>11900</v>
      </c>
    </row>
    <row r="30" spans="1:16" x14ac:dyDescent="0.25">
      <c r="A30" s="3">
        <v>29</v>
      </c>
      <c r="B30" s="3">
        <v>30</v>
      </c>
      <c r="C30" s="3">
        <v>31</v>
      </c>
      <c r="D30" s="2">
        <v>11140</v>
      </c>
      <c r="E30" s="2">
        <f t="shared" si="0"/>
        <v>5492.5</v>
      </c>
      <c r="F30" s="2">
        <v>2380</v>
      </c>
      <c r="G30" s="2">
        <f t="shared" si="1"/>
        <v>991.66666666666674</v>
      </c>
      <c r="H30" s="4">
        <f>VLOOKUP(B30,nodes!A:D,2,0)</f>
        <v>240</v>
      </c>
      <c r="I30" s="4">
        <f>VLOOKUP(B30,nodes!A:D,4,0)</f>
        <v>270</v>
      </c>
      <c r="J30" s="4">
        <f>VLOOKUP(C30,nodes!A:D,2,0)</f>
        <v>270</v>
      </c>
      <c r="K30" s="4">
        <f>VLOOKUP(C30,nodes!A:D,4,0)</f>
        <v>270</v>
      </c>
      <c r="L30" s="4">
        <f t="shared" si="2"/>
        <v>30</v>
      </c>
      <c r="N30" s="12">
        <f t="shared" si="3"/>
        <v>7437500</v>
      </c>
      <c r="O30" s="12">
        <f t="shared" si="4"/>
        <v>42840000</v>
      </c>
      <c r="P30" s="12">
        <f t="shared" si="5"/>
        <v>11900</v>
      </c>
    </row>
    <row r="31" spans="1:16" x14ac:dyDescent="0.25">
      <c r="A31" s="3">
        <v>30</v>
      </c>
      <c r="B31" s="3">
        <v>31</v>
      </c>
      <c r="C31" s="3">
        <v>32</v>
      </c>
      <c r="D31" s="2">
        <v>11140</v>
      </c>
      <c r="E31" s="2">
        <f t="shared" si="0"/>
        <v>5492.5</v>
      </c>
      <c r="F31" s="2">
        <v>2380</v>
      </c>
      <c r="G31" s="2">
        <f t="shared" si="1"/>
        <v>991.66666666666674</v>
      </c>
      <c r="H31" s="4">
        <f>VLOOKUP(B31,nodes!A:D,2,0)</f>
        <v>270</v>
      </c>
      <c r="I31" s="4">
        <f>VLOOKUP(B31,nodes!A:D,4,0)</f>
        <v>270</v>
      </c>
      <c r="J31" s="4">
        <f>VLOOKUP(C31,nodes!A:D,2,0)</f>
        <v>300</v>
      </c>
      <c r="K31" s="4">
        <f>VLOOKUP(C31,nodes!A:D,4,0)</f>
        <v>270</v>
      </c>
      <c r="L31" s="4">
        <f t="shared" si="2"/>
        <v>30</v>
      </c>
      <c r="N31" s="12">
        <f t="shared" si="3"/>
        <v>7437500</v>
      </c>
      <c r="O31" s="12">
        <f t="shared" si="4"/>
        <v>42840000</v>
      </c>
      <c r="P31" s="12">
        <f t="shared" si="5"/>
        <v>11900</v>
      </c>
    </row>
    <row r="32" spans="1:16" x14ac:dyDescent="0.25">
      <c r="A32" s="3">
        <v>31</v>
      </c>
      <c r="B32" s="3">
        <v>32</v>
      </c>
      <c r="C32" s="3">
        <v>33</v>
      </c>
      <c r="D32" s="2">
        <v>11140</v>
      </c>
      <c r="E32" s="2">
        <f t="shared" si="0"/>
        <v>5492.5</v>
      </c>
      <c r="F32" s="2">
        <v>2380</v>
      </c>
      <c r="G32" s="2">
        <f t="shared" si="1"/>
        <v>991.66666666666674</v>
      </c>
      <c r="H32" s="4">
        <f>VLOOKUP(B32,nodes!A:D,2,0)</f>
        <v>300</v>
      </c>
      <c r="I32" s="4">
        <f>VLOOKUP(B32,nodes!A:D,4,0)</f>
        <v>270</v>
      </c>
      <c r="J32" s="4">
        <f>VLOOKUP(C32,nodes!A:D,2,0)</f>
        <v>330</v>
      </c>
      <c r="K32" s="4">
        <f>VLOOKUP(C32,nodes!A:D,4,0)</f>
        <v>270</v>
      </c>
      <c r="L32" s="4">
        <f t="shared" si="2"/>
        <v>30</v>
      </c>
      <c r="N32" s="12">
        <f t="shared" si="3"/>
        <v>7437500</v>
      </c>
      <c r="O32" s="12">
        <f t="shared" si="4"/>
        <v>42840000</v>
      </c>
      <c r="P32" s="12">
        <f t="shared" si="5"/>
        <v>11900</v>
      </c>
    </row>
    <row r="33" spans="1:16" x14ac:dyDescent="0.25">
      <c r="A33" s="3">
        <v>32</v>
      </c>
      <c r="B33" s="3">
        <v>33</v>
      </c>
      <c r="C33" s="3">
        <v>34</v>
      </c>
      <c r="D33" s="2">
        <v>11140</v>
      </c>
      <c r="E33" s="2">
        <f t="shared" si="0"/>
        <v>5492.5</v>
      </c>
      <c r="F33" s="2">
        <v>2380</v>
      </c>
      <c r="G33" s="2">
        <f t="shared" si="1"/>
        <v>991.66666666666674</v>
      </c>
      <c r="H33" s="4">
        <f>VLOOKUP(B33,nodes!A:D,2,0)</f>
        <v>330</v>
      </c>
      <c r="I33" s="4">
        <f>VLOOKUP(B33,nodes!A:D,4,0)</f>
        <v>270</v>
      </c>
      <c r="J33" s="4">
        <f>VLOOKUP(C33,nodes!A:D,2,0)</f>
        <v>360</v>
      </c>
      <c r="K33" s="4">
        <f>VLOOKUP(C33,nodes!A:D,4,0)</f>
        <v>270</v>
      </c>
      <c r="L33" s="4">
        <f t="shared" si="2"/>
        <v>30</v>
      </c>
      <c r="N33" s="12">
        <f t="shared" si="3"/>
        <v>7437500</v>
      </c>
      <c r="O33" s="12">
        <f t="shared" si="4"/>
        <v>42840000</v>
      </c>
      <c r="P33" s="12">
        <f t="shared" si="5"/>
        <v>11900</v>
      </c>
    </row>
    <row r="34" spans="1:16" x14ac:dyDescent="0.25">
      <c r="A34" s="3">
        <v>33</v>
      </c>
      <c r="B34" s="3">
        <v>34</v>
      </c>
      <c r="C34" s="3">
        <v>35</v>
      </c>
      <c r="D34" s="2">
        <v>11140</v>
      </c>
      <c r="E34" s="2">
        <f t="shared" si="0"/>
        <v>5492.5</v>
      </c>
      <c r="F34" s="2">
        <v>2380</v>
      </c>
      <c r="G34" s="2">
        <f t="shared" si="1"/>
        <v>991.66666666666674</v>
      </c>
      <c r="H34" s="4">
        <f>VLOOKUP(B34,nodes!A:D,2,0)</f>
        <v>360</v>
      </c>
      <c r="I34" s="4">
        <f>VLOOKUP(B34,nodes!A:D,4,0)</f>
        <v>270</v>
      </c>
      <c r="J34" s="4">
        <f>VLOOKUP(C34,nodes!A:D,2,0)</f>
        <v>390</v>
      </c>
      <c r="K34" s="4">
        <f>VLOOKUP(C34,nodes!A:D,4,0)</f>
        <v>270</v>
      </c>
      <c r="L34" s="4">
        <f t="shared" si="2"/>
        <v>30</v>
      </c>
      <c r="N34" s="12">
        <f t="shared" si="3"/>
        <v>7437500</v>
      </c>
      <c r="O34" s="12">
        <f t="shared" si="4"/>
        <v>42840000</v>
      </c>
      <c r="P34" s="12">
        <f t="shared" si="5"/>
        <v>11900</v>
      </c>
    </row>
    <row r="35" spans="1:16" x14ac:dyDescent="0.25">
      <c r="A35" s="3">
        <v>34</v>
      </c>
      <c r="B35" s="3">
        <v>35</v>
      </c>
      <c r="C35" s="3">
        <v>36</v>
      </c>
      <c r="D35" s="2">
        <v>11140</v>
      </c>
      <c r="E35" s="2">
        <f t="shared" si="0"/>
        <v>5492.5</v>
      </c>
      <c r="F35" s="2">
        <v>2380</v>
      </c>
      <c r="G35" s="2">
        <f t="shared" si="1"/>
        <v>991.66666666666674</v>
      </c>
      <c r="H35" s="4">
        <f>VLOOKUP(B35,nodes!A:D,2,0)</f>
        <v>390</v>
      </c>
      <c r="I35" s="4">
        <f>VLOOKUP(B35,nodes!A:D,4,0)</f>
        <v>270</v>
      </c>
      <c r="J35" s="4">
        <f>VLOOKUP(C35,nodes!A:D,2,0)</f>
        <v>420</v>
      </c>
      <c r="K35" s="4">
        <f>VLOOKUP(C35,nodes!A:D,4,0)</f>
        <v>270</v>
      </c>
      <c r="L35" s="4">
        <f t="shared" si="2"/>
        <v>30</v>
      </c>
      <c r="N35" s="12">
        <f t="shared" si="3"/>
        <v>7437500</v>
      </c>
      <c r="O35" s="12">
        <f t="shared" si="4"/>
        <v>42840000</v>
      </c>
      <c r="P35" s="12">
        <f t="shared" si="5"/>
        <v>11900</v>
      </c>
    </row>
    <row r="36" spans="1:16" x14ac:dyDescent="0.25">
      <c r="A36" s="3">
        <v>35</v>
      </c>
      <c r="B36" s="3">
        <v>36</v>
      </c>
      <c r="C36" s="3">
        <v>37</v>
      </c>
      <c r="D36" s="2">
        <v>11140</v>
      </c>
      <c r="E36" s="2">
        <f t="shared" si="0"/>
        <v>5492.5</v>
      </c>
      <c r="F36" s="2">
        <v>2380</v>
      </c>
      <c r="G36" s="2">
        <f t="shared" si="1"/>
        <v>991.66666666666674</v>
      </c>
      <c r="H36" s="4">
        <f>VLOOKUP(B36,nodes!A:D,2,0)</f>
        <v>420</v>
      </c>
      <c r="I36" s="4">
        <f>VLOOKUP(B36,nodes!A:D,4,0)</f>
        <v>270</v>
      </c>
      <c r="J36" s="4">
        <f>VLOOKUP(C36,nodes!A:D,2,0)</f>
        <v>450</v>
      </c>
      <c r="K36" s="4">
        <f>VLOOKUP(C36,nodes!A:D,4,0)</f>
        <v>270</v>
      </c>
      <c r="L36" s="4">
        <f t="shared" si="2"/>
        <v>30</v>
      </c>
      <c r="N36" s="12">
        <f t="shared" si="3"/>
        <v>7437500</v>
      </c>
      <c r="O36" s="12">
        <f t="shared" si="4"/>
        <v>42840000</v>
      </c>
      <c r="P36" s="12">
        <f t="shared" si="5"/>
        <v>11900</v>
      </c>
    </row>
    <row r="37" spans="1:16" x14ac:dyDescent="0.25">
      <c r="A37" s="3">
        <v>36</v>
      </c>
      <c r="B37" s="3">
        <v>37</v>
      </c>
      <c r="C37" s="3">
        <v>38</v>
      </c>
      <c r="D37" s="2">
        <v>11140</v>
      </c>
      <c r="E37" s="2">
        <f t="shared" si="0"/>
        <v>5492.5</v>
      </c>
      <c r="F37" s="2">
        <v>2380</v>
      </c>
      <c r="G37" s="2">
        <f t="shared" si="1"/>
        <v>991.66666666666674</v>
      </c>
      <c r="H37" s="4">
        <f>VLOOKUP(B37,nodes!A:D,2,0)</f>
        <v>450</v>
      </c>
      <c r="I37" s="4">
        <f>VLOOKUP(B37,nodes!A:D,4,0)</f>
        <v>270</v>
      </c>
      <c r="J37" s="4">
        <f>VLOOKUP(C37,nodes!A:D,2,0)</f>
        <v>480</v>
      </c>
      <c r="K37" s="4">
        <f>VLOOKUP(C37,nodes!A:D,4,0)</f>
        <v>270</v>
      </c>
      <c r="L37" s="4">
        <f t="shared" si="2"/>
        <v>30</v>
      </c>
      <c r="N37" s="12">
        <f t="shared" si="3"/>
        <v>7437500</v>
      </c>
      <c r="O37" s="12">
        <f t="shared" si="4"/>
        <v>42840000</v>
      </c>
      <c r="P37" s="12">
        <f t="shared" si="5"/>
        <v>11900</v>
      </c>
    </row>
    <row r="38" spans="1:16" x14ac:dyDescent="0.25">
      <c r="A38" s="3">
        <v>37</v>
      </c>
      <c r="B38" s="3">
        <v>38</v>
      </c>
      <c r="C38" s="3">
        <v>39</v>
      </c>
      <c r="D38" s="2">
        <v>11140</v>
      </c>
      <c r="E38" s="2">
        <f t="shared" si="0"/>
        <v>5492.5</v>
      </c>
      <c r="F38" s="2">
        <v>2380</v>
      </c>
      <c r="G38" s="2">
        <f t="shared" si="1"/>
        <v>991.66666666666674</v>
      </c>
      <c r="H38" s="4">
        <f>VLOOKUP(B38,nodes!A:D,2,0)</f>
        <v>480</v>
      </c>
      <c r="I38" s="4">
        <f>VLOOKUP(B38,nodes!A:D,4,0)</f>
        <v>270</v>
      </c>
      <c r="J38" s="4">
        <f>VLOOKUP(C38,nodes!A:D,2,0)</f>
        <v>509.99999999999994</v>
      </c>
      <c r="K38" s="4">
        <f>VLOOKUP(C38,nodes!A:D,4,0)</f>
        <v>270</v>
      </c>
      <c r="L38" s="4">
        <f t="shared" si="2"/>
        <v>29.999999999999943</v>
      </c>
      <c r="N38" s="12">
        <f t="shared" si="3"/>
        <v>7437500</v>
      </c>
      <c r="O38" s="12">
        <f t="shared" si="4"/>
        <v>42840000</v>
      </c>
      <c r="P38" s="12">
        <f t="shared" si="5"/>
        <v>11900</v>
      </c>
    </row>
    <row r="39" spans="1:16" x14ac:dyDescent="0.25">
      <c r="A39" s="3">
        <v>38</v>
      </c>
      <c r="B39" s="3">
        <v>39</v>
      </c>
      <c r="C39" s="3">
        <v>40</v>
      </c>
      <c r="D39" s="2">
        <v>11140</v>
      </c>
      <c r="E39" s="2">
        <f t="shared" si="0"/>
        <v>5492.5</v>
      </c>
      <c r="F39" s="2">
        <v>2380</v>
      </c>
      <c r="G39" s="2">
        <f t="shared" si="1"/>
        <v>991.66666666666674</v>
      </c>
      <c r="H39" s="4">
        <f>VLOOKUP(B39,nodes!A:D,2,0)</f>
        <v>509.99999999999994</v>
      </c>
      <c r="I39" s="4">
        <f>VLOOKUP(B39,nodes!A:D,4,0)</f>
        <v>270</v>
      </c>
      <c r="J39" s="4">
        <f>VLOOKUP(C39,nodes!A:D,2,0)</f>
        <v>540</v>
      </c>
      <c r="K39" s="4">
        <f>VLOOKUP(C39,nodes!A:D,4,0)</f>
        <v>270</v>
      </c>
      <c r="L39" s="4">
        <f t="shared" si="2"/>
        <v>30.000000000000057</v>
      </c>
      <c r="N39" s="12">
        <f t="shared" si="3"/>
        <v>7437500</v>
      </c>
      <c r="O39" s="12">
        <f t="shared" si="4"/>
        <v>42840000</v>
      </c>
      <c r="P39" s="12">
        <f t="shared" si="5"/>
        <v>11900</v>
      </c>
    </row>
    <row r="40" spans="1:16" x14ac:dyDescent="0.25">
      <c r="A40" s="3">
        <v>39</v>
      </c>
      <c r="B40" s="3">
        <v>40</v>
      </c>
      <c r="C40" s="3">
        <v>41</v>
      </c>
      <c r="D40" s="2">
        <v>11140</v>
      </c>
      <c r="E40" s="2">
        <f t="shared" si="0"/>
        <v>5492.5</v>
      </c>
      <c r="F40" s="2">
        <v>2380</v>
      </c>
      <c r="G40" s="2">
        <f t="shared" si="1"/>
        <v>991.66666666666674</v>
      </c>
      <c r="H40" s="4">
        <f>VLOOKUP(B40,nodes!A:D,2,0)</f>
        <v>540</v>
      </c>
      <c r="I40" s="4">
        <f>VLOOKUP(B40,nodes!A:D,4,0)</f>
        <v>270</v>
      </c>
      <c r="J40" s="4">
        <f>VLOOKUP(C40,nodes!A:D,2,0)</f>
        <v>570</v>
      </c>
      <c r="K40" s="4">
        <f>VLOOKUP(C40,nodes!A:D,4,0)</f>
        <v>270</v>
      </c>
      <c r="L40" s="4">
        <f t="shared" si="2"/>
        <v>30</v>
      </c>
      <c r="N40" s="12">
        <f t="shared" si="3"/>
        <v>7437500</v>
      </c>
      <c r="O40" s="12">
        <f t="shared" si="4"/>
        <v>42840000</v>
      </c>
      <c r="P40" s="12">
        <f t="shared" si="5"/>
        <v>11900</v>
      </c>
    </row>
    <row r="41" spans="1:16" x14ac:dyDescent="0.25">
      <c r="A41" s="3">
        <v>40</v>
      </c>
      <c r="B41" s="3">
        <v>41</v>
      </c>
      <c r="C41" s="3">
        <v>42</v>
      </c>
      <c r="D41" s="2">
        <v>11140</v>
      </c>
      <c r="E41" s="2">
        <f t="shared" si="0"/>
        <v>5492.5</v>
      </c>
      <c r="F41" s="2">
        <v>2380</v>
      </c>
      <c r="G41" s="2">
        <f t="shared" si="1"/>
        <v>991.66666666666674</v>
      </c>
      <c r="H41" s="4">
        <f>VLOOKUP(B41,nodes!A:D,2,0)</f>
        <v>570</v>
      </c>
      <c r="I41" s="4">
        <f>VLOOKUP(B41,nodes!A:D,4,0)</f>
        <v>270</v>
      </c>
      <c r="J41" s="4">
        <f>VLOOKUP(C41,nodes!A:D,2,0)</f>
        <v>600</v>
      </c>
      <c r="K41" s="4">
        <f>VLOOKUP(C41,nodes!A:D,4,0)</f>
        <v>270</v>
      </c>
      <c r="L41" s="4">
        <f t="shared" si="2"/>
        <v>30</v>
      </c>
      <c r="N41" s="12">
        <f t="shared" si="3"/>
        <v>7437500</v>
      </c>
      <c r="O41" s="12">
        <f t="shared" si="4"/>
        <v>42840000</v>
      </c>
      <c r="P41" s="12">
        <f t="shared" si="5"/>
        <v>11900</v>
      </c>
    </row>
    <row r="42" spans="1:16" x14ac:dyDescent="0.25">
      <c r="A42" s="3">
        <v>41</v>
      </c>
      <c r="B42" s="3">
        <v>43</v>
      </c>
      <c r="C42" s="3">
        <v>44</v>
      </c>
      <c r="D42" s="2">
        <v>11140</v>
      </c>
      <c r="E42" s="2">
        <f t="shared" si="0"/>
        <v>5492.5</v>
      </c>
      <c r="F42" s="2">
        <v>2380</v>
      </c>
      <c r="G42" s="2">
        <f t="shared" si="1"/>
        <v>991.66666666666674</v>
      </c>
      <c r="H42" s="4">
        <f>VLOOKUP(B42,nodes!A:D,2,0)</f>
        <v>0</v>
      </c>
      <c r="I42" s="4">
        <f>VLOOKUP(B42,nodes!A:D,4,0)</f>
        <v>240</v>
      </c>
      <c r="J42" s="4">
        <f>VLOOKUP(C42,nodes!A:D,2,0)</f>
        <v>30</v>
      </c>
      <c r="K42" s="4">
        <f>VLOOKUP(C42,nodes!A:D,4,0)</f>
        <v>240</v>
      </c>
      <c r="L42" s="4">
        <f t="shared" si="2"/>
        <v>30</v>
      </c>
      <c r="N42" s="12">
        <f t="shared" si="3"/>
        <v>7437500</v>
      </c>
      <c r="O42" s="12">
        <f t="shared" si="4"/>
        <v>42840000</v>
      </c>
      <c r="P42" s="12">
        <f t="shared" si="5"/>
        <v>11900</v>
      </c>
    </row>
    <row r="43" spans="1:16" x14ac:dyDescent="0.25">
      <c r="A43" s="3">
        <v>42</v>
      </c>
      <c r="B43" s="3">
        <v>44</v>
      </c>
      <c r="C43" s="3">
        <v>45</v>
      </c>
      <c r="D43" s="2">
        <v>11140</v>
      </c>
      <c r="E43" s="2">
        <f t="shared" si="0"/>
        <v>5492.5</v>
      </c>
      <c r="F43" s="2">
        <v>2380</v>
      </c>
      <c r="G43" s="2">
        <f t="shared" si="1"/>
        <v>991.66666666666674</v>
      </c>
      <c r="H43" s="4">
        <f>VLOOKUP(B43,nodes!A:D,2,0)</f>
        <v>30</v>
      </c>
      <c r="I43" s="4">
        <f>VLOOKUP(B43,nodes!A:D,4,0)</f>
        <v>240</v>
      </c>
      <c r="J43" s="4">
        <f>VLOOKUP(C43,nodes!A:D,2,0)</f>
        <v>60</v>
      </c>
      <c r="K43" s="4">
        <f>VLOOKUP(C43,nodes!A:D,4,0)</f>
        <v>240</v>
      </c>
      <c r="L43" s="4">
        <f t="shared" si="2"/>
        <v>30</v>
      </c>
      <c r="N43" s="12">
        <f t="shared" si="3"/>
        <v>7437500</v>
      </c>
      <c r="O43" s="12">
        <f t="shared" si="4"/>
        <v>42840000</v>
      </c>
      <c r="P43" s="12">
        <f t="shared" si="5"/>
        <v>11900</v>
      </c>
    </row>
    <row r="44" spans="1:16" x14ac:dyDescent="0.25">
      <c r="A44" s="3">
        <v>43</v>
      </c>
      <c r="B44" s="3">
        <v>45</v>
      </c>
      <c r="C44" s="3">
        <v>46</v>
      </c>
      <c r="D44" s="2">
        <v>11140</v>
      </c>
      <c r="E44" s="2">
        <f t="shared" si="0"/>
        <v>5492.5</v>
      </c>
      <c r="F44" s="2">
        <v>2380</v>
      </c>
      <c r="G44" s="2">
        <f t="shared" si="1"/>
        <v>991.66666666666674</v>
      </c>
      <c r="H44" s="4">
        <f>VLOOKUP(B44,nodes!A:D,2,0)</f>
        <v>60</v>
      </c>
      <c r="I44" s="4">
        <f>VLOOKUP(B44,nodes!A:D,4,0)</f>
        <v>240</v>
      </c>
      <c r="J44" s="4">
        <f>VLOOKUP(C44,nodes!A:D,2,0)</f>
        <v>90</v>
      </c>
      <c r="K44" s="4">
        <f>VLOOKUP(C44,nodes!A:D,4,0)</f>
        <v>240</v>
      </c>
      <c r="L44" s="4">
        <f t="shared" si="2"/>
        <v>30</v>
      </c>
      <c r="N44" s="12">
        <f t="shared" si="3"/>
        <v>7437500</v>
      </c>
      <c r="O44" s="12">
        <f t="shared" si="4"/>
        <v>42840000</v>
      </c>
      <c r="P44" s="12">
        <f t="shared" si="5"/>
        <v>11900</v>
      </c>
    </row>
    <row r="45" spans="1:16" x14ac:dyDescent="0.25">
      <c r="A45" s="3">
        <v>44</v>
      </c>
      <c r="B45" s="3">
        <v>46</v>
      </c>
      <c r="C45" s="3">
        <v>47</v>
      </c>
      <c r="D45" s="2">
        <v>11140</v>
      </c>
      <c r="E45" s="2">
        <f t="shared" si="0"/>
        <v>5492.5</v>
      </c>
      <c r="F45" s="2">
        <v>2380</v>
      </c>
      <c r="G45" s="2">
        <f t="shared" si="1"/>
        <v>991.66666666666674</v>
      </c>
      <c r="H45" s="4">
        <f>VLOOKUP(B45,nodes!A:D,2,0)</f>
        <v>90</v>
      </c>
      <c r="I45" s="4">
        <f>VLOOKUP(B45,nodes!A:D,4,0)</f>
        <v>240</v>
      </c>
      <c r="J45" s="4">
        <f>VLOOKUP(C45,nodes!A:D,2,0)</f>
        <v>120</v>
      </c>
      <c r="K45" s="4">
        <f>VLOOKUP(C45,nodes!A:D,4,0)</f>
        <v>240</v>
      </c>
      <c r="L45" s="4">
        <f t="shared" si="2"/>
        <v>30</v>
      </c>
      <c r="N45" s="12">
        <f t="shared" si="3"/>
        <v>7437500</v>
      </c>
      <c r="O45" s="12">
        <f t="shared" si="4"/>
        <v>42840000</v>
      </c>
      <c r="P45" s="12">
        <f t="shared" si="5"/>
        <v>11900</v>
      </c>
    </row>
    <row r="46" spans="1:16" x14ac:dyDescent="0.25">
      <c r="A46" s="3">
        <v>45</v>
      </c>
      <c r="B46" s="3">
        <v>47</v>
      </c>
      <c r="C46" s="3">
        <v>48</v>
      </c>
      <c r="D46" s="2">
        <v>11140</v>
      </c>
      <c r="E46" s="2">
        <f t="shared" si="0"/>
        <v>5492.5</v>
      </c>
      <c r="F46" s="2">
        <v>2380</v>
      </c>
      <c r="G46" s="2">
        <f t="shared" si="1"/>
        <v>991.66666666666674</v>
      </c>
      <c r="H46" s="4">
        <f>VLOOKUP(B46,nodes!A:D,2,0)</f>
        <v>120</v>
      </c>
      <c r="I46" s="4">
        <f>VLOOKUP(B46,nodes!A:D,4,0)</f>
        <v>240</v>
      </c>
      <c r="J46" s="4">
        <f>VLOOKUP(C46,nodes!A:D,2,0)</f>
        <v>150</v>
      </c>
      <c r="K46" s="4">
        <f>VLOOKUP(C46,nodes!A:D,4,0)</f>
        <v>240</v>
      </c>
      <c r="L46" s="4">
        <f t="shared" si="2"/>
        <v>30</v>
      </c>
      <c r="N46" s="12">
        <f t="shared" si="3"/>
        <v>7437500</v>
      </c>
      <c r="O46" s="12">
        <f t="shared" si="4"/>
        <v>42840000</v>
      </c>
      <c r="P46" s="12">
        <f t="shared" si="5"/>
        <v>11900</v>
      </c>
    </row>
    <row r="47" spans="1:16" x14ac:dyDescent="0.25">
      <c r="A47" s="3">
        <v>46</v>
      </c>
      <c r="B47" s="3">
        <v>48</v>
      </c>
      <c r="C47" s="3">
        <v>49</v>
      </c>
      <c r="D47" s="2">
        <v>11140</v>
      </c>
      <c r="E47" s="2">
        <f t="shared" si="0"/>
        <v>5492.5</v>
      </c>
      <c r="F47" s="2">
        <v>2380</v>
      </c>
      <c r="G47" s="2">
        <f t="shared" si="1"/>
        <v>991.66666666666674</v>
      </c>
      <c r="H47" s="4">
        <f>VLOOKUP(B47,nodes!A:D,2,0)</f>
        <v>150</v>
      </c>
      <c r="I47" s="4">
        <f>VLOOKUP(B47,nodes!A:D,4,0)</f>
        <v>240</v>
      </c>
      <c r="J47" s="4">
        <f>VLOOKUP(C47,nodes!A:D,2,0)</f>
        <v>180</v>
      </c>
      <c r="K47" s="4">
        <f>VLOOKUP(C47,nodes!A:D,4,0)</f>
        <v>240</v>
      </c>
      <c r="L47" s="4">
        <f t="shared" si="2"/>
        <v>30</v>
      </c>
      <c r="N47" s="12">
        <f t="shared" si="3"/>
        <v>7437500</v>
      </c>
      <c r="O47" s="12">
        <f t="shared" si="4"/>
        <v>42840000</v>
      </c>
      <c r="P47" s="12">
        <f t="shared" si="5"/>
        <v>11900</v>
      </c>
    </row>
    <row r="48" spans="1:16" x14ac:dyDescent="0.25">
      <c r="A48" s="3">
        <v>47</v>
      </c>
      <c r="B48" s="3">
        <v>49</v>
      </c>
      <c r="C48" s="3">
        <v>50</v>
      </c>
      <c r="D48" s="2">
        <v>11140</v>
      </c>
      <c r="E48" s="2">
        <f t="shared" si="0"/>
        <v>5492.5</v>
      </c>
      <c r="F48" s="2">
        <v>2380</v>
      </c>
      <c r="G48" s="2">
        <f t="shared" si="1"/>
        <v>991.66666666666674</v>
      </c>
      <c r="H48" s="4">
        <f>VLOOKUP(B48,nodes!A:D,2,0)</f>
        <v>180</v>
      </c>
      <c r="I48" s="4">
        <f>VLOOKUP(B48,nodes!A:D,4,0)</f>
        <v>240</v>
      </c>
      <c r="J48" s="4">
        <f>VLOOKUP(C48,nodes!A:D,2,0)</f>
        <v>210</v>
      </c>
      <c r="K48" s="4">
        <f>VLOOKUP(C48,nodes!A:D,4,0)</f>
        <v>240</v>
      </c>
      <c r="L48" s="4">
        <f t="shared" si="2"/>
        <v>30</v>
      </c>
      <c r="N48" s="12">
        <f t="shared" si="3"/>
        <v>7437500</v>
      </c>
      <c r="O48" s="12">
        <f t="shared" si="4"/>
        <v>42840000</v>
      </c>
      <c r="P48" s="12">
        <f t="shared" si="5"/>
        <v>11900</v>
      </c>
    </row>
    <row r="49" spans="1:16" x14ac:dyDescent="0.25">
      <c r="A49" s="3">
        <v>48</v>
      </c>
      <c r="B49" s="3">
        <v>50</v>
      </c>
      <c r="C49" s="3">
        <v>51</v>
      </c>
      <c r="D49" s="2">
        <v>11140</v>
      </c>
      <c r="E49" s="2">
        <f t="shared" si="0"/>
        <v>5492.5</v>
      </c>
      <c r="F49" s="2">
        <v>2380</v>
      </c>
      <c r="G49" s="2">
        <f t="shared" si="1"/>
        <v>991.66666666666674</v>
      </c>
      <c r="H49" s="4">
        <f>VLOOKUP(B49,nodes!A:D,2,0)</f>
        <v>210</v>
      </c>
      <c r="I49" s="4">
        <f>VLOOKUP(B49,nodes!A:D,4,0)</f>
        <v>240</v>
      </c>
      <c r="J49" s="4">
        <f>VLOOKUP(C49,nodes!A:D,2,0)</f>
        <v>240</v>
      </c>
      <c r="K49" s="4">
        <f>VLOOKUP(C49,nodes!A:D,4,0)</f>
        <v>240</v>
      </c>
      <c r="L49" s="4">
        <f t="shared" si="2"/>
        <v>30</v>
      </c>
      <c r="N49" s="12">
        <f t="shared" si="3"/>
        <v>7437500</v>
      </c>
      <c r="O49" s="12">
        <f t="shared" si="4"/>
        <v>42840000</v>
      </c>
      <c r="P49" s="12">
        <f t="shared" si="5"/>
        <v>11900</v>
      </c>
    </row>
    <row r="50" spans="1:16" x14ac:dyDescent="0.25">
      <c r="A50" s="3">
        <v>49</v>
      </c>
      <c r="B50" s="3">
        <v>51</v>
      </c>
      <c r="C50" s="3">
        <v>52</v>
      </c>
      <c r="D50" s="2">
        <v>11140</v>
      </c>
      <c r="E50" s="2">
        <f t="shared" si="0"/>
        <v>5492.5</v>
      </c>
      <c r="F50" s="2">
        <v>2380</v>
      </c>
      <c r="G50" s="2">
        <f t="shared" si="1"/>
        <v>991.66666666666674</v>
      </c>
      <c r="H50" s="4">
        <f>VLOOKUP(B50,nodes!A:D,2,0)</f>
        <v>240</v>
      </c>
      <c r="I50" s="4">
        <f>VLOOKUP(B50,nodes!A:D,4,0)</f>
        <v>240</v>
      </c>
      <c r="J50" s="4">
        <f>VLOOKUP(C50,nodes!A:D,2,0)</f>
        <v>270</v>
      </c>
      <c r="K50" s="4">
        <f>VLOOKUP(C50,nodes!A:D,4,0)</f>
        <v>240</v>
      </c>
      <c r="L50" s="4">
        <f t="shared" si="2"/>
        <v>30</v>
      </c>
      <c r="N50" s="12">
        <f t="shared" si="3"/>
        <v>7437500</v>
      </c>
      <c r="O50" s="12">
        <f t="shared" si="4"/>
        <v>42840000</v>
      </c>
      <c r="P50" s="12">
        <f t="shared" si="5"/>
        <v>11900</v>
      </c>
    </row>
    <row r="51" spans="1:16" x14ac:dyDescent="0.25">
      <c r="A51" s="3">
        <v>50</v>
      </c>
      <c r="B51" s="3">
        <v>52</v>
      </c>
      <c r="C51" s="3">
        <v>53</v>
      </c>
      <c r="D51" s="2">
        <v>11140</v>
      </c>
      <c r="E51" s="2">
        <f t="shared" si="0"/>
        <v>5492.5</v>
      </c>
      <c r="F51" s="2">
        <v>2380</v>
      </c>
      <c r="G51" s="2">
        <f t="shared" si="1"/>
        <v>991.66666666666674</v>
      </c>
      <c r="H51" s="4">
        <f>VLOOKUP(B51,nodes!A:D,2,0)</f>
        <v>270</v>
      </c>
      <c r="I51" s="4">
        <f>VLOOKUP(B51,nodes!A:D,4,0)</f>
        <v>240</v>
      </c>
      <c r="J51" s="4">
        <f>VLOOKUP(C51,nodes!A:D,2,0)</f>
        <v>300</v>
      </c>
      <c r="K51" s="4">
        <f>VLOOKUP(C51,nodes!A:D,4,0)</f>
        <v>240</v>
      </c>
      <c r="L51" s="4">
        <f t="shared" si="2"/>
        <v>30</v>
      </c>
      <c r="N51" s="12">
        <f t="shared" si="3"/>
        <v>7437500</v>
      </c>
      <c r="O51" s="12">
        <f t="shared" si="4"/>
        <v>42840000</v>
      </c>
      <c r="P51" s="12">
        <f t="shared" si="5"/>
        <v>11900</v>
      </c>
    </row>
    <row r="52" spans="1:16" x14ac:dyDescent="0.25">
      <c r="A52" s="3">
        <v>51</v>
      </c>
      <c r="B52" s="3">
        <v>53</v>
      </c>
      <c r="C52" s="3">
        <v>54</v>
      </c>
      <c r="D52" s="2">
        <v>11140</v>
      </c>
      <c r="E52" s="2">
        <f t="shared" si="0"/>
        <v>5492.5</v>
      </c>
      <c r="F52" s="2">
        <v>2380</v>
      </c>
      <c r="G52" s="2">
        <f t="shared" si="1"/>
        <v>991.66666666666674</v>
      </c>
      <c r="H52" s="4">
        <f>VLOOKUP(B52,nodes!A:D,2,0)</f>
        <v>300</v>
      </c>
      <c r="I52" s="4">
        <f>VLOOKUP(B52,nodes!A:D,4,0)</f>
        <v>240</v>
      </c>
      <c r="J52" s="4">
        <f>VLOOKUP(C52,nodes!A:D,2,0)</f>
        <v>330</v>
      </c>
      <c r="K52" s="4">
        <f>VLOOKUP(C52,nodes!A:D,4,0)</f>
        <v>240</v>
      </c>
      <c r="L52" s="4">
        <f t="shared" si="2"/>
        <v>30</v>
      </c>
      <c r="N52" s="12">
        <f t="shared" si="3"/>
        <v>7437500</v>
      </c>
      <c r="O52" s="12">
        <f t="shared" si="4"/>
        <v>42840000</v>
      </c>
      <c r="P52" s="12">
        <f t="shared" si="5"/>
        <v>11900</v>
      </c>
    </row>
    <row r="53" spans="1:16" x14ac:dyDescent="0.25">
      <c r="A53" s="3">
        <v>52</v>
      </c>
      <c r="B53" s="3">
        <v>54</v>
      </c>
      <c r="C53" s="3">
        <v>55</v>
      </c>
      <c r="D53" s="2">
        <v>11140</v>
      </c>
      <c r="E53" s="2">
        <f t="shared" si="0"/>
        <v>5492.5</v>
      </c>
      <c r="F53" s="2">
        <v>2380</v>
      </c>
      <c r="G53" s="2">
        <f t="shared" si="1"/>
        <v>991.66666666666674</v>
      </c>
      <c r="H53" s="4">
        <f>VLOOKUP(B53,nodes!A:D,2,0)</f>
        <v>330</v>
      </c>
      <c r="I53" s="4">
        <f>VLOOKUP(B53,nodes!A:D,4,0)</f>
        <v>240</v>
      </c>
      <c r="J53" s="4">
        <f>VLOOKUP(C53,nodes!A:D,2,0)</f>
        <v>360</v>
      </c>
      <c r="K53" s="4">
        <f>VLOOKUP(C53,nodes!A:D,4,0)</f>
        <v>240</v>
      </c>
      <c r="L53" s="4">
        <f t="shared" si="2"/>
        <v>30</v>
      </c>
      <c r="N53" s="12">
        <f t="shared" si="3"/>
        <v>7437500</v>
      </c>
      <c r="O53" s="12">
        <f t="shared" si="4"/>
        <v>42840000</v>
      </c>
      <c r="P53" s="12">
        <f t="shared" si="5"/>
        <v>11900</v>
      </c>
    </row>
    <row r="54" spans="1:16" x14ac:dyDescent="0.25">
      <c r="A54" s="3">
        <v>53</v>
      </c>
      <c r="B54" s="3">
        <v>55</v>
      </c>
      <c r="C54" s="3">
        <v>56</v>
      </c>
      <c r="D54" s="2">
        <v>11140</v>
      </c>
      <c r="E54" s="2">
        <f t="shared" si="0"/>
        <v>5492.5</v>
      </c>
      <c r="F54" s="2">
        <v>2380</v>
      </c>
      <c r="G54" s="2">
        <f t="shared" si="1"/>
        <v>991.66666666666674</v>
      </c>
      <c r="H54" s="4">
        <f>VLOOKUP(B54,nodes!A:D,2,0)</f>
        <v>360</v>
      </c>
      <c r="I54" s="4">
        <f>VLOOKUP(B54,nodes!A:D,4,0)</f>
        <v>240</v>
      </c>
      <c r="J54" s="4">
        <f>VLOOKUP(C54,nodes!A:D,2,0)</f>
        <v>390</v>
      </c>
      <c r="K54" s="4">
        <f>VLOOKUP(C54,nodes!A:D,4,0)</f>
        <v>240</v>
      </c>
      <c r="L54" s="4">
        <f t="shared" si="2"/>
        <v>30</v>
      </c>
      <c r="N54" s="12">
        <f t="shared" si="3"/>
        <v>7437500</v>
      </c>
      <c r="O54" s="12">
        <f t="shared" si="4"/>
        <v>42840000</v>
      </c>
      <c r="P54" s="12">
        <f t="shared" si="5"/>
        <v>11900</v>
      </c>
    </row>
    <row r="55" spans="1:16" x14ac:dyDescent="0.25">
      <c r="A55" s="3">
        <v>54</v>
      </c>
      <c r="B55" s="3">
        <v>56</v>
      </c>
      <c r="C55" s="3">
        <v>57</v>
      </c>
      <c r="D55" s="2">
        <v>11140</v>
      </c>
      <c r="E55" s="2">
        <f t="shared" si="0"/>
        <v>5492.5</v>
      </c>
      <c r="F55" s="2">
        <v>2380</v>
      </c>
      <c r="G55" s="2">
        <f t="shared" si="1"/>
        <v>991.66666666666674</v>
      </c>
      <c r="H55" s="4">
        <f>VLOOKUP(B55,nodes!A:D,2,0)</f>
        <v>390</v>
      </c>
      <c r="I55" s="4">
        <f>VLOOKUP(B55,nodes!A:D,4,0)</f>
        <v>240</v>
      </c>
      <c r="J55" s="4">
        <f>VLOOKUP(C55,nodes!A:D,2,0)</f>
        <v>420</v>
      </c>
      <c r="K55" s="4">
        <f>VLOOKUP(C55,nodes!A:D,4,0)</f>
        <v>240</v>
      </c>
      <c r="L55" s="4">
        <f t="shared" si="2"/>
        <v>30</v>
      </c>
      <c r="N55" s="12">
        <f t="shared" si="3"/>
        <v>7437500</v>
      </c>
      <c r="O55" s="12">
        <f t="shared" si="4"/>
        <v>42840000</v>
      </c>
      <c r="P55" s="12">
        <f t="shared" si="5"/>
        <v>11900</v>
      </c>
    </row>
    <row r="56" spans="1:16" x14ac:dyDescent="0.25">
      <c r="A56" s="3">
        <v>55</v>
      </c>
      <c r="B56" s="3">
        <v>57</v>
      </c>
      <c r="C56" s="3">
        <v>58</v>
      </c>
      <c r="D56" s="2">
        <v>11140</v>
      </c>
      <c r="E56" s="2">
        <f t="shared" si="0"/>
        <v>5492.5</v>
      </c>
      <c r="F56" s="2">
        <v>2380</v>
      </c>
      <c r="G56" s="2">
        <f t="shared" si="1"/>
        <v>991.66666666666674</v>
      </c>
      <c r="H56" s="4">
        <f>VLOOKUP(B56,nodes!A:D,2,0)</f>
        <v>420</v>
      </c>
      <c r="I56" s="4">
        <f>VLOOKUP(B56,nodes!A:D,4,0)</f>
        <v>240</v>
      </c>
      <c r="J56" s="4">
        <f>VLOOKUP(C56,nodes!A:D,2,0)</f>
        <v>450</v>
      </c>
      <c r="K56" s="4">
        <f>VLOOKUP(C56,nodes!A:D,4,0)</f>
        <v>240</v>
      </c>
      <c r="L56" s="4">
        <f t="shared" si="2"/>
        <v>30</v>
      </c>
      <c r="N56" s="12">
        <f t="shared" si="3"/>
        <v>7437500</v>
      </c>
      <c r="O56" s="12">
        <f t="shared" si="4"/>
        <v>42840000</v>
      </c>
      <c r="P56" s="12">
        <f t="shared" si="5"/>
        <v>11900</v>
      </c>
    </row>
    <row r="57" spans="1:16" x14ac:dyDescent="0.25">
      <c r="A57" s="3">
        <v>56</v>
      </c>
      <c r="B57" s="3">
        <v>58</v>
      </c>
      <c r="C57" s="3">
        <v>59</v>
      </c>
      <c r="D57" s="2">
        <v>11140</v>
      </c>
      <c r="E57" s="2">
        <f t="shared" si="0"/>
        <v>5492.5</v>
      </c>
      <c r="F57" s="2">
        <v>2380</v>
      </c>
      <c r="G57" s="2">
        <f t="shared" si="1"/>
        <v>991.66666666666674</v>
      </c>
      <c r="H57" s="4">
        <f>VLOOKUP(B57,nodes!A:D,2,0)</f>
        <v>450</v>
      </c>
      <c r="I57" s="4">
        <f>VLOOKUP(B57,nodes!A:D,4,0)</f>
        <v>240</v>
      </c>
      <c r="J57" s="4">
        <f>VLOOKUP(C57,nodes!A:D,2,0)</f>
        <v>480</v>
      </c>
      <c r="K57" s="4">
        <f>VLOOKUP(C57,nodes!A:D,4,0)</f>
        <v>240</v>
      </c>
      <c r="L57" s="4">
        <f t="shared" si="2"/>
        <v>30</v>
      </c>
      <c r="N57" s="12">
        <f t="shared" si="3"/>
        <v>7437500</v>
      </c>
      <c r="O57" s="12">
        <f t="shared" si="4"/>
        <v>42840000</v>
      </c>
      <c r="P57" s="12">
        <f t="shared" si="5"/>
        <v>11900</v>
      </c>
    </row>
    <row r="58" spans="1:16" x14ac:dyDescent="0.25">
      <c r="A58" s="3">
        <v>57</v>
      </c>
      <c r="B58" s="3">
        <v>59</v>
      </c>
      <c r="C58" s="3">
        <v>60</v>
      </c>
      <c r="D58" s="2">
        <v>11140</v>
      </c>
      <c r="E58" s="2">
        <f t="shared" si="0"/>
        <v>5492.5</v>
      </c>
      <c r="F58" s="2">
        <v>2380</v>
      </c>
      <c r="G58" s="2">
        <f t="shared" si="1"/>
        <v>991.66666666666674</v>
      </c>
      <c r="H58" s="4">
        <f>VLOOKUP(B58,nodes!A:D,2,0)</f>
        <v>480</v>
      </c>
      <c r="I58" s="4">
        <f>VLOOKUP(B58,nodes!A:D,4,0)</f>
        <v>240</v>
      </c>
      <c r="J58" s="4">
        <f>VLOOKUP(C58,nodes!A:D,2,0)</f>
        <v>509.99999999999994</v>
      </c>
      <c r="K58" s="4">
        <f>VLOOKUP(C58,nodes!A:D,4,0)</f>
        <v>240</v>
      </c>
      <c r="L58" s="4">
        <f t="shared" si="2"/>
        <v>29.999999999999943</v>
      </c>
      <c r="N58" s="12">
        <f t="shared" si="3"/>
        <v>7437500</v>
      </c>
      <c r="O58" s="12">
        <f t="shared" si="4"/>
        <v>42840000</v>
      </c>
      <c r="P58" s="12">
        <f t="shared" si="5"/>
        <v>11900</v>
      </c>
    </row>
    <row r="59" spans="1:16" x14ac:dyDescent="0.25">
      <c r="A59" s="3">
        <v>58</v>
      </c>
      <c r="B59" s="3">
        <v>60</v>
      </c>
      <c r="C59" s="3">
        <v>61</v>
      </c>
      <c r="D59" s="2">
        <v>11140</v>
      </c>
      <c r="E59" s="2">
        <f t="shared" si="0"/>
        <v>5492.5</v>
      </c>
      <c r="F59" s="2">
        <v>2380</v>
      </c>
      <c r="G59" s="2">
        <f t="shared" si="1"/>
        <v>991.66666666666674</v>
      </c>
      <c r="H59" s="4">
        <f>VLOOKUP(B59,nodes!A:D,2,0)</f>
        <v>509.99999999999994</v>
      </c>
      <c r="I59" s="4">
        <f>VLOOKUP(B59,nodes!A:D,4,0)</f>
        <v>240</v>
      </c>
      <c r="J59" s="4">
        <f>VLOOKUP(C59,nodes!A:D,2,0)</f>
        <v>540</v>
      </c>
      <c r="K59" s="4">
        <f>VLOOKUP(C59,nodes!A:D,4,0)</f>
        <v>240</v>
      </c>
      <c r="L59" s="4">
        <f t="shared" si="2"/>
        <v>30.000000000000057</v>
      </c>
      <c r="N59" s="12">
        <f t="shared" si="3"/>
        <v>7437500</v>
      </c>
      <c r="O59" s="12">
        <f t="shared" si="4"/>
        <v>42840000</v>
      </c>
      <c r="P59" s="12">
        <f t="shared" si="5"/>
        <v>11900</v>
      </c>
    </row>
    <row r="60" spans="1:16" x14ac:dyDescent="0.25">
      <c r="A60" s="3">
        <v>59</v>
      </c>
      <c r="B60" s="3">
        <v>61</v>
      </c>
      <c r="C60" s="3">
        <v>62</v>
      </c>
      <c r="D60" s="2">
        <v>11140</v>
      </c>
      <c r="E60" s="2">
        <f t="shared" si="0"/>
        <v>5492.5</v>
      </c>
      <c r="F60" s="2">
        <v>2380</v>
      </c>
      <c r="G60" s="2">
        <f t="shared" si="1"/>
        <v>991.66666666666674</v>
      </c>
      <c r="H60" s="4">
        <f>VLOOKUP(B60,nodes!A:D,2,0)</f>
        <v>540</v>
      </c>
      <c r="I60" s="4">
        <f>VLOOKUP(B60,nodes!A:D,4,0)</f>
        <v>240</v>
      </c>
      <c r="J60" s="4">
        <f>VLOOKUP(C60,nodes!A:D,2,0)</f>
        <v>570</v>
      </c>
      <c r="K60" s="4">
        <f>VLOOKUP(C60,nodes!A:D,4,0)</f>
        <v>240</v>
      </c>
      <c r="L60" s="4">
        <f t="shared" si="2"/>
        <v>30</v>
      </c>
      <c r="N60" s="12">
        <f t="shared" si="3"/>
        <v>7437500</v>
      </c>
      <c r="O60" s="12">
        <f t="shared" si="4"/>
        <v>42840000</v>
      </c>
      <c r="P60" s="12">
        <f t="shared" si="5"/>
        <v>11900</v>
      </c>
    </row>
    <row r="61" spans="1:16" x14ac:dyDescent="0.25">
      <c r="A61" s="3">
        <v>60</v>
      </c>
      <c r="B61" s="3">
        <v>62</v>
      </c>
      <c r="C61" s="3">
        <v>63</v>
      </c>
      <c r="D61" s="2">
        <v>11140</v>
      </c>
      <c r="E61" s="2">
        <f t="shared" si="0"/>
        <v>5492.5</v>
      </c>
      <c r="F61" s="2">
        <v>2380</v>
      </c>
      <c r="G61" s="2">
        <f t="shared" si="1"/>
        <v>991.66666666666674</v>
      </c>
      <c r="H61" s="4">
        <f>VLOOKUP(B61,nodes!A:D,2,0)</f>
        <v>570</v>
      </c>
      <c r="I61" s="4">
        <f>VLOOKUP(B61,nodes!A:D,4,0)</f>
        <v>240</v>
      </c>
      <c r="J61" s="4">
        <f>VLOOKUP(C61,nodes!A:D,2,0)</f>
        <v>600</v>
      </c>
      <c r="K61" s="4">
        <f>VLOOKUP(C61,nodes!A:D,4,0)</f>
        <v>240</v>
      </c>
      <c r="L61" s="4">
        <f t="shared" si="2"/>
        <v>30</v>
      </c>
      <c r="N61" s="12">
        <f t="shared" si="3"/>
        <v>7437500</v>
      </c>
      <c r="O61" s="12">
        <f t="shared" si="4"/>
        <v>42840000</v>
      </c>
      <c r="P61" s="12">
        <f t="shared" si="5"/>
        <v>11900</v>
      </c>
    </row>
    <row r="62" spans="1:16" x14ac:dyDescent="0.25">
      <c r="A62" s="3">
        <v>61</v>
      </c>
      <c r="B62" s="3">
        <v>64</v>
      </c>
      <c r="C62" s="3">
        <v>65</v>
      </c>
      <c r="D62" s="2">
        <v>11140</v>
      </c>
      <c r="E62" s="2">
        <f t="shared" si="0"/>
        <v>5492.5</v>
      </c>
      <c r="F62" s="2">
        <v>2380</v>
      </c>
      <c r="G62" s="2">
        <f t="shared" si="1"/>
        <v>991.66666666666674</v>
      </c>
      <c r="H62" s="4">
        <f>VLOOKUP(B62,nodes!A:D,2,0)</f>
        <v>0</v>
      </c>
      <c r="I62" s="4">
        <f>VLOOKUP(B62,nodes!A:D,4,0)</f>
        <v>210</v>
      </c>
      <c r="J62" s="4">
        <f>VLOOKUP(C62,nodes!A:D,2,0)</f>
        <v>30</v>
      </c>
      <c r="K62" s="4">
        <f>VLOOKUP(C62,nodes!A:D,4,0)</f>
        <v>210</v>
      </c>
      <c r="L62" s="4">
        <f t="shared" si="2"/>
        <v>30</v>
      </c>
      <c r="N62" s="12">
        <f t="shared" si="3"/>
        <v>7437500</v>
      </c>
      <c r="O62" s="12">
        <f t="shared" si="4"/>
        <v>42840000</v>
      </c>
      <c r="P62" s="12">
        <f t="shared" si="5"/>
        <v>11900</v>
      </c>
    </row>
    <row r="63" spans="1:16" x14ac:dyDescent="0.25">
      <c r="A63" s="3">
        <v>62</v>
      </c>
      <c r="B63" s="3">
        <v>65</v>
      </c>
      <c r="C63" s="3">
        <v>66</v>
      </c>
      <c r="D63" s="2">
        <v>11140</v>
      </c>
      <c r="E63" s="2">
        <f t="shared" si="0"/>
        <v>5492.5</v>
      </c>
      <c r="F63" s="2">
        <v>2380</v>
      </c>
      <c r="G63" s="2">
        <f t="shared" si="1"/>
        <v>991.66666666666674</v>
      </c>
      <c r="H63" s="4">
        <f>VLOOKUP(B63,nodes!A:D,2,0)</f>
        <v>30</v>
      </c>
      <c r="I63" s="4">
        <f>VLOOKUP(B63,nodes!A:D,4,0)</f>
        <v>210</v>
      </c>
      <c r="J63" s="4">
        <f>VLOOKUP(C63,nodes!A:D,2,0)</f>
        <v>60</v>
      </c>
      <c r="K63" s="4">
        <f>VLOOKUP(C63,nodes!A:D,4,0)</f>
        <v>210</v>
      </c>
      <c r="L63" s="4">
        <f t="shared" si="2"/>
        <v>30</v>
      </c>
      <c r="N63" s="12">
        <f t="shared" si="3"/>
        <v>7437500</v>
      </c>
      <c r="O63" s="12">
        <f t="shared" si="4"/>
        <v>42840000</v>
      </c>
      <c r="P63" s="12">
        <f t="shared" si="5"/>
        <v>11900</v>
      </c>
    </row>
    <row r="64" spans="1:16" x14ac:dyDescent="0.25">
      <c r="A64" s="3">
        <v>63</v>
      </c>
      <c r="B64" s="3">
        <v>66</v>
      </c>
      <c r="C64" s="3">
        <v>67</v>
      </c>
      <c r="D64" s="2">
        <v>11140</v>
      </c>
      <c r="E64" s="2">
        <f t="shared" si="0"/>
        <v>5492.5</v>
      </c>
      <c r="F64" s="2">
        <v>2380</v>
      </c>
      <c r="G64" s="2">
        <f t="shared" si="1"/>
        <v>991.66666666666674</v>
      </c>
      <c r="H64" s="4">
        <f>VLOOKUP(B64,nodes!A:D,2,0)</f>
        <v>60</v>
      </c>
      <c r="I64" s="4">
        <f>VLOOKUP(B64,nodes!A:D,4,0)</f>
        <v>210</v>
      </c>
      <c r="J64" s="4">
        <f>VLOOKUP(C64,nodes!A:D,2,0)</f>
        <v>90</v>
      </c>
      <c r="K64" s="4">
        <f>VLOOKUP(C64,nodes!A:D,4,0)</f>
        <v>210</v>
      </c>
      <c r="L64" s="4">
        <f t="shared" si="2"/>
        <v>30</v>
      </c>
      <c r="N64" s="12">
        <f t="shared" si="3"/>
        <v>7437500</v>
      </c>
      <c r="O64" s="12">
        <f t="shared" si="4"/>
        <v>42840000</v>
      </c>
      <c r="P64" s="12">
        <f t="shared" si="5"/>
        <v>11900</v>
      </c>
    </row>
    <row r="65" spans="1:16" x14ac:dyDescent="0.25">
      <c r="A65" s="3">
        <v>64</v>
      </c>
      <c r="B65" s="3">
        <v>67</v>
      </c>
      <c r="C65" s="3">
        <v>68</v>
      </c>
      <c r="D65" s="2">
        <v>11140</v>
      </c>
      <c r="E65" s="2">
        <f t="shared" si="0"/>
        <v>5492.5</v>
      </c>
      <c r="F65" s="2">
        <v>2380</v>
      </c>
      <c r="G65" s="2">
        <f t="shared" si="1"/>
        <v>991.66666666666674</v>
      </c>
      <c r="H65" s="4">
        <f>VLOOKUP(B65,nodes!A:D,2,0)</f>
        <v>90</v>
      </c>
      <c r="I65" s="4">
        <f>VLOOKUP(B65,nodes!A:D,4,0)</f>
        <v>210</v>
      </c>
      <c r="J65" s="4">
        <f>VLOOKUP(C65,nodes!A:D,2,0)</f>
        <v>120</v>
      </c>
      <c r="K65" s="4">
        <f>VLOOKUP(C65,nodes!A:D,4,0)</f>
        <v>210</v>
      </c>
      <c r="L65" s="4">
        <f t="shared" si="2"/>
        <v>30</v>
      </c>
      <c r="N65" s="12">
        <f t="shared" si="3"/>
        <v>7437500</v>
      </c>
      <c r="O65" s="12">
        <f t="shared" si="4"/>
        <v>42840000</v>
      </c>
      <c r="P65" s="12">
        <f t="shared" si="5"/>
        <v>11900</v>
      </c>
    </row>
    <row r="66" spans="1:16" x14ac:dyDescent="0.25">
      <c r="A66" s="3">
        <v>65</v>
      </c>
      <c r="B66" s="3">
        <v>68</v>
      </c>
      <c r="C66" s="3">
        <v>69</v>
      </c>
      <c r="D66" s="2">
        <v>11140</v>
      </c>
      <c r="E66" s="2">
        <f t="shared" si="0"/>
        <v>5492.5</v>
      </c>
      <c r="F66" s="2">
        <v>2380</v>
      </c>
      <c r="G66" s="2">
        <f t="shared" si="1"/>
        <v>991.66666666666674</v>
      </c>
      <c r="H66" s="4">
        <f>VLOOKUP(B66,nodes!A:D,2,0)</f>
        <v>120</v>
      </c>
      <c r="I66" s="4">
        <f>VLOOKUP(B66,nodes!A:D,4,0)</f>
        <v>210</v>
      </c>
      <c r="J66" s="4">
        <f>VLOOKUP(C66,nodes!A:D,2,0)</f>
        <v>150</v>
      </c>
      <c r="K66" s="4">
        <f>VLOOKUP(C66,nodes!A:D,4,0)</f>
        <v>210</v>
      </c>
      <c r="L66" s="4">
        <f t="shared" si="2"/>
        <v>30</v>
      </c>
      <c r="N66" s="12">
        <f t="shared" si="3"/>
        <v>7437500</v>
      </c>
      <c r="O66" s="12">
        <f t="shared" si="4"/>
        <v>42840000</v>
      </c>
      <c r="P66" s="12">
        <f t="shared" si="5"/>
        <v>11900</v>
      </c>
    </row>
    <row r="67" spans="1:16" x14ac:dyDescent="0.25">
      <c r="A67" s="3">
        <v>66</v>
      </c>
      <c r="B67" s="3">
        <v>69</v>
      </c>
      <c r="C67" s="3">
        <v>70</v>
      </c>
      <c r="D67" s="2">
        <v>11140</v>
      </c>
      <c r="E67" s="2">
        <f t="shared" ref="E67:E130" si="6">(30*13^3)/12</f>
        <v>5492.5</v>
      </c>
      <c r="F67" s="2">
        <v>2380</v>
      </c>
      <c r="G67" s="2">
        <f t="shared" ref="G67:G130" si="7">F67/(2*(1+0.2))</f>
        <v>991.66666666666674</v>
      </c>
      <c r="H67" s="4">
        <f>VLOOKUP(B67,nodes!A:D,2,0)</f>
        <v>150</v>
      </c>
      <c r="I67" s="4">
        <f>VLOOKUP(B67,nodes!A:D,4,0)</f>
        <v>210</v>
      </c>
      <c r="J67" s="4">
        <f>VLOOKUP(C67,nodes!A:D,2,0)</f>
        <v>180</v>
      </c>
      <c r="K67" s="4">
        <f>VLOOKUP(C67,nodes!A:D,4,0)</f>
        <v>210</v>
      </c>
      <c r="L67" s="4">
        <f t="shared" ref="L67:L130" si="8">((J67-H67)^2+(K67-I67)^2)^0.5</f>
        <v>30</v>
      </c>
      <c r="N67" s="12">
        <f t="shared" ref="N67:N130" si="9">12*2380*60*(25^3)/(300*12)</f>
        <v>7437500</v>
      </c>
      <c r="O67" s="12">
        <f t="shared" ref="O67:O130" si="10">12*2380*25*(60^3)/(300*12)</f>
        <v>42840000</v>
      </c>
      <c r="P67" s="12">
        <f t="shared" ref="P67:P130" si="11">2380*25*60/300</f>
        <v>11900</v>
      </c>
    </row>
    <row r="68" spans="1:16" x14ac:dyDescent="0.25">
      <c r="A68" s="3">
        <v>67</v>
      </c>
      <c r="B68" s="3">
        <v>70</v>
      </c>
      <c r="C68" s="3">
        <v>71</v>
      </c>
      <c r="D68" s="2">
        <v>11140</v>
      </c>
      <c r="E68" s="2">
        <f t="shared" si="6"/>
        <v>5492.5</v>
      </c>
      <c r="F68" s="2">
        <v>2380</v>
      </c>
      <c r="G68" s="2">
        <f t="shared" si="7"/>
        <v>991.66666666666674</v>
      </c>
      <c r="H68" s="4">
        <f>VLOOKUP(B68,nodes!A:D,2,0)</f>
        <v>180</v>
      </c>
      <c r="I68" s="4">
        <f>VLOOKUP(B68,nodes!A:D,4,0)</f>
        <v>210</v>
      </c>
      <c r="J68" s="4">
        <f>VLOOKUP(C68,nodes!A:D,2,0)</f>
        <v>210</v>
      </c>
      <c r="K68" s="4">
        <f>VLOOKUP(C68,nodes!A:D,4,0)</f>
        <v>210</v>
      </c>
      <c r="L68" s="4">
        <f t="shared" si="8"/>
        <v>30</v>
      </c>
      <c r="N68" s="12">
        <f t="shared" si="9"/>
        <v>7437500</v>
      </c>
      <c r="O68" s="12">
        <f t="shared" si="10"/>
        <v>42840000</v>
      </c>
      <c r="P68" s="12">
        <f t="shared" si="11"/>
        <v>11900</v>
      </c>
    </row>
    <row r="69" spans="1:16" x14ac:dyDescent="0.25">
      <c r="A69" s="3">
        <v>68</v>
      </c>
      <c r="B69" s="3">
        <v>71</v>
      </c>
      <c r="C69" s="3">
        <v>72</v>
      </c>
      <c r="D69" s="2">
        <v>11140</v>
      </c>
      <c r="E69" s="2">
        <f t="shared" si="6"/>
        <v>5492.5</v>
      </c>
      <c r="F69" s="2">
        <v>2380</v>
      </c>
      <c r="G69" s="2">
        <f t="shared" si="7"/>
        <v>991.66666666666674</v>
      </c>
      <c r="H69" s="4">
        <f>VLOOKUP(B69,nodes!A:D,2,0)</f>
        <v>210</v>
      </c>
      <c r="I69" s="4">
        <f>VLOOKUP(B69,nodes!A:D,4,0)</f>
        <v>210</v>
      </c>
      <c r="J69" s="4">
        <f>VLOOKUP(C69,nodes!A:D,2,0)</f>
        <v>240</v>
      </c>
      <c r="K69" s="4">
        <f>VLOOKUP(C69,nodes!A:D,4,0)</f>
        <v>210</v>
      </c>
      <c r="L69" s="4">
        <f t="shared" si="8"/>
        <v>30</v>
      </c>
      <c r="N69" s="12">
        <f t="shared" si="9"/>
        <v>7437500</v>
      </c>
      <c r="O69" s="12">
        <f t="shared" si="10"/>
        <v>42840000</v>
      </c>
      <c r="P69" s="12">
        <f t="shared" si="11"/>
        <v>11900</v>
      </c>
    </row>
    <row r="70" spans="1:16" x14ac:dyDescent="0.25">
      <c r="A70" s="3">
        <v>69</v>
      </c>
      <c r="B70" s="3">
        <v>72</v>
      </c>
      <c r="C70" s="3">
        <v>73</v>
      </c>
      <c r="D70" s="2">
        <v>11140</v>
      </c>
      <c r="E70" s="2">
        <f t="shared" si="6"/>
        <v>5492.5</v>
      </c>
      <c r="F70" s="2">
        <v>2380</v>
      </c>
      <c r="G70" s="2">
        <f t="shared" si="7"/>
        <v>991.66666666666674</v>
      </c>
      <c r="H70" s="4">
        <f>VLOOKUP(B70,nodes!A:D,2,0)</f>
        <v>240</v>
      </c>
      <c r="I70" s="4">
        <f>VLOOKUP(B70,nodes!A:D,4,0)</f>
        <v>210</v>
      </c>
      <c r="J70" s="4">
        <f>VLOOKUP(C70,nodes!A:D,2,0)</f>
        <v>270</v>
      </c>
      <c r="K70" s="4">
        <f>VLOOKUP(C70,nodes!A:D,4,0)</f>
        <v>210</v>
      </c>
      <c r="L70" s="4">
        <f t="shared" si="8"/>
        <v>30</v>
      </c>
      <c r="N70" s="12">
        <f t="shared" si="9"/>
        <v>7437500</v>
      </c>
      <c r="O70" s="12">
        <f t="shared" si="10"/>
        <v>42840000</v>
      </c>
      <c r="P70" s="12">
        <f t="shared" si="11"/>
        <v>11900</v>
      </c>
    </row>
    <row r="71" spans="1:16" x14ac:dyDescent="0.25">
      <c r="A71" s="3">
        <v>70</v>
      </c>
      <c r="B71" s="3">
        <v>73</v>
      </c>
      <c r="C71" s="3">
        <v>74</v>
      </c>
      <c r="D71" s="2">
        <v>11140</v>
      </c>
      <c r="E71" s="2">
        <f t="shared" si="6"/>
        <v>5492.5</v>
      </c>
      <c r="F71" s="2">
        <v>2380</v>
      </c>
      <c r="G71" s="2">
        <f t="shared" si="7"/>
        <v>991.66666666666674</v>
      </c>
      <c r="H71" s="4">
        <f>VLOOKUP(B71,nodes!A:D,2,0)</f>
        <v>270</v>
      </c>
      <c r="I71" s="4">
        <f>VLOOKUP(B71,nodes!A:D,4,0)</f>
        <v>210</v>
      </c>
      <c r="J71" s="4">
        <f>VLOOKUP(C71,nodes!A:D,2,0)</f>
        <v>300</v>
      </c>
      <c r="K71" s="4">
        <f>VLOOKUP(C71,nodes!A:D,4,0)</f>
        <v>210</v>
      </c>
      <c r="L71" s="4">
        <f t="shared" si="8"/>
        <v>30</v>
      </c>
      <c r="N71" s="12">
        <f t="shared" si="9"/>
        <v>7437500</v>
      </c>
      <c r="O71" s="12">
        <f t="shared" si="10"/>
        <v>42840000</v>
      </c>
      <c r="P71" s="12">
        <f t="shared" si="11"/>
        <v>11900</v>
      </c>
    </row>
    <row r="72" spans="1:16" x14ac:dyDescent="0.25">
      <c r="A72" s="3">
        <v>71</v>
      </c>
      <c r="B72" s="3">
        <v>74</v>
      </c>
      <c r="C72" s="3">
        <v>75</v>
      </c>
      <c r="D72" s="2">
        <v>11140</v>
      </c>
      <c r="E72" s="2">
        <f t="shared" si="6"/>
        <v>5492.5</v>
      </c>
      <c r="F72" s="2">
        <v>2380</v>
      </c>
      <c r="G72" s="2">
        <f t="shared" si="7"/>
        <v>991.66666666666674</v>
      </c>
      <c r="H72" s="4">
        <f>VLOOKUP(B72,nodes!A:D,2,0)</f>
        <v>300</v>
      </c>
      <c r="I72" s="4">
        <f>VLOOKUP(B72,nodes!A:D,4,0)</f>
        <v>210</v>
      </c>
      <c r="J72" s="4">
        <f>VLOOKUP(C72,nodes!A:D,2,0)</f>
        <v>330</v>
      </c>
      <c r="K72" s="4">
        <f>VLOOKUP(C72,nodes!A:D,4,0)</f>
        <v>210</v>
      </c>
      <c r="L72" s="4">
        <f t="shared" si="8"/>
        <v>30</v>
      </c>
      <c r="N72" s="12">
        <f t="shared" si="9"/>
        <v>7437500</v>
      </c>
      <c r="O72" s="12">
        <f t="shared" si="10"/>
        <v>42840000</v>
      </c>
      <c r="P72" s="12">
        <f t="shared" si="11"/>
        <v>11900</v>
      </c>
    </row>
    <row r="73" spans="1:16" x14ac:dyDescent="0.25">
      <c r="A73" s="3">
        <v>72</v>
      </c>
      <c r="B73" s="3">
        <v>75</v>
      </c>
      <c r="C73" s="3">
        <v>76</v>
      </c>
      <c r="D73" s="2">
        <v>11140</v>
      </c>
      <c r="E73" s="2">
        <f t="shared" si="6"/>
        <v>5492.5</v>
      </c>
      <c r="F73" s="2">
        <v>2380</v>
      </c>
      <c r="G73" s="2">
        <f t="shared" si="7"/>
        <v>991.66666666666674</v>
      </c>
      <c r="H73" s="4">
        <f>VLOOKUP(B73,nodes!A:D,2,0)</f>
        <v>330</v>
      </c>
      <c r="I73" s="4">
        <f>VLOOKUP(B73,nodes!A:D,4,0)</f>
        <v>210</v>
      </c>
      <c r="J73" s="4">
        <f>VLOOKUP(C73,nodes!A:D,2,0)</f>
        <v>360</v>
      </c>
      <c r="K73" s="4">
        <f>VLOOKUP(C73,nodes!A:D,4,0)</f>
        <v>210</v>
      </c>
      <c r="L73" s="4">
        <f t="shared" si="8"/>
        <v>30</v>
      </c>
      <c r="N73" s="12">
        <f t="shared" si="9"/>
        <v>7437500</v>
      </c>
      <c r="O73" s="12">
        <f t="shared" si="10"/>
        <v>42840000</v>
      </c>
      <c r="P73" s="12">
        <f t="shared" si="11"/>
        <v>11900</v>
      </c>
    </row>
    <row r="74" spans="1:16" x14ac:dyDescent="0.25">
      <c r="A74" s="3">
        <v>73</v>
      </c>
      <c r="B74" s="3">
        <v>76</v>
      </c>
      <c r="C74" s="3">
        <v>77</v>
      </c>
      <c r="D74" s="2">
        <v>11140</v>
      </c>
      <c r="E74" s="2">
        <f t="shared" si="6"/>
        <v>5492.5</v>
      </c>
      <c r="F74" s="2">
        <v>2380</v>
      </c>
      <c r="G74" s="2">
        <f t="shared" si="7"/>
        <v>991.66666666666674</v>
      </c>
      <c r="H74" s="4">
        <f>VLOOKUP(B74,nodes!A:D,2,0)</f>
        <v>360</v>
      </c>
      <c r="I74" s="4">
        <f>VLOOKUP(B74,nodes!A:D,4,0)</f>
        <v>210</v>
      </c>
      <c r="J74" s="4">
        <f>VLOOKUP(C74,nodes!A:D,2,0)</f>
        <v>390</v>
      </c>
      <c r="K74" s="4">
        <f>VLOOKUP(C74,nodes!A:D,4,0)</f>
        <v>210</v>
      </c>
      <c r="L74" s="4">
        <f t="shared" si="8"/>
        <v>30</v>
      </c>
      <c r="N74" s="12">
        <f t="shared" si="9"/>
        <v>7437500</v>
      </c>
      <c r="O74" s="12">
        <f t="shared" si="10"/>
        <v>42840000</v>
      </c>
      <c r="P74" s="12">
        <f t="shared" si="11"/>
        <v>11900</v>
      </c>
    </row>
    <row r="75" spans="1:16" x14ac:dyDescent="0.25">
      <c r="A75" s="3">
        <v>74</v>
      </c>
      <c r="B75" s="3">
        <v>77</v>
      </c>
      <c r="C75" s="3">
        <v>78</v>
      </c>
      <c r="D75" s="2">
        <v>11140</v>
      </c>
      <c r="E75" s="2">
        <f t="shared" si="6"/>
        <v>5492.5</v>
      </c>
      <c r="F75" s="2">
        <v>2380</v>
      </c>
      <c r="G75" s="2">
        <f t="shared" si="7"/>
        <v>991.66666666666674</v>
      </c>
      <c r="H75" s="4">
        <f>VLOOKUP(B75,nodes!A:D,2,0)</f>
        <v>390</v>
      </c>
      <c r="I75" s="4">
        <f>VLOOKUP(B75,nodes!A:D,4,0)</f>
        <v>210</v>
      </c>
      <c r="J75" s="4">
        <f>VLOOKUP(C75,nodes!A:D,2,0)</f>
        <v>420</v>
      </c>
      <c r="K75" s="4">
        <f>VLOOKUP(C75,nodes!A:D,4,0)</f>
        <v>210</v>
      </c>
      <c r="L75" s="4">
        <f t="shared" si="8"/>
        <v>30</v>
      </c>
      <c r="N75" s="12">
        <f t="shared" si="9"/>
        <v>7437500</v>
      </c>
      <c r="O75" s="12">
        <f t="shared" si="10"/>
        <v>42840000</v>
      </c>
      <c r="P75" s="12">
        <f t="shared" si="11"/>
        <v>11900</v>
      </c>
    </row>
    <row r="76" spans="1:16" x14ac:dyDescent="0.25">
      <c r="A76" s="3">
        <v>75</v>
      </c>
      <c r="B76" s="3">
        <v>78</v>
      </c>
      <c r="C76" s="3">
        <v>79</v>
      </c>
      <c r="D76" s="2">
        <v>11140</v>
      </c>
      <c r="E76" s="2">
        <f t="shared" si="6"/>
        <v>5492.5</v>
      </c>
      <c r="F76" s="2">
        <v>2380</v>
      </c>
      <c r="G76" s="2">
        <f t="shared" si="7"/>
        <v>991.66666666666674</v>
      </c>
      <c r="H76" s="4">
        <f>VLOOKUP(B76,nodes!A:D,2,0)</f>
        <v>420</v>
      </c>
      <c r="I76" s="4">
        <f>VLOOKUP(B76,nodes!A:D,4,0)</f>
        <v>210</v>
      </c>
      <c r="J76" s="4">
        <f>VLOOKUP(C76,nodes!A:D,2,0)</f>
        <v>450</v>
      </c>
      <c r="K76" s="4">
        <f>VLOOKUP(C76,nodes!A:D,4,0)</f>
        <v>210</v>
      </c>
      <c r="L76" s="4">
        <f t="shared" si="8"/>
        <v>30</v>
      </c>
      <c r="N76" s="12">
        <f t="shared" si="9"/>
        <v>7437500</v>
      </c>
      <c r="O76" s="12">
        <f t="shared" si="10"/>
        <v>42840000</v>
      </c>
      <c r="P76" s="12">
        <f t="shared" si="11"/>
        <v>11900</v>
      </c>
    </row>
    <row r="77" spans="1:16" x14ac:dyDescent="0.25">
      <c r="A77" s="3">
        <v>76</v>
      </c>
      <c r="B77" s="3">
        <v>79</v>
      </c>
      <c r="C77" s="3">
        <v>80</v>
      </c>
      <c r="D77" s="2">
        <v>11140</v>
      </c>
      <c r="E77" s="2">
        <f t="shared" si="6"/>
        <v>5492.5</v>
      </c>
      <c r="F77" s="2">
        <v>2380</v>
      </c>
      <c r="G77" s="2">
        <f t="shared" si="7"/>
        <v>991.66666666666674</v>
      </c>
      <c r="H77" s="4">
        <f>VLOOKUP(B77,nodes!A:D,2,0)</f>
        <v>450</v>
      </c>
      <c r="I77" s="4">
        <f>VLOOKUP(B77,nodes!A:D,4,0)</f>
        <v>210</v>
      </c>
      <c r="J77" s="4">
        <f>VLOOKUP(C77,nodes!A:D,2,0)</f>
        <v>480</v>
      </c>
      <c r="K77" s="4">
        <f>VLOOKUP(C77,nodes!A:D,4,0)</f>
        <v>210</v>
      </c>
      <c r="L77" s="4">
        <f t="shared" si="8"/>
        <v>30</v>
      </c>
      <c r="N77" s="12">
        <f t="shared" si="9"/>
        <v>7437500</v>
      </c>
      <c r="O77" s="12">
        <f t="shared" si="10"/>
        <v>42840000</v>
      </c>
      <c r="P77" s="12">
        <f t="shared" si="11"/>
        <v>11900</v>
      </c>
    </row>
    <row r="78" spans="1:16" x14ac:dyDescent="0.25">
      <c r="A78" s="3">
        <v>77</v>
      </c>
      <c r="B78" s="3">
        <v>80</v>
      </c>
      <c r="C78" s="3">
        <v>81</v>
      </c>
      <c r="D78" s="2">
        <v>11140</v>
      </c>
      <c r="E78" s="2">
        <f t="shared" si="6"/>
        <v>5492.5</v>
      </c>
      <c r="F78" s="2">
        <v>2380</v>
      </c>
      <c r="G78" s="2">
        <f t="shared" si="7"/>
        <v>991.66666666666674</v>
      </c>
      <c r="H78" s="4">
        <f>VLOOKUP(B78,nodes!A:D,2,0)</f>
        <v>480</v>
      </c>
      <c r="I78" s="4">
        <f>VLOOKUP(B78,nodes!A:D,4,0)</f>
        <v>210</v>
      </c>
      <c r="J78" s="4">
        <f>VLOOKUP(C78,nodes!A:D,2,0)</f>
        <v>509.99999999999994</v>
      </c>
      <c r="K78" s="4">
        <f>VLOOKUP(C78,nodes!A:D,4,0)</f>
        <v>210</v>
      </c>
      <c r="L78" s="4">
        <f t="shared" si="8"/>
        <v>29.999999999999943</v>
      </c>
      <c r="N78" s="12">
        <f t="shared" si="9"/>
        <v>7437500</v>
      </c>
      <c r="O78" s="12">
        <f t="shared" si="10"/>
        <v>42840000</v>
      </c>
      <c r="P78" s="12">
        <f t="shared" si="11"/>
        <v>11900</v>
      </c>
    </row>
    <row r="79" spans="1:16" x14ac:dyDescent="0.25">
      <c r="A79" s="3">
        <v>78</v>
      </c>
      <c r="B79" s="3">
        <v>81</v>
      </c>
      <c r="C79" s="3">
        <v>82</v>
      </c>
      <c r="D79" s="2">
        <v>11140</v>
      </c>
      <c r="E79" s="2">
        <f t="shared" si="6"/>
        <v>5492.5</v>
      </c>
      <c r="F79" s="2">
        <v>2380</v>
      </c>
      <c r="G79" s="2">
        <f t="shared" si="7"/>
        <v>991.66666666666674</v>
      </c>
      <c r="H79" s="4">
        <f>VLOOKUP(B79,nodes!A:D,2,0)</f>
        <v>509.99999999999994</v>
      </c>
      <c r="I79" s="4">
        <f>VLOOKUP(B79,nodes!A:D,4,0)</f>
        <v>210</v>
      </c>
      <c r="J79" s="4">
        <f>VLOOKUP(C79,nodes!A:D,2,0)</f>
        <v>540</v>
      </c>
      <c r="K79" s="4">
        <f>VLOOKUP(C79,nodes!A:D,4,0)</f>
        <v>210</v>
      </c>
      <c r="L79" s="4">
        <f t="shared" si="8"/>
        <v>30.000000000000057</v>
      </c>
      <c r="N79" s="12">
        <f t="shared" si="9"/>
        <v>7437500</v>
      </c>
      <c r="O79" s="12">
        <f t="shared" si="10"/>
        <v>42840000</v>
      </c>
      <c r="P79" s="12">
        <f t="shared" si="11"/>
        <v>11900</v>
      </c>
    </row>
    <row r="80" spans="1:16" x14ac:dyDescent="0.25">
      <c r="A80" s="3">
        <v>79</v>
      </c>
      <c r="B80" s="3">
        <v>82</v>
      </c>
      <c r="C80" s="3">
        <v>83</v>
      </c>
      <c r="D80" s="2">
        <v>11140</v>
      </c>
      <c r="E80" s="2">
        <f t="shared" si="6"/>
        <v>5492.5</v>
      </c>
      <c r="F80" s="2">
        <v>2380</v>
      </c>
      <c r="G80" s="2">
        <f t="shared" si="7"/>
        <v>991.66666666666674</v>
      </c>
      <c r="H80" s="4">
        <f>VLOOKUP(B80,nodes!A:D,2,0)</f>
        <v>540</v>
      </c>
      <c r="I80" s="4">
        <f>VLOOKUP(B80,nodes!A:D,4,0)</f>
        <v>210</v>
      </c>
      <c r="J80" s="4">
        <f>VLOOKUP(C80,nodes!A:D,2,0)</f>
        <v>570</v>
      </c>
      <c r="K80" s="4">
        <f>VLOOKUP(C80,nodes!A:D,4,0)</f>
        <v>210</v>
      </c>
      <c r="L80" s="4">
        <f t="shared" si="8"/>
        <v>30</v>
      </c>
      <c r="N80" s="12">
        <f t="shared" si="9"/>
        <v>7437500</v>
      </c>
      <c r="O80" s="12">
        <f t="shared" si="10"/>
        <v>42840000</v>
      </c>
      <c r="P80" s="12">
        <f t="shared" si="11"/>
        <v>11900</v>
      </c>
    </row>
    <row r="81" spans="1:16" x14ac:dyDescent="0.25">
      <c r="A81" s="3">
        <v>80</v>
      </c>
      <c r="B81" s="3">
        <v>83</v>
      </c>
      <c r="C81" s="3">
        <v>84</v>
      </c>
      <c r="D81" s="2">
        <v>11140</v>
      </c>
      <c r="E81" s="2">
        <f t="shared" si="6"/>
        <v>5492.5</v>
      </c>
      <c r="F81" s="2">
        <v>2380</v>
      </c>
      <c r="G81" s="2">
        <f t="shared" si="7"/>
        <v>991.66666666666674</v>
      </c>
      <c r="H81" s="4">
        <f>VLOOKUP(B81,nodes!A:D,2,0)</f>
        <v>570</v>
      </c>
      <c r="I81" s="4">
        <f>VLOOKUP(B81,nodes!A:D,4,0)</f>
        <v>210</v>
      </c>
      <c r="J81" s="4">
        <f>VLOOKUP(C81,nodes!A:D,2,0)</f>
        <v>600</v>
      </c>
      <c r="K81" s="4">
        <f>VLOOKUP(C81,nodes!A:D,4,0)</f>
        <v>210</v>
      </c>
      <c r="L81" s="4">
        <f t="shared" si="8"/>
        <v>30</v>
      </c>
      <c r="N81" s="12">
        <f t="shared" si="9"/>
        <v>7437500</v>
      </c>
      <c r="O81" s="12">
        <f t="shared" si="10"/>
        <v>42840000</v>
      </c>
      <c r="P81" s="12">
        <f t="shared" si="11"/>
        <v>11900</v>
      </c>
    </row>
    <row r="82" spans="1:16" x14ac:dyDescent="0.25">
      <c r="A82" s="3">
        <v>81</v>
      </c>
      <c r="B82" s="3">
        <v>85</v>
      </c>
      <c r="C82" s="3">
        <v>86</v>
      </c>
      <c r="D82" s="2">
        <v>11140</v>
      </c>
      <c r="E82" s="2">
        <f t="shared" si="6"/>
        <v>5492.5</v>
      </c>
      <c r="F82" s="2">
        <v>2380</v>
      </c>
      <c r="G82" s="2">
        <f t="shared" si="7"/>
        <v>991.66666666666674</v>
      </c>
      <c r="H82" s="4">
        <f>VLOOKUP(B82,nodes!A:D,2,0)</f>
        <v>0</v>
      </c>
      <c r="I82" s="4">
        <f>VLOOKUP(B82,nodes!A:D,4,0)</f>
        <v>180</v>
      </c>
      <c r="J82" s="4">
        <f>VLOOKUP(C82,nodes!A:D,2,0)</f>
        <v>30</v>
      </c>
      <c r="K82" s="4">
        <f>VLOOKUP(C82,nodes!A:D,4,0)</f>
        <v>180</v>
      </c>
      <c r="L82" s="4">
        <f t="shared" si="8"/>
        <v>30</v>
      </c>
      <c r="N82" s="12">
        <f t="shared" si="9"/>
        <v>7437500</v>
      </c>
      <c r="O82" s="12">
        <f t="shared" si="10"/>
        <v>42840000</v>
      </c>
      <c r="P82" s="12">
        <f t="shared" si="11"/>
        <v>11900</v>
      </c>
    </row>
    <row r="83" spans="1:16" x14ac:dyDescent="0.25">
      <c r="A83" s="3">
        <v>82</v>
      </c>
      <c r="B83" s="3">
        <v>86</v>
      </c>
      <c r="C83" s="3">
        <v>87</v>
      </c>
      <c r="D83" s="2">
        <v>11140</v>
      </c>
      <c r="E83" s="2">
        <f t="shared" si="6"/>
        <v>5492.5</v>
      </c>
      <c r="F83" s="2">
        <v>2380</v>
      </c>
      <c r="G83" s="2">
        <f t="shared" si="7"/>
        <v>991.66666666666674</v>
      </c>
      <c r="H83" s="4">
        <f>VLOOKUP(B83,nodes!A:D,2,0)</f>
        <v>30</v>
      </c>
      <c r="I83" s="4">
        <f>VLOOKUP(B83,nodes!A:D,4,0)</f>
        <v>180</v>
      </c>
      <c r="J83" s="4">
        <f>VLOOKUP(C83,nodes!A:D,2,0)</f>
        <v>60</v>
      </c>
      <c r="K83" s="4">
        <f>VLOOKUP(C83,nodes!A:D,4,0)</f>
        <v>180</v>
      </c>
      <c r="L83" s="4">
        <f t="shared" si="8"/>
        <v>30</v>
      </c>
      <c r="N83" s="12">
        <f t="shared" si="9"/>
        <v>7437500</v>
      </c>
      <c r="O83" s="12">
        <f t="shared" si="10"/>
        <v>42840000</v>
      </c>
      <c r="P83" s="12">
        <f t="shared" si="11"/>
        <v>11900</v>
      </c>
    </row>
    <row r="84" spans="1:16" x14ac:dyDescent="0.25">
      <c r="A84" s="3">
        <v>83</v>
      </c>
      <c r="B84" s="3">
        <v>87</v>
      </c>
      <c r="C84" s="3">
        <v>88</v>
      </c>
      <c r="D84" s="2">
        <v>11140</v>
      </c>
      <c r="E84" s="2">
        <f t="shared" si="6"/>
        <v>5492.5</v>
      </c>
      <c r="F84" s="2">
        <v>2380</v>
      </c>
      <c r="G84" s="2">
        <f t="shared" si="7"/>
        <v>991.66666666666674</v>
      </c>
      <c r="H84" s="4">
        <f>VLOOKUP(B84,nodes!A:D,2,0)</f>
        <v>60</v>
      </c>
      <c r="I84" s="4">
        <f>VLOOKUP(B84,nodes!A:D,4,0)</f>
        <v>180</v>
      </c>
      <c r="J84" s="4">
        <f>VLOOKUP(C84,nodes!A:D,2,0)</f>
        <v>90</v>
      </c>
      <c r="K84" s="4">
        <f>VLOOKUP(C84,nodes!A:D,4,0)</f>
        <v>180</v>
      </c>
      <c r="L84" s="4">
        <f t="shared" si="8"/>
        <v>30</v>
      </c>
      <c r="N84" s="12">
        <f t="shared" si="9"/>
        <v>7437500</v>
      </c>
      <c r="O84" s="12">
        <f t="shared" si="10"/>
        <v>42840000</v>
      </c>
      <c r="P84" s="12">
        <f t="shared" si="11"/>
        <v>11900</v>
      </c>
    </row>
    <row r="85" spans="1:16" x14ac:dyDescent="0.25">
      <c r="A85" s="3">
        <v>84</v>
      </c>
      <c r="B85" s="3">
        <v>88</v>
      </c>
      <c r="C85" s="3">
        <v>89</v>
      </c>
      <c r="D85" s="2">
        <v>11140</v>
      </c>
      <c r="E85" s="2">
        <f t="shared" si="6"/>
        <v>5492.5</v>
      </c>
      <c r="F85" s="2">
        <v>2380</v>
      </c>
      <c r="G85" s="2">
        <f t="shared" si="7"/>
        <v>991.66666666666674</v>
      </c>
      <c r="H85" s="4">
        <f>VLOOKUP(B85,nodes!A:D,2,0)</f>
        <v>90</v>
      </c>
      <c r="I85" s="4">
        <f>VLOOKUP(B85,nodes!A:D,4,0)</f>
        <v>180</v>
      </c>
      <c r="J85" s="4">
        <f>VLOOKUP(C85,nodes!A:D,2,0)</f>
        <v>120</v>
      </c>
      <c r="K85" s="4">
        <f>VLOOKUP(C85,nodes!A:D,4,0)</f>
        <v>180</v>
      </c>
      <c r="L85" s="4">
        <f t="shared" si="8"/>
        <v>30</v>
      </c>
      <c r="N85" s="12">
        <f t="shared" si="9"/>
        <v>7437500</v>
      </c>
      <c r="O85" s="12">
        <f t="shared" si="10"/>
        <v>42840000</v>
      </c>
      <c r="P85" s="12">
        <f t="shared" si="11"/>
        <v>11900</v>
      </c>
    </row>
    <row r="86" spans="1:16" x14ac:dyDescent="0.25">
      <c r="A86" s="3">
        <v>85</v>
      </c>
      <c r="B86" s="3">
        <v>89</v>
      </c>
      <c r="C86" s="3">
        <v>90</v>
      </c>
      <c r="D86" s="2">
        <v>11140</v>
      </c>
      <c r="E86" s="2">
        <f t="shared" si="6"/>
        <v>5492.5</v>
      </c>
      <c r="F86" s="2">
        <v>2380</v>
      </c>
      <c r="G86" s="2">
        <f t="shared" si="7"/>
        <v>991.66666666666674</v>
      </c>
      <c r="H86" s="4">
        <f>VLOOKUP(B86,nodes!A:D,2,0)</f>
        <v>120</v>
      </c>
      <c r="I86" s="4">
        <f>VLOOKUP(B86,nodes!A:D,4,0)</f>
        <v>180</v>
      </c>
      <c r="J86" s="4">
        <f>VLOOKUP(C86,nodes!A:D,2,0)</f>
        <v>150</v>
      </c>
      <c r="K86" s="4">
        <f>VLOOKUP(C86,nodes!A:D,4,0)</f>
        <v>180</v>
      </c>
      <c r="L86" s="4">
        <f t="shared" si="8"/>
        <v>30</v>
      </c>
      <c r="N86" s="12">
        <f t="shared" si="9"/>
        <v>7437500</v>
      </c>
      <c r="O86" s="12">
        <f t="shared" si="10"/>
        <v>42840000</v>
      </c>
      <c r="P86" s="12">
        <f t="shared" si="11"/>
        <v>11900</v>
      </c>
    </row>
    <row r="87" spans="1:16" x14ac:dyDescent="0.25">
      <c r="A87" s="3">
        <v>86</v>
      </c>
      <c r="B87" s="3">
        <v>90</v>
      </c>
      <c r="C87" s="3">
        <v>91</v>
      </c>
      <c r="D87" s="2">
        <v>11140</v>
      </c>
      <c r="E87" s="2">
        <f t="shared" si="6"/>
        <v>5492.5</v>
      </c>
      <c r="F87" s="2">
        <v>2380</v>
      </c>
      <c r="G87" s="2">
        <f t="shared" si="7"/>
        <v>991.66666666666674</v>
      </c>
      <c r="H87" s="4">
        <f>VLOOKUP(B87,nodes!A:D,2,0)</f>
        <v>150</v>
      </c>
      <c r="I87" s="4">
        <f>VLOOKUP(B87,nodes!A:D,4,0)</f>
        <v>180</v>
      </c>
      <c r="J87" s="4">
        <f>VLOOKUP(C87,nodes!A:D,2,0)</f>
        <v>180</v>
      </c>
      <c r="K87" s="4">
        <f>VLOOKUP(C87,nodes!A:D,4,0)</f>
        <v>180</v>
      </c>
      <c r="L87" s="4">
        <f t="shared" si="8"/>
        <v>30</v>
      </c>
      <c r="N87" s="12">
        <f t="shared" si="9"/>
        <v>7437500</v>
      </c>
      <c r="O87" s="12">
        <f t="shared" si="10"/>
        <v>42840000</v>
      </c>
      <c r="P87" s="12">
        <f t="shared" si="11"/>
        <v>11900</v>
      </c>
    </row>
    <row r="88" spans="1:16" x14ac:dyDescent="0.25">
      <c r="A88" s="3">
        <v>87</v>
      </c>
      <c r="B88" s="3">
        <v>91</v>
      </c>
      <c r="C88" s="3">
        <v>92</v>
      </c>
      <c r="D88" s="2">
        <v>11140</v>
      </c>
      <c r="E88" s="2">
        <f t="shared" si="6"/>
        <v>5492.5</v>
      </c>
      <c r="F88" s="2">
        <v>2380</v>
      </c>
      <c r="G88" s="2">
        <f t="shared" si="7"/>
        <v>991.66666666666674</v>
      </c>
      <c r="H88" s="4">
        <f>VLOOKUP(B88,nodes!A:D,2,0)</f>
        <v>180</v>
      </c>
      <c r="I88" s="4">
        <f>VLOOKUP(B88,nodes!A:D,4,0)</f>
        <v>180</v>
      </c>
      <c r="J88" s="4">
        <f>VLOOKUP(C88,nodes!A:D,2,0)</f>
        <v>210</v>
      </c>
      <c r="K88" s="4">
        <f>VLOOKUP(C88,nodes!A:D,4,0)</f>
        <v>180</v>
      </c>
      <c r="L88" s="4">
        <f t="shared" si="8"/>
        <v>30</v>
      </c>
      <c r="N88" s="12">
        <f t="shared" si="9"/>
        <v>7437500</v>
      </c>
      <c r="O88" s="12">
        <f t="shared" si="10"/>
        <v>42840000</v>
      </c>
      <c r="P88" s="12">
        <f t="shared" si="11"/>
        <v>11900</v>
      </c>
    </row>
    <row r="89" spans="1:16" x14ac:dyDescent="0.25">
      <c r="A89" s="3">
        <v>88</v>
      </c>
      <c r="B89" s="3">
        <v>92</v>
      </c>
      <c r="C89" s="3">
        <v>93</v>
      </c>
      <c r="D89" s="2">
        <v>11140</v>
      </c>
      <c r="E89" s="2">
        <f t="shared" si="6"/>
        <v>5492.5</v>
      </c>
      <c r="F89" s="2">
        <v>2380</v>
      </c>
      <c r="G89" s="2">
        <f t="shared" si="7"/>
        <v>991.66666666666674</v>
      </c>
      <c r="H89" s="4">
        <f>VLOOKUP(B89,nodes!A:D,2,0)</f>
        <v>210</v>
      </c>
      <c r="I89" s="4">
        <f>VLOOKUP(B89,nodes!A:D,4,0)</f>
        <v>180</v>
      </c>
      <c r="J89" s="4">
        <f>VLOOKUP(C89,nodes!A:D,2,0)</f>
        <v>240</v>
      </c>
      <c r="K89" s="4">
        <f>VLOOKUP(C89,nodes!A:D,4,0)</f>
        <v>180</v>
      </c>
      <c r="L89" s="4">
        <f t="shared" si="8"/>
        <v>30</v>
      </c>
      <c r="N89" s="12">
        <f t="shared" si="9"/>
        <v>7437500</v>
      </c>
      <c r="O89" s="12">
        <f t="shared" si="10"/>
        <v>42840000</v>
      </c>
      <c r="P89" s="12">
        <f t="shared" si="11"/>
        <v>11900</v>
      </c>
    </row>
    <row r="90" spans="1:16" x14ac:dyDescent="0.25">
      <c r="A90" s="3">
        <v>89</v>
      </c>
      <c r="B90" s="3">
        <v>93</v>
      </c>
      <c r="C90" s="3">
        <v>94</v>
      </c>
      <c r="D90" s="2">
        <v>11140</v>
      </c>
      <c r="E90" s="2">
        <f t="shared" si="6"/>
        <v>5492.5</v>
      </c>
      <c r="F90" s="2">
        <v>2380</v>
      </c>
      <c r="G90" s="2">
        <f t="shared" si="7"/>
        <v>991.66666666666674</v>
      </c>
      <c r="H90" s="4">
        <f>VLOOKUP(B90,nodes!A:D,2,0)</f>
        <v>240</v>
      </c>
      <c r="I90" s="4">
        <f>VLOOKUP(B90,nodes!A:D,4,0)</f>
        <v>180</v>
      </c>
      <c r="J90" s="4">
        <f>VLOOKUP(C90,nodes!A:D,2,0)</f>
        <v>270</v>
      </c>
      <c r="K90" s="4">
        <f>VLOOKUP(C90,nodes!A:D,4,0)</f>
        <v>180</v>
      </c>
      <c r="L90" s="4">
        <f t="shared" si="8"/>
        <v>30</v>
      </c>
      <c r="N90" s="12">
        <f t="shared" si="9"/>
        <v>7437500</v>
      </c>
      <c r="O90" s="12">
        <f t="shared" si="10"/>
        <v>42840000</v>
      </c>
      <c r="P90" s="12">
        <f t="shared" si="11"/>
        <v>11900</v>
      </c>
    </row>
    <row r="91" spans="1:16" x14ac:dyDescent="0.25">
      <c r="A91" s="3">
        <v>90</v>
      </c>
      <c r="B91" s="3">
        <v>94</v>
      </c>
      <c r="C91" s="3">
        <v>95</v>
      </c>
      <c r="D91" s="2">
        <v>11140</v>
      </c>
      <c r="E91" s="2">
        <f t="shared" si="6"/>
        <v>5492.5</v>
      </c>
      <c r="F91" s="2">
        <v>2380</v>
      </c>
      <c r="G91" s="2">
        <f t="shared" si="7"/>
        <v>991.66666666666674</v>
      </c>
      <c r="H91" s="4">
        <f>VLOOKUP(B91,nodes!A:D,2,0)</f>
        <v>270</v>
      </c>
      <c r="I91" s="4">
        <f>VLOOKUP(B91,nodes!A:D,4,0)</f>
        <v>180</v>
      </c>
      <c r="J91" s="4">
        <f>VLOOKUP(C91,nodes!A:D,2,0)</f>
        <v>300</v>
      </c>
      <c r="K91" s="4">
        <f>VLOOKUP(C91,nodes!A:D,4,0)</f>
        <v>180</v>
      </c>
      <c r="L91" s="4">
        <f t="shared" si="8"/>
        <v>30</v>
      </c>
      <c r="N91" s="12">
        <f t="shared" si="9"/>
        <v>7437500</v>
      </c>
      <c r="O91" s="12">
        <f t="shared" si="10"/>
        <v>42840000</v>
      </c>
      <c r="P91" s="12">
        <f t="shared" si="11"/>
        <v>11900</v>
      </c>
    </row>
    <row r="92" spans="1:16" x14ac:dyDescent="0.25">
      <c r="A92" s="3">
        <v>91</v>
      </c>
      <c r="B92" s="3">
        <v>95</v>
      </c>
      <c r="C92" s="3">
        <v>96</v>
      </c>
      <c r="D92" s="2">
        <v>11140</v>
      </c>
      <c r="E92" s="2">
        <f t="shared" si="6"/>
        <v>5492.5</v>
      </c>
      <c r="F92" s="2">
        <v>2380</v>
      </c>
      <c r="G92" s="2">
        <f t="shared" si="7"/>
        <v>991.66666666666674</v>
      </c>
      <c r="H92" s="4">
        <f>VLOOKUP(B92,nodes!A:D,2,0)</f>
        <v>300</v>
      </c>
      <c r="I92" s="4">
        <f>VLOOKUP(B92,nodes!A:D,4,0)</f>
        <v>180</v>
      </c>
      <c r="J92" s="4">
        <f>VLOOKUP(C92,nodes!A:D,2,0)</f>
        <v>330</v>
      </c>
      <c r="K92" s="4">
        <f>VLOOKUP(C92,nodes!A:D,4,0)</f>
        <v>180</v>
      </c>
      <c r="L92" s="4">
        <f t="shared" si="8"/>
        <v>30</v>
      </c>
      <c r="N92" s="12">
        <f t="shared" si="9"/>
        <v>7437500</v>
      </c>
      <c r="O92" s="12">
        <f t="shared" si="10"/>
        <v>42840000</v>
      </c>
      <c r="P92" s="12">
        <f t="shared" si="11"/>
        <v>11900</v>
      </c>
    </row>
    <row r="93" spans="1:16" x14ac:dyDescent="0.25">
      <c r="A93" s="3">
        <v>92</v>
      </c>
      <c r="B93" s="3">
        <v>96</v>
      </c>
      <c r="C93" s="3">
        <v>97</v>
      </c>
      <c r="D93" s="2">
        <v>11140</v>
      </c>
      <c r="E93" s="2">
        <f t="shared" si="6"/>
        <v>5492.5</v>
      </c>
      <c r="F93" s="2">
        <v>2380</v>
      </c>
      <c r="G93" s="2">
        <f t="shared" si="7"/>
        <v>991.66666666666674</v>
      </c>
      <c r="H93" s="4">
        <f>VLOOKUP(B93,nodes!A:D,2,0)</f>
        <v>330</v>
      </c>
      <c r="I93" s="4">
        <f>VLOOKUP(B93,nodes!A:D,4,0)</f>
        <v>180</v>
      </c>
      <c r="J93" s="4">
        <f>VLOOKUP(C93,nodes!A:D,2,0)</f>
        <v>360</v>
      </c>
      <c r="K93" s="4">
        <f>VLOOKUP(C93,nodes!A:D,4,0)</f>
        <v>180</v>
      </c>
      <c r="L93" s="4">
        <f t="shared" si="8"/>
        <v>30</v>
      </c>
      <c r="N93" s="12">
        <f t="shared" si="9"/>
        <v>7437500</v>
      </c>
      <c r="O93" s="12">
        <f t="shared" si="10"/>
        <v>42840000</v>
      </c>
      <c r="P93" s="12">
        <f t="shared" si="11"/>
        <v>11900</v>
      </c>
    </row>
    <row r="94" spans="1:16" x14ac:dyDescent="0.25">
      <c r="A94" s="3">
        <v>93</v>
      </c>
      <c r="B94" s="3">
        <v>97</v>
      </c>
      <c r="C94" s="3">
        <v>98</v>
      </c>
      <c r="D94" s="2">
        <v>11140</v>
      </c>
      <c r="E94" s="2">
        <f t="shared" si="6"/>
        <v>5492.5</v>
      </c>
      <c r="F94" s="2">
        <v>2380</v>
      </c>
      <c r="G94" s="2">
        <f t="shared" si="7"/>
        <v>991.66666666666674</v>
      </c>
      <c r="H94" s="4">
        <f>VLOOKUP(B94,nodes!A:D,2,0)</f>
        <v>360</v>
      </c>
      <c r="I94" s="4">
        <f>VLOOKUP(B94,nodes!A:D,4,0)</f>
        <v>180</v>
      </c>
      <c r="J94" s="4">
        <f>VLOOKUP(C94,nodes!A:D,2,0)</f>
        <v>390</v>
      </c>
      <c r="K94" s="4">
        <f>VLOOKUP(C94,nodes!A:D,4,0)</f>
        <v>180</v>
      </c>
      <c r="L94" s="4">
        <f t="shared" si="8"/>
        <v>30</v>
      </c>
      <c r="N94" s="12">
        <f t="shared" si="9"/>
        <v>7437500</v>
      </c>
      <c r="O94" s="12">
        <f t="shared" si="10"/>
        <v>42840000</v>
      </c>
      <c r="P94" s="12">
        <f t="shared" si="11"/>
        <v>11900</v>
      </c>
    </row>
    <row r="95" spans="1:16" x14ac:dyDescent="0.25">
      <c r="A95" s="3">
        <v>94</v>
      </c>
      <c r="B95" s="3">
        <v>98</v>
      </c>
      <c r="C95" s="3">
        <v>99</v>
      </c>
      <c r="D95" s="2">
        <v>11140</v>
      </c>
      <c r="E95" s="2">
        <f t="shared" si="6"/>
        <v>5492.5</v>
      </c>
      <c r="F95" s="2">
        <v>2380</v>
      </c>
      <c r="G95" s="2">
        <f t="shared" si="7"/>
        <v>991.66666666666674</v>
      </c>
      <c r="H95" s="4">
        <f>VLOOKUP(B95,nodes!A:D,2,0)</f>
        <v>390</v>
      </c>
      <c r="I95" s="4">
        <f>VLOOKUP(B95,nodes!A:D,4,0)</f>
        <v>180</v>
      </c>
      <c r="J95" s="4">
        <f>VLOOKUP(C95,nodes!A:D,2,0)</f>
        <v>420</v>
      </c>
      <c r="K95" s="4">
        <f>VLOOKUP(C95,nodes!A:D,4,0)</f>
        <v>180</v>
      </c>
      <c r="L95" s="4">
        <f t="shared" si="8"/>
        <v>30</v>
      </c>
      <c r="N95" s="12">
        <f t="shared" si="9"/>
        <v>7437500</v>
      </c>
      <c r="O95" s="12">
        <f t="shared" si="10"/>
        <v>42840000</v>
      </c>
      <c r="P95" s="12">
        <f t="shared" si="11"/>
        <v>11900</v>
      </c>
    </row>
    <row r="96" spans="1:16" x14ac:dyDescent="0.25">
      <c r="A96" s="3">
        <v>95</v>
      </c>
      <c r="B96" s="3">
        <v>99</v>
      </c>
      <c r="C96" s="3">
        <v>100</v>
      </c>
      <c r="D96" s="2">
        <v>11140</v>
      </c>
      <c r="E96" s="2">
        <f t="shared" si="6"/>
        <v>5492.5</v>
      </c>
      <c r="F96" s="2">
        <v>2380</v>
      </c>
      <c r="G96" s="2">
        <f t="shared" si="7"/>
        <v>991.66666666666674</v>
      </c>
      <c r="H96" s="4">
        <f>VLOOKUP(B96,nodes!A:D,2,0)</f>
        <v>420</v>
      </c>
      <c r="I96" s="4">
        <f>VLOOKUP(B96,nodes!A:D,4,0)</f>
        <v>180</v>
      </c>
      <c r="J96" s="4">
        <f>VLOOKUP(C96,nodes!A:D,2,0)</f>
        <v>450</v>
      </c>
      <c r="K96" s="4">
        <f>VLOOKUP(C96,nodes!A:D,4,0)</f>
        <v>180</v>
      </c>
      <c r="L96" s="4">
        <f t="shared" si="8"/>
        <v>30</v>
      </c>
      <c r="N96" s="12">
        <f t="shared" si="9"/>
        <v>7437500</v>
      </c>
      <c r="O96" s="12">
        <f t="shared" si="10"/>
        <v>42840000</v>
      </c>
      <c r="P96" s="12">
        <f t="shared" si="11"/>
        <v>11900</v>
      </c>
    </row>
    <row r="97" spans="1:16" x14ac:dyDescent="0.25">
      <c r="A97" s="3">
        <v>96</v>
      </c>
      <c r="B97" s="3">
        <v>100</v>
      </c>
      <c r="C97" s="3">
        <v>101</v>
      </c>
      <c r="D97" s="2">
        <v>11140</v>
      </c>
      <c r="E97" s="2">
        <f t="shared" si="6"/>
        <v>5492.5</v>
      </c>
      <c r="F97" s="2">
        <v>2380</v>
      </c>
      <c r="G97" s="2">
        <f t="shared" si="7"/>
        <v>991.66666666666674</v>
      </c>
      <c r="H97" s="4">
        <f>VLOOKUP(B97,nodes!A:D,2,0)</f>
        <v>450</v>
      </c>
      <c r="I97" s="4">
        <f>VLOOKUP(B97,nodes!A:D,4,0)</f>
        <v>180</v>
      </c>
      <c r="J97" s="4">
        <f>VLOOKUP(C97,nodes!A:D,2,0)</f>
        <v>480</v>
      </c>
      <c r="K97" s="4">
        <f>VLOOKUP(C97,nodes!A:D,4,0)</f>
        <v>180</v>
      </c>
      <c r="L97" s="4">
        <f t="shared" si="8"/>
        <v>30</v>
      </c>
      <c r="N97" s="12">
        <f t="shared" si="9"/>
        <v>7437500</v>
      </c>
      <c r="O97" s="12">
        <f t="shared" si="10"/>
        <v>42840000</v>
      </c>
      <c r="P97" s="12">
        <f t="shared" si="11"/>
        <v>11900</v>
      </c>
    </row>
    <row r="98" spans="1:16" x14ac:dyDescent="0.25">
      <c r="A98" s="3">
        <v>97</v>
      </c>
      <c r="B98" s="3">
        <v>101</v>
      </c>
      <c r="C98" s="3">
        <v>102</v>
      </c>
      <c r="D98" s="2">
        <v>11140</v>
      </c>
      <c r="E98" s="2">
        <f t="shared" si="6"/>
        <v>5492.5</v>
      </c>
      <c r="F98" s="2">
        <v>2380</v>
      </c>
      <c r="G98" s="2">
        <f t="shared" si="7"/>
        <v>991.66666666666674</v>
      </c>
      <c r="H98" s="4">
        <f>VLOOKUP(B98,nodes!A:D,2,0)</f>
        <v>480</v>
      </c>
      <c r="I98" s="4">
        <f>VLOOKUP(B98,nodes!A:D,4,0)</f>
        <v>180</v>
      </c>
      <c r="J98" s="4">
        <f>VLOOKUP(C98,nodes!A:D,2,0)</f>
        <v>509.99999999999994</v>
      </c>
      <c r="K98" s="4">
        <f>VLOOKUP(C98,nodes!A:D,4,0)</f>
        <v>180</v>
      </c>
      <c r="L98" s="4">
        <f t="shared" si="8"/>
        <v>29.999999999999943</v>
      </c>
      <c r="N98" s="12">
        <f t="shared" si="9"/>
        <v>7437500</v>
      </c>
      <c r="O98" s="12">
        <f t="shared" si="10"/>
        <v>42840000</v>
      </c>
      <c r="P98" s="12">
        <f t="shared" si="11"/>
        <v>11900</v>
      </c>
    </row>
    <row r="99" spans="1:16" x14ac:dyDescent="0.25">
      <c r="A99" s="3">
        <v>98</v>
      </c>
      <c r="B99" s="3">
        <v>102</v>
      </c>
      <c r="C99" s="3">
        <v>103</v>
      </c>
      <c r="D99" s="2">
        <v>11140</v>
      </c>
      <c r="E99" s="2">
        <f t="shared" si="6"/>
        <v>5492.5</v>
      </c>
      <c r="F99" s="2">
        <v>2380</v>
      </c>
      <c r="G99" s="2">
        <f t="shared" si="7"/>
        <v>991.66666666666674</v>
      </c>
      <c r="H99" s="4">
        <f>VLOOKUP(B99,nodes!A:D,2,0)</f>
        <v>509.99999999999994</v>
      </c>
      <c r="I99" s="4">
        <f>VLOOKUP(B99,nodes!A:D,4,0)</f>
        <v>180</v>
      </c>
      <c r="J99" s="4">
        <f>VLOOKUP(C99,nodes!A:D,2,0)</f>
        <v>540</v>
      </c>
      <c r="K99" s="4">
        <f>VLOOKUP(C99,nodes!A:D,4,0)</f>
        <v>180</v>
      </c>
      <c r="L99" s="4">
        <f t="shared" si="8"/>
        <v>30.000000000000057</v>
      </c>
      <c r="N99" s="12">
        <f t="shared" si="9"/>
        <v>7437500</v>
      </c>
      <c r="O99" s="12">
        <f t="shared" si="10"/>
        <v>42840000</v>
      </c>
      <c r="P99" s="12">
        <f t="shared" si="11"/>
        <v>11900</v>
      </c>
    </row>
    <row r="100" spans="1:16" x14ac:dyDescent="0.25">
      <c r="A100" s="3">
        <v>99</v>
      </c>
      <c r="B100" s="3">
        <v>103</v>
      </c>
      <c r="C100" s="3">
        <v>104</v>
      </c>
      <c r="D100" s="2">
        <v>11140</v>
      </c>
      <c r="E100" s="2">
        <f t="shared" si="6"/>
        <v>5492.5</v>
      </c>
      <c r="F100" s="2">
        <v>2380</v>
      </c>
      <c r="G100" s="2">
        <f t="shared" si="7"/>
        <v>991.66666666666674</v>
      </c>
      <c r="H100" s="4">
        <f>VLOOKUP(B100,nodes!A:D,2,0)</f>
        <v>540</v>
      </c>
      <c r="I100" s="4">
        <f>VLOOKUP(B100,nodes!A:D,4,0)</f>
        <v>180</v>
      </c>
      <c r="J100" s="4">
        <f>VLOOKUP(C100,nodes!A:D,2,0)</f>
        <v>570</v>
      </c>
      <c r="K100" s="4">
        <f>VLOOKUP(C100,nodes!A:D,4,0)</f>
        <v>180</v>
      </c>
      <c r="L100" s="4">
        <f t="shared" si="8"/>
        <v>30</v>
      </c>
      <c r="N100" s="12">
        <f t="shared" si="9"/>
        <v>7437500</v>
      </c>
      <c r="O100" s="12">
        <f t="shared" si="10"/>
        <v>42840000</v>
      </c>
      <c r="P100" s="12">
        <f t="shared" si="11"/>
        <v>11900</v>
      </c>
    </row>
    <row r="101" spans="1:16" x14ac:dyDescent="0.25">
      <c r="A101" s="3">
        <v>100</v>
      </c>
      <c r="B101" s="3">
        <v>104</v>
      </c>
      <c r="C101" s="3">
        <v>105</v>
      </c>
      <c r="D101" s="2">
        <v>11140</v>
      </c>
      <c r="E101" s="2">
        <f t="shared" si="6"/>
        <v>5492.5</v>
      </c>
      <c r="F101" s="2">
        <v>2380</v>
      </c>
      <c r="G101" s="2">
        <f t="shared" si="7"/>
        <v>991.66666666666674</v>
      </c>
      <c r="H101" s="4">
        <f>VLOOKUP(B101,nodes!A:D,2,0)</f>
        <v>570</v>
      </c>
      <c r="I101" s="4">
        <f>VLOOKUP(B101,nodes!A:D,4,0)</f>
        <v>180</v>
      </c>
      <c r="J101" s="4">
        <f>VLOOKUP(C101,nodes!A:D,2,0)</f>
        <v>600</v>
      </c>
      <c r="K101" s="4">
        <f>VLOOKUP(C101,nodes!A:D,4,0)</f>
        <v>180</v>
      </c>
      <c r="L101" s="4">
        <f t="shared" si="8"/>
        <v>30</v>
      </c>
      <c r="N101" s="12">
        <f t="shared" si="9"/>
        <v>7437500</v>
      </c>
      <c r="O101" s="12">
        <f t="shared" si="10"/>
        <v>42840000</v>
      </c>
      <c r="P101" s="12">
        <f t="shared" si="11"/>
        <v>11900</v>
      </c>
    </row>
    <row r="102" spans="1:16" x14ac:dyDescent="0.25">
      <c r="A102" s="3">
        <v>101</v>
      </c>
      <c r="B102" s="3">
        <v>106</v>
      </c>
      <c r="C102" s="3">
        <v>107</v>
      </c>
      <c r="D102" s="2">
        <v>11140</v>
      </c>
      <c r="E102" s="2">
        <f t="shared" si="6"/>
        <v>5492.5</v>
      </c>
      <c r="F102" s="2">
        <v>2380</v>
      </c>
      <c r="G102" s="2">
        <f t="shared" si="7"/>
        <v>991.66666666666674</v>
      </c>
      <c r="H102" s="4">
        <f>VLOOKUP(B102,nodes!A:D,2,0)</f>
        <v>0</v>
      </c>
      <c r="I102" s="4">
        <f>VLOOKUP(B102,nodes!A:D,4,0)</f>
        <v>150</v>
      </c>
      <c r="J102" s="4">
        <f>VLOOKUP(C102,nodes!A:D,2,0)</f>
        <v>30</v>
      </c>
      <c r="K102" s="4">
        <f>VLOOKUP(C102,nodes!A:D,4,0)</f>
        <v>150</v>
      </c>
      <c r="L102" s="4">
        <f t="shared" si="8"/>
        <v>30</v>
      </c>
      <c r="N102" s="12">
        <f t="shared" si="9"/>
        <v>7437500</v>
      </c>
      <c r="O102" s="12">
        <f t="shared" si="10"/>
        <v>42840000</v>
      </c>
      <c r="P102" s="12">
        <f t="shared" si="11"/>
        <v>11900</v>
      </c>
    </row>
    <row r="103" spans="1:16" x14ac:dyDescent="0.25">
      <c r="A103" s="3">
        <v>102</v>
      </c>
      <c r="B103" s="3">
        <v>107</v>
      </c>
      <c r="C103" s="3">
        <v>108</v>
      </c>
      <c r="D103" s="2">
        <v>11140</v>
      </c>
      <c r="E103" s="2">
        <f t="shared" si="6"/>
        <v>5492.5</v>
      </c>
      <c r="F103" s="2">
        <v>2380</v>
      </c>
      <c r="G103" s="2">
        <f t="shared" si="7"/>
        <v>991.66666666666674</v>
      </c>
      <c r="H103" s="4">
        <f>VLOOKUP(B103,nodes!A:D,2,0)</f>
        <v>30</v>
      </c>
      <c r="I103" s="4">
        <f>VLOOKUP(B103,nodes!A:D,4,0)</f>
        <v>150</v>
      </c>
      <c r="J103" s="4">
        <f>VLOOKUP(C103,nodes!A:D,2,0)</f>
        <v>60</v>
      </c>
      <c r="K103" s="4">
        <f>VLOOKUP(C103,nodes!A:D,4,0)</f>
        <v>150</v>
      </c>
      <c r="L103" s="4">
        <f t="shared" si="8"/>
        <v>30</v>
      </c>
      <c r="N103" s="12">
        <f t="shared" si="9"/>
        <v>7437500</v>
      </c>
      <c r="O103" s="12">
        <f t="shared" si="10"/>
        <v>42840000</v>
      </c>
      <c r="P103" s="12">
        <f t="shared" si="11"/>
        <v>11900</v>
      </c>
    </row>
    <row r="104" spans="1:16" x14ac:dyDescent="0.25">
      <c r="A104" s="3">
        <v>103</v>
      </c>
      <c r="B104" s="3">
        <v>108</v>
      </c>
      <c r="C104" s="3">
        <v>109</v>
      </c>
      <c r="D104" s="2">
        <v>11140</v>
      </c>
      <c r="E104" s="2">
        <f t="shared" si="6"/>
        <v>5492.5</v>
      </c>
      <c r="F104" s="2">
        <v>2380</v>
      </c>
      <c r="G104" s="2">
        <f t="shared" si="7"/>
        <v>991.66666666666674</v>
      </c>
      <c r="H104" s="4">
        <f>VLOOKUP(B104,nodes!A:D,2,0)</f>
        <v>60</v>
      </c>
      <c r="I104" s="4">
        <f>VLOOKUP(B104,nodes!A:D,4,0)</f>
        <v>150</v>
      </c>
      <c r="J104" s="4">
        <f>VLOOKUP(C104,nodes!A:D,2,0)</f>
        <v>90</v>
      </c>
      <c r="K104" s="4">
        <f>VLOOKUP(C104,nodes!A:D,4,0)</f>
        <v>150</v>
      </c>
      <c r="L104" s="4">
        <f t="shared" si="8"/>
        <v>30</v>
      </c>
      <c r="N104" s="12">
        <f t="shared" si="9"/>
        <v>7437500</v>
      </c>
      <c r="O104" s="12">
        <f t="shared" si="10"/>
        <v>42840000</v>
      </c>
      <c r="P104" s="12">
        <f t="shared" si="11"/>
        <v>11900</v>
      </c>
    </row>
    <row r="105" spans="1:16" x14ac:dyDescent="0.25">
      <c r="A105" s="3">
        <v>104</v>
      </c>
      <c r="B105" s="3">
        <v>109</v>
      </c>
      <c r="C105" s="3">
        <v>110</v>
      </c>
      <c r="D105" s="2">
        <v>11140</v>
      </c>
      <c r="E105" s="2">
        <f t="shared" si="6"/>
        <v>5492.5</v>
      </c>
      <c r="F105" s="2">
        <v>2380</v>
      </c>
      <c r="G105" s="2">
        <f t="shared" si="7"/>
        <v>991.66666666666674</v>
      </c>
      <c r="H105" s="4">
        <f>VLOOKUP(B105,nodes!A:D,2,0)</f>
        <v>90</v>
      </c>
      <c r="I105" s="4">
        <f>VLOOKUP(B105,nodes!A:D,4,0)</f>
        <v>150</v>
      </c>
      <c r="J105" s="4">
        <f>VLOOKUP(C105,nodes!A:D,2,0)</f>
        <v>120</v>
      </c>
      <c r="K105" s="4">
        <f>VLOOKUP(C105,nodes!A:D,4,0)</f>
        <v>150</v>
      </c>
      <c r="L105" s="4">
        <f t="shared" si="8"/>
        <v>30</v>
      </c>
      <c r="N105" s="12">
        <f t="shared" si="9"/>
        <v>7437500</v>
      </c>
      <c r="O105" s="12">
        <f t="shared" si="10"/>
        <v>42840000</v>
      </c>
      <c r="P105" s="12">
        <f t="shared" si="11"/>
        <v>11900</v>
      </c>
    </row>
    <row r="106" spans="1:16" x14ac:dyDescent="0.25">
      <c r="A106" s="3">
        <v>105</v>
      </c>
      <c r="B106" s="3">
        <v>110</v>
      </c>
      <c r="C106" s="3">
        <v>111</v>
      </c>
      <c r="D106" s="2">
        <v>11140</v>
      </c>
      <c r="E106" s="2">
        <f t="shared" si="6"/>
        <v>5492.5</v>
      </c>
      <c r="F106" s="2">
        <v>2380</v>
      </c>
      <c r="G106" s="2">
        <f t="shared" si="7"/>
        <v>991.66666666666674</v>
      </c>
      <c r="H106" s="4">
        <f>VLOOKUP(B106,nodes!A:D,2,0)</f>
        <v>120</v>
      </c>
      <c r="I106" s="4">
        <f>VLOOKUP(B106,nodes!A:D,4,0)</f>
        <v>150</v>
      </c>
      <c r="J106" s="4">
        <f>VLOOKUP(C106,nodes!A:D,2,0)</f>
        <v>150</v>
      </c>
      <c r="K106" s="4">
        <f>VLOOKUP(C106,nodes!A:D,4,0)</f>
        <v>150</v>
      </c>
      <c r="L106" s="4">
        <f t="shared" si="8"/>
        <v>30</v>
      </c>
      <c r="N106" s="12">
        <f t="shared" si="9"/>
        <v>7437500</v>
      </c>
      <c r="O106" s="12">
        <f t="shared" si="10"/>
        <v>42840000</v>
      </c>
      <c r="P106" s="12">
        <f t="shared" si="11"/>
        <v>11900</v>
      </c>
    </row>
    <row r="107" spans="1:16" x14ac:dyDescent="0.25">
      <c r="A107" s="3">
        <v>106</v>
      </c>
      <c r="B107" s="3">
        <v>111</v>
      </c>
      <c r="C107" s="3">
        <v>112</v>
      </c>
      <c r="D107" s="2">
        <v>11140</v>
      </c>
      <c r="E107" s="2">
        <f t="shared" si="6"/>
        <v>5492.5</v>
      </c>
      <c r="F107" s="2">
        <v>2380</v>
      </c>
      <c r="G107" s="2">
        <f t="shared" si="7"/>
        <v>991.66666666666674</v>
      </c>
      <c r="H107" s="4">
        <f>VLOOKUP(B107,nodes!A:D,2,0)</f>
        <v>150</v>
      </c>
      <c r="I107" s="4">
        <f>VLOOKUP(B107,nodes!A:D,4,0)</f>
        <v>150</v>
      </c>
      <c r="J107" s="4">
        <f>VLOOKUP(C107,nodes!A:D,2,0)</f>
        <v>180</v>
      </c>
      <c r="K107" s="4">
        <f>VLOOKUP(C107,nodes!A:D,4,0)</f>
        <v>150</v>
      </c>
      <c r="L107" s="4">
        <f t="shared" si="8"/>
        <v>30</v>
      </c>
      <c r="N107" s="12">
        <f t="shared" si="9"/>
        <v>7437500</v>
      </c>
      <c r="O107" s="12">
        <f t="shared" si="10"/>
        <v>42840000</v>
      </c>
      <c r="P107" s="12">
        <f t="shared" si="11"/>
        <v>11900</v>
      </c>
    </row>
    <row r="108" spans="1:16" x14ac:dyDescent="0.25">
      <c r="A108" s="3">
        <v>107</v>
      </c>
      <c r="B108" s="3">
        <v>112</v>
      </c>
      <c r="C108" s="3">
        <v>113</v>
      </c>
      <c r="D108" s="2">
        <v>11140</v>
      </c>
      <c r="E108" s="2">
        <f t="shared" si="6"/>
        <v>5492.5</v>
      </c>
      <c r="F108" s="2">
        <v>2380</v>
      </c>
      <c r="G108" s="2">
        <f t="shared" si="7"/>
        <v>991.66666666666674</v>
      </c>
      <c r="H108" s="4">
        <f>VLOOKUP(B108,nodes!A:D,2,0)</f>
        <v>180</v>
      </c>
      <c r="I108" s="4">
        <f>VLOOKUP(B108,nodes!A:D,4,0)</f>
        <v>150</v>
      </c>
      <c r="J108" s="4">
        <f>VLOOKUP(C108,nodes!A:D,2,0)</f>
        <v>210</v>
      </c>
      <c r="K108" s="4">
        <f>VLOOKUP(C108,nodes!A:D,4,0)</f>
        <v>150</v>
      </c>
      <c r="L108" s="4">
        <f t="shared" si="8"/>
        <v>30</v>
      </c>
      <c r="N108" s="12">
        <f t="shared" si="9"/>
        <v>7437500</v>
      </c>
      <c r="O108" s="12">
        <f t="shared" si="10"/>
        <v>42840000</v>
      </c>
      <c r="P108" s="12">
        <f t="shared" si="11"/>
        <v>11900</v>
      </c>
    </row>
    <row r="109" spans="1:16" x14ac:dyDescent="0.25">
      <c r="A109" s="3">
        <v>108</v>
      </c>
      <c r="B109" s="3">
        <v>113</v>
      </c>
      <c r="C109" s="3">
        <v>114</v>
      </c>
      <c r="D109" s="2">
        <v>11140</v>
      </c>
      <c r="E109" s="2">
        <f t="shared" si="6"/>
        <v>5492.5</v>
      </c>
      <c r="F109" s="2">
        <v>2380</v>
      </c>
      <c r="G109" s="2">
        <f t="shared" si="7"/>
        <v>991.66666666666674</v>
      </c>
      <c r="H109" s="4">
        <f>VLOOKUP(B109,nodes!A:D,2,0)</f>
        <v>210</v>
      </c>
      <c r="I109" s="4">
        <f>VLOOKUP(B109,nodes!A:D,4,0)</f>
        <v>150</v>
      </c>
      <c r="J109" s="4">
        <f>VLOOKUP(C109,nodes!A:D,2,0)</f>
        <v>240</v>
      </c>
      <c r="K109" s="4">
        <f>VLOOKUP(C109,nodes!A:D,4,0)</f>
        <v>150</v>
      </c>
      <c r="L109" s="4">
        <f t="shared" si="8"/>
        <v>30</v>
      </c>
      <c r="N109" s="12">
        <f t="shared" si="9"/>
        <v>7437500</v>
      </c>
      <c r="O109" s="12">
        <f t="shared" si="10"/>
        <v>42840000</v>
      </c>
      <c r="P109" s="12">
        <f t="shared" si="11"/>
        <v>11900</v>
      </c>
    </row>
    <row r="110" spans="1:16" x14ac:dyDescent="0.25">
      <c r="A110" s="3">
        <v>109</v>
      </c>
      <c r="B110" s="3">
        <v>114</v>
      </c>
      <c r="C110" s="3">
        <v>115</v>
      </c>
      <c r="D110" s="2">
        <v>11140</v>
      </c>
      <c r="E110" s="2">
        <f t="shared" si="6"/>
        <v>5492.5</v>
      </c>
      <c r="F110" s="2">
        <v>2380</v>
      </c>
      <c r="G110" s="2">
        <f t="shared" si="7"/>
        <v>991.66666666666674</v>
      </c>
      <c r="H110" s="4">
        <f>VLOOKUP(B110,nodes!A:D,2,0)</f>
        <v>240</v>
      </c>
      <c r="I110" s="4">
        <f>VLOOKUP(B110,nodes!A:D,4,0)</f>
        <v>150</v>
      </c>
      <c r="J110" s="4">
        <f>VLOOKUP(C110,nodes!A:D,2,0)</f>
        <v>270</v>
      </c>
      <c r="K110" s="4">
        <f>VLOOKUP(C110,nodes!A:D,4,0)</f>
        <v>150</v>
      </c>
      <c r="L110" s="4">
        <f t="shared" si="8"/>
        <v>30</v>
      </c>
      <c r="N110" s="12">
        <f t="shared" si="9"/>
        <v>7437500</v>
      </c>
      <c r="O110" s="12">
        <f t="shared" si="10"/>
        <v>42840000</v>
      </c>
      <c r="P110" s="12">
        <f t="shared" si="11"/>
        <v>11900</v>
      </c>
    </row>
    <row r="111" spans="1:16" x14ac:dyDescent="0.25">
      <c r="A111" s="3">
        <v>110</v>
      </c>
      <c r="B111" s="3">
        <v>115</v>
      </c>
      <c r="C111" s="3">
        <v>116</v>
      </c>
      <c r="D111" s="2">
        <v>11140</v>
      </c>
      <c r="E111" s="2">
        <f t="shared" si="6"/>
        <v>5492.5</v>
      </c>
      <c r="F111" s="2">
        <v>2380</v>
      </c>
      <c r="G111" s="2">
        <f t="shared" si="7"/>
        <v>991.66666666666674</v>
      </c>
      <c r="H111" s="4">
        <f>VLOOKUP(B111,nodes!A:D,2,0)</f>
        <v>270</v>
      </c>
      <c r="I111" s="4">
        <f>VLOOKUP(B111,nodes!A:D,4,0)</f>
        <v>150</v>
      </c>
      <c r="J111" s="4">
        <f>VLOOKUP(C111,nodes!A:D,2,0)</f>
        <v>300</v>
      </c>
      <c r="K111" s="4">
        <f>VLOOKUP(C111,nodes!A:D,4,0)</f>
        <v>150</v>
      </c>
      <c r="L111" s="4">
        <f t="shared" si="8"/>
        <v>30</v>
      </c>
      <c r="N111" s="12">
        <f t="shared" si="9"/>
        <v>7437500</v>
      </c>
      <c r="O111" s="12">
        <f t="shared" si="10"/>
        <v>42840000</v>
      </c>
      <c r="P111" s="12">
        <f t="shared" si="11"/>
        <v>11900</v>
      </c>
    </row>
    <row r="112" spans="1:16" x14ac:dyDescent="0.25">
      <c r="A112" s="3">
        <v>111</v>
      </c>
      <c r="B112" s="3">
        <v>116</v>
      </c>
      <c r="C112" s="3">
        <v>117</v>
      </c>
      <c r="D112" s="2">
        <v>11140</v>
      </c>
      <c r="E112" s="2">
        <f t="shared" si="6"/>
        <v>5492.5</v>
      </c>
      <c r="F112" s="2">
        <v>2380</v>
      </c>
      <c r="G112" s="2">
        <f t="shared" si="7"/>
        <v>991.66666666666674</v>
      </c>
      <c r="H112" s="4">
        <f>VLOOKUP(B112,nodes!A:D,2,0)</f>
        <v>300</v>
      </c>
      <c r="I112" s="4">
        <f>VLOOKUP(B112,nodes!A:D,4,0)</f>
        <v>150</v>
      </c>
      <c r="J112" s="4">
        <f>VLOOKUP(C112,nodes!A:D,2,0)</f>
        <v>330</v>
      </c>
      <c r="K112" s="4">
        <f>VLOOKUP(C112,nodes!A:D,4,0)</f>
        <v>150</v>
      </c>
      <c r="L112" s="4">
        <f t="shared" si="8"/>
        <v>30</v>
      </c>
      <c r="N112" s="12">
        <f t="shared" si="9"/>
        <v>7437500</v>
      </c>
      <c r="O112" s="12">
        <f t="shared" si="10"/>
        <v>42840000</v>
      </c>
      <c r="P112" s="12">
        <f t="shared" si="11"/>
        <v>11900</v>
      </c>
    </row>
    <row r="113" spans="1:16" x14ac:dyDescent="0.25">
      <c r="A113" s="3">
        <v>112</v>
      </c>
      <c r="B113" s="3">
        <v>117</v>
      </c>
      <c r="C113" s="3">
        <v>118</v>
      </c>
      <c r="D113" s="2">
        <v>11140</v>
      </c>
      <c r="E113" s="2">
        <f t="shared" si="6"/>
        <v>5492.5</v>
      </c>
      <c r="F113" s="2">
        <v>2380</v>
      </c>
      <c r="G113" s="2">
        <f t="shared" si="7"/>
        <v>991.66666666666674</v>
      </c>
      <c r="H113" s="4">
        <f>VLOOKUP(B113,nodes!A:D,2,0)</f>
        <v>330</v>
      </c>
      <c r="I113" s="4">
        <f>VLOOKUP(B113,nodes!A:D,4,0)</f>
        <v>150</v>
      </c>
      <c r="J113" s="4">
        <f>VLOOKUP(C113,nodes!A:D,2,0)</f>
        <v>360</v>
      </c>
      <c r="K113" s="4">
        <f>VLOOKUP(C113,nodes!A:D,4,0)</f>
        <v>150</v>
      </c>
      <c r="L113" s="4">
        <f t="shared" si="8"/>
        <v>30</v>
      </c>
      <c r="N113" s="12">
        <f t="shared" si="9"/>
        <v>7437500</v>
      </c>
      <c r="O113" s="12">
        <f t="shared" si="10"/>
        <v>42840000</v>
      </c>
      <c r="P113" s="12">
        <f t="shared" si="11"/>
        <v>11900</v>
      </c>
    </row>
    <row r="114" spans="1:16" x14ac:dyDescent="0.25">
      <c r="A114" s="3">
        <v>113</v>
      </c>
      <c r="B114" s="3">
        <v>118</v>
      </c>
      <c r="C114" s="3">
        <v>119</v>
      </c>
      <c r="D114" s="2">
        <v>11140</v>
      </c>
      <c r="E114" s="2">
        <f t="shared" si="6"/>
        <v>5492.5</v>
      </c>
      <c r="F114" s="2">
        <v>2380</v>
      </c>
      <c r="G114" s="2">
        <f t="shared" si="7"/>
        <v>991.66666666666674</v>
      </c>
      <c r="H114" s="4">
        <f>VLOOKUP(B114,nodes!A:D,2,0)</f>
        <v>360</v>
      </c>
      <c r="I114" s="4">
        <f>VLOOKUP(B114,nodes!A:D,4,0)</f>
        <v>150</v>
      </c>
      <c r="J114" s="4">
        <f>VLOOKUP(C114,nodes!A:D,2,0)</f>
        <v>390</v>
      </c>
      <c r="K114" s="4">
        <f>VLOOKUP(C114,nodes!A:D,4,0)</f>
        <v>150</v>
      </c>
      <c r="L114" s="4">
        <f t="shared" si="8"/>
        <v>30</v>
      </c>
      <c r="N114" s="12">
        <f t="shared" si="9"/>
        <v>7437500</v>
      </c>
      <c r="O114" s="12">
        <f t="shared" si="10"/>
        <v>42840000</v>
      </c>
      <c r="P114" s="12">
        <f t="shared" si="11"/>
        <v>11900</v>
      </c>
    </row>
    <row r="115" spans="1:16" x14ac:dyDescent="0.25">
      <c r="A115" s="3">
        <v>114</v>
      </c>
      <c r="B115" s="3">
        <v>119</v>
      </c>
      <c r="C115" s="3">
        <v>120</v>
      </c>
      <c r="D115" s="2">
        <v>11140</v>
      </c>
      <c r="E115" s="2">
        <f t="shared" si="6"/>
        <v>5492.5</v>
      </c>
      <c r="F115" s="2">
        <v>2380</v>
      </c>
      <c r="G115" s="2">
        <f t="shared" si="7"/>
        <v>991.66666666666674</v>
      </c>
      <c r="H115" s="4">
        <f>VLOOKUP(B115,nodes!A:D,2,0)</f>
        <v>390</v>
      </c>
      <c r="I115" s="4">
        <f>VLOOKUP(B115,nodes!A:D,4,0)</f>
        <v>150</v>
      </c>
      <c r="J115" s="4">
        <f>VLOOKUP(C115,nodes!A:D,2,0)</f>
        <v>420</v>
      </c>
      <c r="K115" s="4">
        <f>VLOOKUP(C115,nodes!A:D,4,0)</f>
        <v>150</v>
      </c>
      <c r="L115" s="4">
        <f t="shared" si="8"/>
        <v>30</v>
      </c>
      <c r="N115" s="12">
        <f t="shared" si="9"/>
        <v>7437500</v>
      </c>
      <c r="O115" s="12">
        <f t="shared" si="10"/>
        <v>42840000</v>
      </c>
      <c r="P115" s="12">
        <f t="shared" si="11"/>
        <v>11900</v>
      </c>
    </row>
    <row r="116" spans="1:16" x14ac:dyDescent="0.25">
      <c r="A116" s="3">
        <v>115</v>
      </c>
      <c r="B116" s="3">
        <v>120</v>
      </c>
      <c r="C116" s="3">
        <v>121</v>
      </c>
      <c r="D116" s="2">
        <v>11140</v>
      </c>
      <c r="E116" s="2">
        <f t="shared" si="6"/>
        <v>5492.5</v>
      </c>
      <c r="F116" s="2">
        <v>2380</v>
      </c>
      <c r="G116" s="2">
        <f t="shared" si="7"/>
        <v>991.66666666666674</v>
      </c>
      <c r="H116" s="4">
        <f>VLOOKUP(B116,nodes!A:D,2,0)</f>
        <v>420</v>
      </c>
      <c r="I116" s="4">
        <f>VLOOKUP(B116,nodes!A:D,4,0)</f>
        <v>150</v>
      </c>
      <c r="J116" s="4">
        <f>VLOOKUP(C116,nodes!A:D,2,0)</f>
        <v>450</v>
      </c>
      <c r="K116" s="4">
        <f>VLOOKUP(C116,nodes!A:D,4,0)</f>
        <v>150</v>
      </c>
      <c r="L116" s="4">
        <f t="shared" si="8"/>
        <v>30</v>
      </c>
      <c r="N116" s="12">
        <f t="shared" si="9"/>
        <v>7437500</v>
      </c>
      <c r="O116" s="12">
        <f t="shared" si="10"/>
        <v>42840000</v>
      </c>
      <c r="P116" s="12">
        <f t="shared" si="11"/>
        <v>11900</v>
      </c>
    </row>
    <row r="117" spans="1:16" x14ac:dyDescent="0.25">
      <c r="A117" s="3">
        <v>116</v>
      </c>
      <c r="B117" s="3">
        <v>121</v>
      </c>
      <c r="C117" s="3">
        <v>122</v>
      </c>
      <c r="D117" s="2">
        <v>11140</v>
      </c>
      <c r="E117" s="2">
        <f t="shared" si="6"/>
        <v>5492.5</v>
      </c>
      <c r="F117" s="2">
        <v>2380</v>
      </c>
      <c r="G117" s="2">
        <f t="shared" si="7"/>
        <v>991.66666666666674</v>
      </c>
      <c r="H117" s="4">
        <f>VLOOKUP(B117,nodes!A:D,2,0)</f>
        <v>450</v>
      </c>
      <c r="I117" s="4">
        <f>VLOOKUP(B117,nodes!A:D,4,0)</f>
        <v>150</v>
      </c>
      <c r="J117" s="4">
        <f>VLOOKUP(C117,nodes!A:D,2,0)</f>
        <v>480</v>
      </c>
      <c r="K117" s="4">
        <f>VLOOKUP(C117,nodes!A:D,4,0)</f>
        <v>150</v>
      </c>
      <c r="L117" s="4">
        <f t="shared" si="8"/>
        <v>30</v>
      </c>
      <c r="N117" s="12">
        <f t="shared" si="9"/>
        <v>7437500</v>
      </c>
      <c r="O117" s="12">
        <f t="shared" si="10"/>
        <v>42840000</v>
      </c>
      <c r="P117" s="12">
        <f t="shared" si="11"/>
        <v>11900</v>
      </c>
    </row>
    <row r="118" spans="1:16" x14ac:dyDescent="0.25">
      <c r="A118" s="3">
        <v>117</v>
      </c>
      <c r="B118" s="3">
        <v>122</v>
      </c>
      <c r="C118" s="3">
        <v>123</v>
      </c>
      <c r="D118" s="2">
        <v>11140</v>
      </c>
      <c r="E118" s="2">
        <f t="shared" si="6"/>
        <v>5492.5</v>
      </c>
      <c r="F118" s="2">
        <v>2380</v>
      </c>
      <c r="G118" s="2">
        <f t="shared" si="7"/>
        <v>991.66666666666674</v>
      </c>
      <c r="H118" s="4">
        <f>VLOOKUP(B118,nodes!A:D,2,0)</f>
        <v>480</v>
      </c>
      <c r="I118" s="4">
        <f>VLOOKUP(B118,nodes!A:D,4,0)</f>
        <v>150</v>
      </c>
      <c r="J118" s="4">
        <f>VLOOKUP(C118,nodes!A:D,2,0)</f>
        <v>509.99999999999994</v>
      </c>
      <c r="K118" s="4">
        <f>VLOOKUP(C118,nodes!A:D,4,0)</f>
        <v>150</v>
      </c>
      <c r="L118" s="4">
        <f t="shared" si="8"/>
        <v>29.999999999999943</v>
      </c>
      <c r="N118" s="12">
        <f t="shared" si="9"/>
        <v>7437500</v>
      </c>
      <c r="O118" s="12">
        <f t="shared" si="10"/>
        <v>42840000</v>
      </c>
      <c r="P118" s="12">
        <f t="shared" si="11"/>
        <v>11900</v>
      </c>
    </row>
    <row r="119" spans="1:16" x14ac:dyDescent="0.25">
      <c r="A119" s="3">
        <v>118</v>
      </c>
      <c r="B119" s="3">
        <v>123</v>
      </c>
      <c r="C119" s="3">
        <v>124</v>
      </c>
      <c r="D119" s="2">
        <v>11140</v>
      </c>
      <c r="E119" s="2">
        <f t="shared" si="6"/>
        <v>5492.5</v>
      </c>
      <c r="F119" s="2">
        <v>2380</v>
      </c>
      <c r="G119" s="2">
        <f t="shared" si="7"/>
        <v>991.66666666666674</v>
      </c>
      <c r="H119" s="4">
        <f>VLOOKUP(B119,nodes!A:D,2,0)</f>
        <v>509.99999999999994</v>
      </c>
      <c r="I119" s="4">
        <f>VLOOKUP(B119,nodes!A:D,4,0)</f>
        <v>150</v>
      </c>
      <c r="J119" s="4">
        <f>VLOOKUP(C119,nodes!A:D,2,0)</f>
        <v>540</v>
      </c>
      <c r="K119" s="4">
        <f>VLOOKUP(C119,nodes!A:D,4,0)</f>
        <v>150</v>
      </c>
      <c r="L119" s="4">
        <f t="shared" si="8"/>
        <v>30.000000000000057</v>
      </c>
      <c r="N119" s="12">
        <f t="shared" si="9"/>
        <v>7437500</v>
      </c>
      <c r="O119" s="12">
        <f t="shared" si="10"/>
        <v>42840000</v>
      </c>
      <c r="P119" s="12">
        <f t="shared" si="11"/>
        <v>11900</v>
      </c>
    </row>
    <row r="120" spans="1:16" x14ac:dyDescent="0.25">
      <c r="A120" s="3">
        <v>119</v>
      </c>
      <c r="B120" s="3">
        <v>124</v>
      </c>
      <c r="C120" s="3">
        <v>125</v>
      </c>
      <c r="D120" s="2">
        <v>11140</v>
      </c>
      <c r="E120" s="2">
        <f t="shared" si="6"/>
        <v>5492.5</v>
      </c>
      <c r="F120" s="2">
        <v>2380</v>
      </c>
      <c r="G120" s="2">
        <f t="shared" si="7"/>
        <v>991.66666666666674</v>
      </c>
      <c r="H120" s="4">
        <f>VLOOKUP(B120,nodes!A:D,2,0)</f>
        <v>540</v>
      </c>
      <c r="I120" s="4">
        <f>VLOOKUP(B120,nodes!A:D,4,0)</f>
        <v>150</v>
      </c>
      <c r="J120" s="4">
        <f>VLOOKUP(C120,nodes!A:D,2,0)</f>
        <v>570</v>
      </c>
      <c r="K120" s="4">
        <f>VLOOKUP(C120,nodes!A:D,4,0)</f>
        <v>150</v>
      </c>
      <c r="L120" s="4">
        <f t="shared" si="8"/>
        <v>30</v>
      </c>
      <c r="N120" s="12">
        <f t="shared" si="9"/>
        <v>7437500</v>
      </c>
      <c r="O120" s="12">
        <f t="shared" si="10"/>
        <v>42840000</v>
      </c>
      <c r="P120" s="12">
        <f t="shared" si="11"/>
        <v>11900</v>
      </c>
    </row>
    <row r="121" spans="1:16" x14ac:dyDescent="0.25">
      <c r="A121" s="3">
        <v>120</v>
      </c>
      <c r="B121" s="3">
        <v>125</v>
      </c>
      <c r="C121" s="3">
        <v>126</v>
      </c>
      <c r="D121" s="2">
        <v>11140</v>
      </c>
      <c r="E121" s="2">
        <f t="shared" si="6"/>
        <v>5492.5</v>
      </c>
      <c r="F121" s="2">
        <v>2380</v>
      </c>
      <c r="G121" s="2">
        <f t="shared" si="7"/>
        <v>991.66666666666674</v>
      </c>
      <c r="H121" s="4">
        <f>VLOOKUP(B121,nodes!A:D,2,0)</f>
        <v>570</v>
      </c>
      <c r="I121" s="4">
        <f>VLOOKUP(B121,nodes!A:D,4,0)</f>
        <v>150</v>
      </c>
      <c r="J121" s="4">
        <f>VLOOKUP(C121,nodes!A:D,2,0)</f>
        <v>600</v>
      </c>
      <c r="K121" s="4">
        <f>VLOOKUP(C121,nodes!A:D,4,0)</f>
        <v>150</v>
      </c>
      <c r="L121" s="4">
        <f t="shared" si="8"/>
        <v>30</v>
      </c>
      <c r="N121" s="12">
        <f t="shared" si="9"/>
        <v>7437500</v>
      </c>
      <c r="O121" s="12">
        <f t="shared" si="10"/>
        <v>42840000</v>
      </c>
      <c r="P121" s="12">
        <f t="shared" si="11"/>
        <v>11900</v>
      </c>
    </row>
    <row r="122" spans="1:16" x14ac:dyDescent="0.25">
      <c r="A122" s="3">
        <v>121</v>
      </c>
      <c r="B122" s="3">
        <v>127</v>
      </c>
      <c r="C122" s="3">
        <v>128</v>
      </c>
      <c r="D122" s="2">
        <v>11140</v>
      </c>
      <c r="E122" s="2">
        <f t="shared" si="6"/>
        <v>5492.5</v>
      </c>
      <c r="F122" s="2">
        <v>2380</v>
      </c>
      <c r="G122" s="2">
        <f t="shared" si="7"/>
        <v>991.66666666666674</v>
      </c>
      <c r="H122" s="4">
        <f>VLOOKUP(B122,nodes!A:D,2,0)</f>
        <v>0</v>
      </c>
      <c r="I122" s="4">
        <f>VLOOKUP(B122,nodes!A:D,4,0)</f>
        <v>120</v>
      </c>
      <c r="J122" s="4">
        <f>VLOOKUP(C122,nodes!A:D,2,0)</f>
        <v>30</v>
      </c>
      <c r="K122" s="4">
        <f>VLOOKUP(C122,nodes!A:D,4,0)</f>
        <v>120</v>
      </c>
      <c r="L122" s="4">
        <f t="shared" si="8"/>
        <v>30</v>
      </c>
      <c r="N122" s="12">
        <f t="shared" si="9"/>
        <v>7437500</v>
      </c>
      <c r="O122" s="12">
        <f t="shared" si="10"/>
        <v>42840000</v>
      </c>
      <c r="P122" s="12">
        <f t="shared" si="11"/>
        <v>11900</v>
      </c>
    </row>
    <row r="123" spans="1:16" x14ac:dyDescent="0.25">
      <c r="A123" s="3">
        <v>122</v>
      </c>
      <c r="B123" s="3">
        <v>128</v>
      </c>
      <c r="C123" s="3">
        <v>129</v>
      </c>
      <c r="D123" s="2">
        <v>11140</v>
      </c>
      <c r="E123" s="2">
        <f t="shared" si="6"/>
        <v>5492.5</v>
      </c>
      <c r="F123" s="2">
        <v>2380</v>
      </c>
      <c r="G123" s="2">
        <f t="shared" si="7"/>
        <v>991.66666666666674</v>
      </c>
      <c r="H123" s="4">
        <f>VLOOKUP(B123,nodes!A:D,2,0)</f>
        <v>30</v>
      </c>
      <c r="I123" s="4">
        <f>VLOOKUP(B123,nodes!A:D,4,0)</f>
        <v>120</v>
      </c>
      <c r="J123" s="4">
        <f>VLOOKUP(C123,nodes!A:D,2,0)</f>
        <v>60</v>
      </c>
      <c r="K123" s="4">
        <f>VLOOKUP(C123,nodes!A:D,4,0)</f>
        <v>120</v>
      </c>
      <c r="L123" s="4">
        <f t="shared" si="8"/>
        <v>30</v>
      </c>
      <c r="N123" s="12">
        <f t="shared" si="9"/>
        <v>7437500</v>
      </c>
      <c r="O123" s="12">
        <f t="shared" si="10"/>
        <v>42840000</v>
      </c>
      <c r="P123" s="12">
        <f t="shared" si="11"/>
        <v>11900</v>
      </c>
    </row>
    <row r="124" spans="1:16" x14ac:dyDescent="0.25">
      <c r="A124" s="3">
        <v>123</v>
      </c>
      <c r="B124" s="3">
        <v>129</v>
      </c>
      <c r="C124" s="3">
        <v>130</v>
      </c>
      <c r="D124" s="2">
        <v>11140</v>
      </c>
      <c r="E124" s="2">
        <f t="shared" si="6"/>
        <v>5492.5</v>
      </c>
      <c r="F124" s="2">
        <v>2380</v>
      </c>
      <c r="G124" s="2">
        <f t="shared" si="7"/>
        <v>991.66666666666674</v>
      </c>
      <c r="H124" s="4">
        <f>VLOOKUP(B124,nodes!A:D,2,0)</f>
        <v>60</v>
      </c>
      <c r="I124" s="4">
        <f>VLOOKUP(B124,nodes!A:D,4,0)</f>
        <v>120</v>
      </c>
      <c r="J124" s="4">
        <f>VLOOKUP(C124,nodes!A:D,2,0)</f>
        <v>90</v>
      </c>
      <c r="K124" s="4">
        <f>VLOOKUP(C124,nodes!A:D,4,0)</f>
        <v>120</v>
      </c>
      <c r="L124" s="4">
        <f t="shared" si="8"/>
        <v>30</v>
      </c>
      <c r="N124" s="12">
        <f t="shared" si="9"/>
        <v>7437500</v>
      </c>
      <c r="O124" s="12">
        <f t="shared" si="10"/>
        <v>42840000</v>
      </c>
      <c r="P124" s="12">
        <f t="shared" si="11"/>
        <v>11900</v>
      </c>
    </row>
    <row r="125" spans="1:16" x14ac:dyDescent="0.25">
      <c r="A125" s="3">
        <v>124</v>
      </c>
      <c r="B125" s="3">
        <v>130</v>
      </c>
      <c r="C125" s="3">
        <v>131</v>
      </c>
      <c r="D125" s="2">
        <v>11140</v>
      </c>
      <c r="E125" s="2">
        <f t="shared" si="6"/>
        <v>5492.5</v>
      </c>
      <c r="F125" s="2">
        <v>2380</v>
      </c>
      <c r="G125" s="2">
        <f t="shared" si="7"/>
        <v>991.66666666666674</v>
      </c>
      <c r="H125" s="4">
        <f>VLOOKUP(B125,nodes!A:D,2,0)</f>
        <v>90</v>
      </c>
      <c r="I125" s="4">
        <f>VLOOKUP(B125,nodes!A:D,4,0)</f>
        <v>120</v>
      </c>
      <c r="J125" s="4">
        <f>VLOOKUP(C125,nodes!A:D,2,0)</f>
        <v>120</v>
      </c>
      <c r="K125" s="4">
        <f>VLOOKUP(C125,nodes!A:D,4,0)</f>
        <v>120</v>
      </c>
      <c r="L125" s="4">
        <f t="shared" si="8"/>
        <v>30</v>
      </c>
      <c r="N125" s="12">
        <f t="shared" si="9"/>
        <v>7437500</v>
      </c>
      <c r="O125" s="12">
        <f t="shared" si="10"/>
        <v>42840000</v>
      </c>
      <c r="P125" s="12">
        <f t="shared" si="11"/>
        <v>11900</v>
      </c>
    </row>
    <row r="126" spans="1:16" x14ac:dyDescent="0.25">
      <c r="A126" s="3">
        <v>125</v>
      </c>
      <c r="B126" s="3">
        <v>131</v>
      </c>
      <c r="C126" s="3">
        <v>132</v>
      </c>
      <c r="D126" s="2">
        <v>11140</v>
      </c>
      <c r="E126" s="2">
        <f t="shared" si="6"/>
        <v>5492.5</v>
      </c>
      <c r="F126" s="2">
        <v>2380</v>
      </c>
      <c r="G126" s="2">
        <f t="shared" si="7"/>
        <v>991.66666666666674</v>
      </c>
      <c r="H126" s="4">
        <f>VLOOKUP(B126,nodes!A:D,2,0)</f>
        <v>120</v>
      </c>
      <c r="I126" s="4">
        <f>VLOOKUP(B126,nodes!A:D,4,0)</f>
        <v>120</v>
      </c>
      <c r="J126" s="4">
        <f>VLOOKUP(C126,nodes!A:D,2,0)</f>
        <v>150</v>
      </c>
      <c r="K126" s="4">
        <f>VLOOKUP(C126,nodes!A:D,4,0)</f>
        <v>120</v>
      </c>
      <c r="L126" s="4">
        <f t="shared" si="8"/>
        <v>30</v>
      </c>
      <c r="N126" s="12">
        <f t="shared" si="9"/>
        <v>7437500</v>
      </c>
      <c r="O126" s="12">
        <f t="shared" si="10"/>
        <v>42840000</v>
      </c>
      <c r="P126" s="12">
        <f t="shared" si="11"/>
        <v>11900</v>
      </c>
    </row>
    <row r="127" spans="1:16" x14ac:dyDescent="0.25">
      <c r="A127" s="3">
        <v>126</v>
      </c>
      <c r="B127" s="3">
        <v>132</v>
      </c>
      <c r="C127" s="3">
        <v>133</v>
      </c>
      <c r="D127" s="2">
        <v>11140</v>
      </c>
      <c r="E127" s="2">
        <f t="shared" si="6"/>
        <v>5492.5</v>
      </c>
      <c r="F127" s="2">
        <v>2380</v>
      </c>
      <c r="G127" s="2">
        <f t="shared" si="7"/>
        <v>991.66666666666674</v>
      </c>
      <c r="H127" s="4">
        <f>VLOOKUP(B127,nodes!A:D,2,0)</f>
        <v>150</v>
      </c>
      <c r="I127" s="4">
        <f>VLOOKUP(B127,nodes!A:D,4,0)</f>
        <v>120</v>
      </c>
      <c r="J127" s="4">
        <f>VLOOKUP(C127,nodes!A:D,2,0)</f>
        <v>180</v>
      </c>
      <c r="K127" s="4">
        <f>VLOOKUP(C127,nodes!A:D,4,0)</f>
        <v>120</v>
      </c>
      <c r="L127" s="4">
        <f t="shared" si="8"/>
        <v>30</v>
      </c>
      <c r="N127" s="12">
        <f t="shared" si="9"/>
        <v>7437500</v>
      </c>
      <c r="O127" s="12">
        <f t="shared" si="10"/>
        <v>42840000</v>
      </c>
      <c r="P127" s="12">
        <f t="shared" si="11"/>
        <v>11900</v>
      </c>
    </row>
    <row r="128" spans="1:16" x14ac:dyDescent="0.25">
      <c r="A128" s="3">
        <v>127</v>
      </c>
      <c r="B128" s="3">
        <v>133</v>
      </c>
      <c r="C128" s="3">
        <v>134</v>
      </c>
      <c r="D128" s="2">
        <v>11140</v>
      </c>
      <c r="E128" s="2">
        <f t="shared" si="6"/>
        <v>5492.5</v>
      </c>
      <c r="F128" s="2">
        <v>2380</v>
      </c>
      <c r="G128" s="2">
        <f t="shared" si="7"/>
        <v>991.66666666666674</v>
      </c>
      <c r="H128" s="4">
        <f>VLOOKUP(B128,nodes!A:D,2,0)</f>
        <v>180</v>
      </c>
      <c r="I128" s="4">
        <f>VLOOKUP(B128,nodes!A:D,4,0)</f>
        <v>120</v>
      </c>
      <c r="J128" s="4">
        <f>VLOOKUP(C128,nodes!A:D,2,0)</f>
        <v>210</v>
      </c>
      <c r="K128" s="4">
        <f>VLOOKUP(C128,nodes!A:D,4,0)</f>
        <v>120</v>
      </c>
      <c r="L128" s="4">
        <f t="shared" si="8"/>
        <v>30</v>
      </c>
      <c r="N128" s="12">
        <f t="shared" si="9"/>
        <v>7437500</v>
      </c>
      <c r="O128" s="12">
        <f t="shared" si="10"/>
        <v>42840000</v>
      </c>
      <c r="P128" s="12">
        <f t="shared" si="11"/>
        <v>11900</v>
      </c>
    </row>
    <row r="129" spans="1:16" x14ac:dyDescent="0.25">
      <c r="A129" s="3">
        <v>128</v>
      </c>
      <c r="B129" s="3">
        <v>134</v>
      </c>
      <c r="C129" s="3">
        <v>135</v>
      </c>
      <c r="D129" s="2">
        <v>11140</v>
      </c>
      <c r="E129" s="2">
        <f t="shared" si="6"/>
        <v>5492.5</v>
      </c>
      <c r="F129" s="2">
        <v>2380</v>
      </c>
      <c r="G129" s="2">
        <f t="shared" si="7"/>
        <v>991.66666666666674</v>
      </c>
      <c r="H129" s="4">
        <f>VLOOKUP(B129,nodes!A:D,2,0)</f>
        <v>210</v>
      </c>
      <c r="I129" s="4">
        <f>VLOOKUP(B129,nodes!A:D,4,0)</f>
        <v>120</v>
      </c>
      <c r="J129" s="4">
        <f>VLOOKUP(C129,nodes!A:D,2,0)</f>
        <v>240</v>
      </c>
      <c r="K129" s="4">
        <f>VLOOKUP(C129,nodes!A:D,4,0)</f>
        <v>120</v>
      </c>
      <c r="L129" s="4">
        <f t="shared" si="8"/>
        <v>30</v>
      </c>
      <c r="N129" s="12">
        <f t="shared" si="9"/>
        <v>7437500</v>
      </c>
      <c r="O129" s="12">
        <f t="shared" si="10"/>
        <v>42840000</v>
      </c>
      <c r="P129" s="12">
        <f t="shared" si="11"/>
        <v>11900</v>
      </c>
    </row>
    <row r="130" spans="1:16" x14ac:dyDescent="0.25">
      <c r="A130" s="3">
        <v>129</v>
      </c>
      <c r="B130" s="3">
        <v>135</v>
      </c>
      <c r="C130" s="3">
        <v>136</v>
      </c>
      <c r="D130" s="2">
        <v>11140</v>
      </c>
      <c r="E130" s="2">
        <f t="shared" si="6"/>
        <v>5492.5</v>
      </c>
      <c r="F130" s="2">
        <v>2380</v>
      </c>
      <c r="G130" s="2">
        <f t="shared" si="7"/>
        <v>991.66666666666674</v>
      </c>
      <c r="H130" s="4">
        <f>VLOOKUP(B130,nodes!A:D,2,0)</f>
        <v>240</v>
      </c>
      <c r="I130" s="4">
        <f>VLOOKUP(B130,nodes!A:D,4,0)</f>
        <v>120</v>
      </c>
      <c r="J130" s="4">
        <f>VLOOKUP(C130,nodes!A:D,2,0)</f>
        <v>270</v>
      </c>
      <c r="K130" s="4">
        <f>VLOOKUP(C130,nodes!A:D,4,0)</f>
        <v>120</v>
      </c>
      <c r="L130" s="4">
        <f t="shared" si="8"/>
        <v>30</v>
      </c>
      <c r="N130" s="12">
        <f t="shared" si="9"/>
        <v>7437500</v>
      </c>
      <c r="O130" s="12">
        <f t="shared" si="10"/>
        <v>42840000</v>
      </c>
      <c r="P130" s="12">
        <f t="shared" si="11"/>
        <v>11900</v>
      </c>
    </row>
    <row r="131" spans="1:16" x14ac:dyDescent="0.25">
      <c r="A131" s="3">
        <v>130</v>
      </c>
      <c r="B131" s="3">
        <v>136</v>
      </c>
      <c r="C131" s="3">
        <v>137</v>
      </c>
      <c r="D131" s="2">
        <v>11140</v>
      </c>
      <c r="E131" s="2">
        <f t="shared" ref="E131:E194" si="12">(30*13^3)/12</f>
        <v>5492.5</v>
      </c>
      <c r="F131" s="2">
        <v>2380</v>
      </c>
      <c r="G131" s="2">
        <f t="shared" ref="G131:G194" si="13">F131/(2*(1+0.2))</f>
        <v>991.66666666666674</v>
      </c>
      <c r="H131" s="4">
        <f>VLOOKUP(B131,nodes!A:D,2,0)</f>
        <v>270</v>
      </c>
      <c r="I131" s="4">
        <f>VLOOKUP(B131,nodes!A:D,4,0)</f>
        <v>120</v>
      </c>
      <c r="J131" s="4">
        <f>VLOOKUP(C131,nodes!A:D,2,0)</f>
        <v>300</v>
      </c>
      <c r="K131" s="4">
        <f>VLOOKUP(C131,nodes!A:D,4,0)</f>
        <v>120</v>
      </c>
      <c r="L131" s="4">
        <f t="shared" ref="L131:L194" si="14">((J131-H131)^2+(K131-I131)^2)^0.5</f>
        <v>30</v>
      </c>
      <c r="N131" s="12">
        <f t="shared" ref="N131:N194" si="15">12*2380*60*(25^3)/(300*12)</f>
        <v>7437500</v>
      </c>
      <c r="O131" s="12">
        <f t="shared" ref="O131:O194" si="16">12*2380*25*(60^3)/(300*12)</f>
        <v>42840000</v>
      </c>
      <c r="P131" s="12">
        <f t="shared" ref="P131:P194" si="17">2380*25*60/300</f>
        <v>11900</v>
      </c>
    </row>
    <row r="132" spans="1:16" x14ac:dyDescent="0.25">
      <c r="A132" s="3">
        <v>131</v>
      </c>
      <c r="B132" s="3">
        <v>137</v>
      </c>
      <c r="C132" s="3">
        <v>138</v>
      </c>
      <c r="D132" s="2">
        <v>11140</v>
      </c>
      <c r="E132" s="2">
        <f t="shared" si="12"/>
        <v>5492.5</v>
      </c>
      <c r="F132" s="2">
        <v>2380</v>
      </c>
      <c r="G132" s="2">
        <f t="shared" si="13"/>
        <v>991.66666666666674</v>
      </c>
      <c r="H132" s="4">
        <f>VLOOKUP(B132,nodes!A:D,2,0)</f>
        <v>300</v>
      </c>
      <c r="I132" s="4">
        <f>VLOOKUP(B132,nodes!A:D,4,0)</f>
        <v>120</v>
      </c>
      <c r="J132" s="4">
        <f>VLOOKUP(C132,nodes!A:D,2,0)</f>
        <v>330</v>
      </c>
      <c r="K132" s="4">
        <f>VLOOKUP(C132,nodes!A:D,4,0)</f>
        <v>120</v>
      </c>
      <c r="L132" s="4">
        <f t="shared" si="14"/>
        <v>30</v>
      </c>
      <c r="N132" s="12">
        <f t="shared" si="15"/>
        <v>7437500</v>
      </c>
      <c r="O132" s="12">
        <f t="shared" si="16"/>
        <v>42840000</v>
      </c>
      <c r="P132" s="12">
        <f t="shared" si="17"/>
        <v>11900</v>
      </c>
    </row>
    <row r="133" spans="1:16" x14ac:dyDescent="0.25">
      <c r="A133" s="3">
        <v>132</v>
      </c>
      <c r="B133" s="3">
        <v>138</v>
      </c>
      <c r="C133" s="3">
        <v>139</v>
      </c>
      <c r="D133" s="2">
        <v>11140</v>
      </c>
      <c r="E133" s="2">
        <f t="shared" si="12"/>
        <v>5492.5</v>
      </c>
      <c r="F133" s="2">
        <v>2380</v>
      </c>
      <c r="G133" s="2">
        <f t="shared" si="13"/>
        <v>991.66666666666674</v>
      </c>
      <c r="H133" s="4">
        <f>VLOOKUP(B133,nodes!A:D,2,0)</f>
        <v>330</v>
      </c>
      <c r="I133" s="4">
        <f>VLOOKUP(B133,nodes!A:D,4,0)</f>
        <v>120</v>
      </c>
      <c r="J133" s="4">
        <f>VLOOKUP(C133,nodes!A:D,2,0)</f>
        <v>360</v>
      </c>
      <c r="K133" s="4">
        <f>VLOOKUP(C133,nodes!A:D,4,0)</f>
        <v>120</v>
      </c>
      <c r="L133" s="4">
        <f t="shared" si="14"/>
        <v>30</v>
      </c>
      <c r="N133" s="12">
        <f t="shared" si="15"/>
        <v>7437500</v>
      </c>
      <c r="O133" s="12">
        <f t="shared" si="16"/>
        <v>42840000</v>
      </c>
      <c r="P133" s="12">
        <f t="shared" si="17"/>
        <v>11900</v>
      </c>
    </row>
    <row r="134" spans="1:16" x14ac:dyDescent="0.25">
      <c r="A134" s="3">
        <v>133</v>
      </c>
      <c r="B134" s="3">
        <v>139</v>
      </c>
      <c r="C134" s="3">
        <v>140</v>
      </c>
      <c r="D134" s="2">
        <v>11140</v>
      </c>
      <c r="E134" s="2">
        <f t="shared" si="12"/>
        <v>5492.5</v>
      </c>
      <c r="F134" s="2">
        <v>2380</v>
      </c>
      <c r="G134" s="2">
        <f t="shared" si="13"/>
        <v>991.66666666666674</v>
      </c>
      <c r="H134" s="4">
        <f>VLOOKUP(B134,nodes!A:D,2,0)</f>
        <v>360</v>
      </c>
      <c r="I134" s="4">
        <f>VLOOKUP(B134,nodes!A:D,4,0)</f>
        <v>120</v>
      </c>
      <c r="J134" s="4">
        <f>VLOOKUP(C134,nodes!A:D,2,0)</f>
        <v>390</v>
      </c>
      <c r="K134" s="4">
        <f>VLOOKUP(C134,nodes!A:D,4,0)</f>
        <v>120</v>
      </c>
      <c r="L134" s="4">
        <f t="shared" si="14"/>
        <v>30</v>
      </c>
      <c r="N134" s="12">
        <f t="shared" si="15"/>
        <v>7437500</v>
      </c>
      <c r="O134" s="12">
        <f t="shared" si="16"/>
        <v>42840000</v>
      </c>
      <c r="P134" s="12">
        <f t="shared" si="17"/>
        <v>11900</v>
      </c>
    </row>
    <row r="135" spans="1:16" x14ac:dyDescent="0.25">
      <c r="A135" s="3">
        <v>134</v>
      </c>
      <c r="B135" s="3">
        <v>140</v>
      </c>
      <c r="C135" s="3">
        <v>141</v>
      </c>
      <c r="D135" s="2">
        <v>11140</v>
      </c>
      <c r="E135" s="2">
        <f t="shared" si="12"/>
        <v>5492.5</v>
      </c>
      <c r="F135" s="2">
        <v>2380</v>
      </c>
      <c r="G135" s="2">
        <f t="shared" si="13"/>
        <v>991.66666666666674</v>
      </c>
      <c r="H135" s="4">
        <f>VLOOKUP(B135,nodes!A:D,2,0)</f>
        <v>390</v>
      </c>
      <c r="I135" s="4">
        <f>VLOOKUP(B135,nodes!A:D,4,0)</f>
        <v>120</v>
      </c>
      <c r="J135" s="4">
        <f>VLOOKUP(C135,nodes!A:D,2,0)</f>
        <v>420</v>
      </c>
      <c r="K135" s="4">
        <f>VLOOKUP(C135,nodes!A:D,4,0)</f>
        <v>120</v>
      </c>
      <c r="L135" s="4">
        <f t="shared" si="14"/>
        <v>30</v>
      </c>
      <c r="N135" s="12">
        <f t="shared" si="15"/>
        <v>7437500</v>
      </c>
      <c r="O135" s="12">
        <f t="shared" si="16"/>
        <v>42840000</v>
      </c>
      <c r="P135" s="12">
        <f t="shared" si="17"/>
        <v>11900</v>
      </c>
    </row>
    <row r="136" spans="1:16" x14ac:dyDescent="0.25">
      <c r="A136" s="3">
        <v>135</v>
      </c>
      <c r="B136" s="3">
        <v>141</v>
      </c>
      <c r="C136" s="3">
        <v>142</v>
      </c>
      <c r="D136" s="2">
        <v>11140</v>
      </c>
      <c r="E136" s="2">
        <f t="shared" si="12"/>
        <v>5492.5</v>
      </c>
      <c r="F136" s="2">
        <v>2380</v>
      </c>
      <c r="G136" s="2">
        <f t="shared" si="13"/>
        <v>991.66666666666674</v>
      </c>
      <c r="H136" s="4">
        <f>VLOOKUP(B136,nodes!A:D,2,0)</f>
        <v>420</v>
      </c>
      <c r="I136" s="4">
        <f>VLOOKUP(B136,nodes!A:D,4,0)</f>
        <v>120</v>
      </c>
      <c r="J136" s="4">
        <f>VLOOKUP(C136,nodes!A:D,2,0)</f>
        <v>450</v>
      </c>
      <c r="K136" s="4">
        <f>VLOOKUP(C136,nodes!A:D,4,0)</f>
        <v>120</v>
      </c>
      <c r="L136" s="4">
        <f t="shared" si="14"/>
        <v>30</v>
      </c>
      <c r="N136" s="12">
        <f t="shared" si="15"/>
        <v>7437500</v>
      </c>
      <c r="O136" s="12">
        <f t="shared" si="16"/>
        <v>42840000</v>
      </c>
      <c r="P136" s="12">
        <f t="shared" si="17"/>
        <v>11900</v>
      </c>
    </row>
    <row r="137" spans="1:16" x14ac:dyDescent="0.25">
      <c r="A137" s="3">
        <v>136</v>
      </c>
      <c r="B137" s="3">
        <v>142</v>
      </c>
      <c r="C137" s="3">
        <v>143</v>
      </c>
      <c r="D137" s="2">
        <v>11140</v>
      </c>
      <c r="E137" s="2">
        <f t="shared" si="12"/>
        <v>5492.5</v>
      </c>
      <c r="F137" s="2">
        <v>2380</v>
      </c>
      <c r="G137" s="2">
        <f t="shared" si="13"/>
        <v>991.66666666666674</v>
      </c>
      <c r="H137" s="4">
        <f>VLOOKUP(B137,nodes!A:D,2,0)</f>
        <v>450</v>
      </c>
      <c r="I137" s="4">
        <f>VLOOKUP(B137,nodes!A:D,4,0)</f>
        <v>120</v>
      </c>
      <c r="J137" s="4">
        <f>VLOOKUP(C137,nodes!A:D,2,0)</f>
        <v>480</v>
      </c>
      <c r="K137" s="4">
        <f>VLOOKUP(C137,nodes!A:D,4,0)</f>
        <v>120</v>
      </c>
      <c r="L137" s="4">
        <f t="shared" si="14"/>
        <v>30</v>
      </c>
      <c r="N137" s="12">
        <f t="shared" si="15"/>
        <v>7437500</v>
      </c>
      <c r="O137" s="12">
        <f t="shared" si="16"/>
        <v>42840000</v>
      </c>
      <c r="P137" s="12">
        <f t="shared" si="17"/>
        <v>11900</v>
      </c>
    </row>
    <row r="138" spans="1:16" x14ac:dyDescent="0.25">
      <c r="A138" s="3">
        <v>137</v>
      </c>
      <c r="B138" s="3">
        <v>143</v>
      </c>
      <c r="C138" s="3">
        <v>144</v>
      </c>
      <c r="D138" s="2">
        <v>11140</v>
      </c>
      <c r="E138" s="2">
        <f t="shared" si="12"/>
        <v>5492.5</v>
      </c>
      <c r="F138" s="2">
        <v>2380</v>
      </c>
      <c r="G138" s="2">
        <f t="shared" si="13"/>
        <v>991.66666666666674</v>
      </c>
      <c r="H138" s="4">
        <f>VLOOKUP(B138,nodes!A:D,2,0)</f>
        <v>480</v>
      </c>
      <c r="I138" s="4">
        <f>VLOOKUP(B138,nodes!A:D,4,0)</f>
        <v>120</v>
      </c>
      <c r="J138" s="4">
        <f>VLOOKUP(C138,nodes!A:D,2,0)</f>
        <v>509.99999999999994</v>
      </c>
      <c r="K138" s="4">
        <f>VLOOKUP(C138,nodes!A:D,4,0)</f>
        <v>120</v>
      </c>
      <c r="L138" s="4">
        <f t="shared" si="14"/>
        <v>29.999999999999943</v>
      </c>
      <c r="N138" s="12">
        <f t="shared" si="15"/>
        <v>7437500</v>
      </c>
      <c r="O138" s="12">
        <f t="shared" si="16"/>
        <v>42840000</v>
      </c>
      <c r="P138" s="12">
        <f t="shared" si="17"/>
        <v>11900</v>
      </c>
    </row>
    <row r="139" spans="1:16" x14ac:dyDescent="0.25">
      <c r="A139" s="3">
        <v>138</v>
      </c>
      <c r="B139" s="3">
        <v>144</v>
      </c>
      <c r="C139" s="3">
        <v>145</v>
      </c>
      <c r="D139" s="2">
        <v>11140</v>
      </c>
      <c r="E139" s="2">
        <f t="shared" si="12"/>
        <v>5492.5</v>
      </c>
      <c r="F139" s="2">
        <v>2380</v>
      </c>
      <c r="G139" s="2">
        <f t="shared" si="13"/>
        <v>991.66666666666674</v>
      </c>
      <c r="H139" s="4">
        <f>VLOOKUP(B139,nodes!A:D,2,0)</f>
        <v>509.99999999999994</v>
      </c>
      <c r="I139" s="4">
        <f>VLOOKUP(B139,nodes!A:D,4,0)</f>
        <v>120</v>
      </c>
      <c r="J139" s="4">
        <f>VLOOKUP(C139,nodes!A:D,2,0)</f>
        <v>540</v>
      </c>
      <c r="K139" s="4">
        <f>VLOOKUP(C139,nodes!A:D,4,0)</f>
        <v>120</v>
      </c>
      <c r="L139" s="4">
        <f t="shared" si="14"/>
        <v>30.000000000000057</v>
      </c>
      <c r="N139" s="12">
        <f t="shared" si="15"/>
        <v>7437500</v>
      </c>
      <c r="O139" s="12">
        <f t="shared" si="16"/>
        <v>42840000</v>
      </c>
      <c r="P139" s="12">
        <f t="shared" si="17"/>
        <v>11900</v>
      </c>
    </row>
    <row r="140" spans="1:16" x14ac:dyDescent="0.25">
      <c r="A140" s="3">
        <v>139</v>
      </c>
      <c r="B140" s="3">
        <v>145</v>
      </c>
      <c r="C140" s="3">
        <v>146</v>
      </c>
      <c r="D140" s="2">
        <v>11140</v>
      </c>
      <c r="E140" s="2">
        <f t="shared" si="12"/>
        <v>5492.5</v>
      </c>
      <c r="F140" s="2">
        <v>2380</v>
      </c>
      <c r="G140" s="2">
        <f t="shared" si="13"/>
        <v>991.66666666666674</v>
      </c>
      <c r="H140" s="4">
        <f>VLOOKUP(B140,nodes!A:D,2,0)</f>
        <v>540</v>
      </c>
      <c r="I140" s="4">
        <f>VLOOKUP(B140,nodes!A:D,4,0)</f>
        <v>120</v>
      </c>
      <c r="J140" s="4">
        <f>VLOOKUP(C140,nodes!A:D,2,0)</f>
        <v>570</v>
      </c>
      <c r="K140" s="4">
        <f>VLOOKUP(C140,nodes!A:D,4,0)</f>
        <v>120</v>
      </c>
      <c r="L140" s="4">
        <f t="shared" si="14"/>
        <v>30</v>
      </c>
      <c r="N140" s="12">
        <f t="shared" si="15"/>
        <v>7437500</v>
      </c>
      <c r="O140" s="12">
        <f t="shared" si="16"/>
        <v>42840000</v>
      </c>
      <c r="P140" s="12">
        <f t="shared" si="17"/>
        <v>11900</v>
      </c>
    </row>
    <row r="141" spans="1:16" x14ac:dyDescent="0.25">
      <c r="A141" s="3">
        <v>140</v>
      </c>
      <c r="B141" s="3">
        <v>146</v>
      </c>
      <c r="C141" s="3">
        <v>147</v>
      </c>
      <c r="D141" s="2">
        <v>11140</v>
      </c>
      <c r="E141" s="2">
        <f t="shared" si="12"/>
        <v>5492.5</v>
      </c>
      <c r="F141" s="2">
        <v>2380</v>
      </c>
      <c r="G141" s="2">
        <f t="shared" si="13"/>
        <v>991.66666666666674</v>
      </c>
      <c r="H141" s="4">
        <f>VLOOKUP(B141,nodes!A:D,2,0)</f>
        <v>570</v>
      </c>
      <c r="I141" s="4">
        <f>VLOOKUP(B141,nodes!A:D,4,0)</f>
        <v>120</v>
      </c>
      <c r="J141" s="4">
        <f>VLOOKUP(C141,nodes!A:D,2,0)</f>
        <v>600</v>
      </c>
      <c r="K141" s="4">
        <f>VLOOKUP(C141,nodes!A:D,4,0)</f>
        <v>120</v>
      </c>
      <c r="L141" s="4">
        <f t="shared" si="14"/>
        <v>30</v>
      </c>
      <c r="N141" s="12">
        <f t="shared" si="15"/>
        <v>7437500</v>
      </c>
      <c r="O141" s="12">
        <f t="shared" si="16"/>
        <v>42840000</v>
      </c>
      <c r="P141" s="12">
        <f t="shared" si="17"/>
        <v>11900</v>
      </c>
    </row>
    <row r="142" spans="1:16" x14ac:dyDescent="0.25">
      <c r="A142" s="3">
        <v>141</v>
      </c>
      <c r="B142" s="3">
        <v>148</v>
      </c>
      <c r="C142" s="3">
        <v>149</v>
      </c>
      <c r="D142" s="2">
        <v>11140</v>
      </c>
      <c r="E142" s="2">
        <f t="shared" si="12"/>
        <v>5492.5</v>
      </c>
      <c r="F142" s="2">
        <v>2380</v>
      </c>
      <c r="G142" s="2">
        <f t="shared" si="13"/>
        <v>991.66666666666674</v>
      </c>
      <c r="H142" s="4">
        <f>VLOOKUP(B142,nodes!A:D,2,0)</f>
        <v>0</v>
      </c>
      <c r="I142" s="4">
        <f>VLOOKUP(B142,nodes!A:D,4,0)</f>
        <v>90</v>
      </c>
      <c r="J142" s="4">
        <f>VLOOKUP(C142,nodes!A:D,2,0)</f>
        <v>30</v>
      </c>
      <c r="K142" s="4">
        <f>VLOOKUP(C142,nodes!A:D,4,0)</f>
        <v>90</v>
      </c>
      <c r="L142" s="4">
        <f t="shared" si="14"/>
        <v>30</v>
      </c>
      <c r="N142" s="12">
        <f t="shared" si="15"/>
        <v>7437500</v>
      </c>
      <c r="O142" s="12">
        <f t="shared" si="16"/>
        <v>42840000</v>
      </c>
      <c r="P142" s="12">
        <f t="shared" si="17"/>
        <v>11900</v>
      </c>
    </row>
    <row r="143" spans="1:16" x14ac:dyDescent="0.25">
      <c r="A143" s="3">
        <v>142</v>
      </c>
      <c r="B143" s="3">
        <v>149</v>
      </c>
      <c r="C143" s="3">
        <v>150</v>
      </c>
      <c r="D143" s="2">
        <v>11140</v>
      </c>
      <c r="E143" s="2">
        <f t="shared" si="12"/>
        <v>5492.5</v>
      </c>
      <c r="F143" s="2">
        <v>2380</v>
      </c>
      <c r="G143" s="2">
        <f t="shared" si="13"/>
        <v>991.66666666666674</v>
      </c>
      <c r="H143" s="4">
        <f>VLOOKUP(B143,nodes!A:D,2,0)</f>
        <v>30</v>
      </c>
      <c r="I143" s="4">
        <f>VLOOKUP(B143,nodes!A:D,4,0)</f>
        <v>90</v>
      </c>
      <c r="J143" s="4">
        <f>VLOOKUP(C143,nodes!A:D,2,0)</f>
        <v>60</v>
      </c>
      <c r="K143" s="4">
        <f>VLOOKUP(C143,nodes!A:D,4,0)</f>
        <v>90</v>
      </c>
      <c r="L143" s="4">
        <f t="shared" si="14"/>
        <v>30</v>
      </c>
      <c r="N143" s="12">
        <f t="shared" si="15"/>
        <v>7437500</v>
      </c>
      <c r="O143" s="12">
        <f t="shared" si="16"/>
        <v>42840000</v>
      </c>
      <c r="P143" s="12">
        <f t="shared" si="17"/>
        <v>11900</v>
      </c>
    </row>
    <row r="144" spans="1:16" x14ac:dyDescent="0.25">
      <c r="A144" s="3">
        <v>143</v>
      </c>
      <c r="B144" s="3">
        <v>150</v>
      </c>
      <c r="C144" s="3">
        <v>151</v>
      </c>
      <c r="D144" s="2">
        <v>11140</v>
      </c>
      <c r="E144" s="2">
        <f t="shared" si="12"/>
        <v>5492.5</v>
      </c>
      <c r="F144" s="2">
        <v>2380</v>
      </c>
      <c r="G144" s="2">
        <f t="shared" si="13"/>
        <v>991.66666666666674</v>
      </c>
      <c r="H144" s="4">
        <f>VLOOKUP(B144,nodes!A:D,2,0)</f>
        <v>60</v>
      </c>
      <c r="I144" s="4">
        <f>VLOOKUP(B144,nodes!A:D,4,0)</f>
        <v>90</v>
      </c>
      <c r="J144" s="4">
        <f>VLOOKUP(C144,nodes!A:D,2,0)</f>
        <v>90</v>
      </c>
      <c r="K144" s="4">
        <f>VLOOKUP(C144,nodes!A:D,4,0)</f>
        <v>90</v>
      </c>
      <c r="L144" s="4">
        <f t="shared" si="14"/>
        <v>30</v>
      </c>
      <c r="N144" s="12">
        <f t="shared" si="15"/>
        <v>7437500</v>
      </c>
      <c r="O144" s="12">
        <f t="shared" si="16"/>
        <v>42840000</v>
      </c>
      <c r="P144" s="12">
        <f t="shared" si="17"/>
        <v>11900</v>
      </c>
    </row>
    <row r="145" spans="1:16" x14ac:dyDescent="0.25">
      <c r="A145" s="3">
        <v>144</v>
      </c>
      <c r="B145" s="3">
        <v>151</v>
      </c>
      <c r="C145" s="3">
        <v>152</v>
      </c>
      <c r="D145" s="2">
        <v>11140</v>
      </c>
      <c r="E145" s="2">
        <f t="shared" si="12"/>
        <v>5492.5</v>
      </c>
      <c r="F145" s="2">
        <v>2380</v>
      </c>
      <c r="G145" s="2">
        <f t="shared" si="13"/>
        <v>991.66666666666674</v>
      </c>
      <c r="H145" s="4">
        <f>VLOOKUP(B145,nodes!A:D,2,0)</f>
        <v>90</v>
      </c>
      <c r="I145" s="4">
        <f>VLOOKUP(B145,nodes!A:D,4,0)</f>
        <v>90</v>
      </c>
      <c r="J145" s="4">
        <f>VLOOKUP(C145,nodes!A:D,2,0)</f>
        <v>120</v>
      </c>
      <c r="K145" s="4">
        <f>VLOOKUP(C145,nodes!A:D,4,0)</f>
        <v>90</v>
      </c>
      <c r="L145" s="4">
        <f t="shared" si="14"/>
        <v>30</v>
      </c>
      <c r="N145" s="12">
        <f t="shared" si="15"/>
        <v>7437500</v>
      </c>
      <c r="O145" s="12">
        <f t="shared" si="16"/>
        <v>42840000</v>
      </c>
      <c r="P145" s="12">
        <f t="shared" si="17"/>
        <v>11900</v>
      </c>
    </row>
    <row r="146" spans="1:16" x14ac:dyDescent="0.25">
      <c r="A146" s="3">
        <v>145</v>
      </c>
      <c r="B146" s="3">
        <v>152</v>
      </c>
      <c r="C146" s="3">
        <v>153</v>
      </c>
      <c r="D146" s="2">
        <v>11140</v>
      </c>
      <c r="E146" s="2">
        <f t="shared" si="12"/>
        <v>5492.5</v>
      </c>
      <c r="F146" s="2">
        <v>2380</v>
      </c>
      <c r="G146" s="2">
        <f t="shared" si="13"/>
        <v>991.66666666666674</v>
      </c>
      <c r="H146" s="4">
        <f>VLOOKUP(B146,nodes!A:D,2,0)</f>
        <v>120</v>
      </c>
      <c r="I146" s="4">
        <f>VLOOKUP(B146,nodes!A:D,4,0)</f>
        <v>90</v>
      </c>
      <c r="J146" s="4">
        <f>VLOOKUP(C146,nodes!A:D,2,0)</f>
        <v>150</v>
      </c>
      <c r="K146" s="4">
        <f>VLOOKUP(C146,nodes!A:D,4,0)</f>
        <v>90</v>
      </c>
      <c r="L146" s="4">
        <f t="shared" si="14"/>
        <v>30</v>
      </c>
      <c r="N146" s="12">
        <f t="shared" si="15"/>
        <v>7437500</v>
      </c>
      <c r="O146" s="12">
        <f t="shared" si="16"/>
        <v>42840000</v>
      </c>
      <c r="P146" s="12">
        <f t="shared" si="17"/>
        <v>11900</v>
      </c>
    </row>
    <row r="147" spans="1:16" x14ac:dyDescent="0.25">
      <c r="A147" s="3">
        <v>146</v>
      </c>
      <c r="B147" s="3">
        <v>153</v>
      </c>
      <c r="C147" s="3">
        <v>154</v>
      </c>
      <c r="D147" s="2">
        <v>11140</v>
      </c>
      <c r="E147" s="2">
        <f t="shared" si="12"/>
        <v>5492.5</v>
      </c>
      <c r="F147" s="2">
        <v>2380</v>
      </c>
      <c r="G147" s="2">
        <f t="shared" si="13"/>
        <v>991.66666666666674</v>
      </c>
      <c r="H147" s="4">
        <f>VLOOKUP(B147,nodes!A:D,2,0)</f>
        <v>150</v>
      </c>
      <c r="I147" s="4">
        <f>VLOOKUP(B147,nodes!A:D,4,0)</f>
        <v>90</v>
      </c>
      <c r="J147" s="4">
        <f>VLOOKUP(C147,nodes!A:D,2,0)</f>
        <v>180</v>
      </c>
      <c r="K147" s="4">
        <f>VLOOKUP(C147,nodes!A:D,4,0)</f>
        <v>90</v>
      </c>
      <c r="L147" s="4">
        <f t="shared" si="14"/>
        <v>30</v>
      </c>
      <c r="N147" s="12">
        <f t="shared" si="15"/>
        <v>7437500</v>
      </c>
      <c r="O147" s="12">
        <f t="shared" si="16"/>
        <v>42840000</v>
      </c>
      <c r="P147" s="12">
        <f t="shared" si="17"/>
        <v>11900</v>
      </c>
    </row>
    <row r="148" spans="1:16" x14ac:dyDescent="0.25">
      <c r="A148" s="3">
        <v>147</v>
      </c>
      <c r="B148" s="3">
        <v>154</v>
      </c>
      <c r="C148" s="3">
        <v>155</v>
      </c>
      <c r="D148" s="2">
        <v>11140</v>
      </c>
      <c r="E148" s="2">
        <f t="shared" si="12"/>
        <v>5492.5</v>
      </c>
      <c r="F148" s="2">
        <v>2380</v>
      </c>
      <c r="G148" s="2">
        <f t="shared" si="13"/>
        <v>991.66666666666674</v>
      </c>
      <c r="H148" s="4">
        <f>VLOOKUP(B148,nodes!A:D,2,0)</f>
        <v>180</v>
      </c>
      <c r="I148" s="4">
        <f>VLOOKUP(B148,nodes!A:D,4,0)</f>
        <v>90</v>
      </c>
      <c r="J148" s="4">
        <f>VLOOKUP(C148,nodes!A:D,2,0)</f>
        <v>210</v>
      </c>
      <c r="K148" s="4">
        <f>VLOOKUP(C148,nodes!A:D,4,0)</f>
        <v>90</v>
      </c>
      <c r="L148" s="4">
        <f t="shared" si="14"/>
        <v>30</v>
      </c>
      <c r="N148" s="12">
        <f t="shared" si="15"/>
        <v>7437500</v>
      </c>
      <c r="O148" s="12">
        <f t="shared" si="16"/>
        <v>42840000</v>
      </c>
      <c r="P148" s="12">
        <f t="shared" si="17"/>
        <v>11900</v>
      </c>
    </row>
    <row r="149" spans="1:16" x14ac:dyDescent="0.25">
      <c r="A149" s="3">
        <v>148</v>
      </c>
      <c r="B149" s="3">
        <v>155</v>
      </c>
      <c r="C149" s="3">
        <v>156</v>
      </c>
      <c r="D149" s="2">
        <v>11140</v>
      </c>
      <c r="E149" s="2">
        <f t="shared" si="12"/>
        <v>5492.5</v>
      </c>
      <c r="F149" s="2">
        <v>2380</v>
      </c>
      <c r="G149" s="2">
        <f t="shared" si="13"/>
        <v>991.66666666666674</v>
      </c>
      <c r="H149" s="4">
        <f>VLOOKUP(B149,nodes!A:D,2,0)</f>
        <v>210</v>
      </c>
      <c r="I149" s="4">
        <f>VLOOKUP(B149,nodes!A:D,4,0)</f>
        <v>90</v>
      </c>
      <c r="J149" s="4">
        <f>VLOOKUP(C149,nodes!A:D,2,0)</f>
        <v>240</v>
      </c>
      <c r="K149" s="4">
        <f>VLOOKUP(C149,nodes!A:D,4,0)</f>
        <v>90</v>
      </c>
      <c r="L149" s="4">
        <f t="shared" si="14"/>
        <v>30</v>
      </c>
      <c r="N149" s="12">
        <f t="shared" si="15"/>
        <v>7437500</v>
      </c>
      <c r="O149" s="12">
        <f t="shared" si="16"/>
        <v>42840000</v>
      </c>
      <c r="P149" s="12">
        <f t="shared" si="17"/>
        <v>11900</v>
      </c>
    </row>
    <row r="150" spans="1:16" x14ac:dyDescent="0.25">
      <c r="A150" s="3">
        <v>149</v>
      </c>
      <c r="B150" s="3">
        <v>156</v>
      </c>
      <c r="C150" s="3">
        <v>157</v>
      </c>
      <c r="D150" s="2">
        <v>11140</v>
      </c>
      <c r="E150" s="2">
        <f t="shared" si="12"/>
        <v>5492.5</v>
      </c>
      <c r="F150" s="2">
        <v>2380</v>
      </c>
      <c r="G150" s="2">
        <f t="shared" si="13"/>
        <v>991.66666666666674</v>
      </c>
      <c r="H150" s="4">
        <f>VLOOKUP(B150,nodes!A:D,2,0)</f>
        <v>240</v>
      </c>
      <c r="I150" s="4">
        <f>VLOOKUP(B150,nodes!A:D,4,0)</f>
        <v>90</v>
      </c>
      <c r="J150" s="4">
        <f>VLOOKUP(C150,nodes!A:D,2,0)</f>
        <v>270</v>
      </c>
      <c r="K150" s="4">
        <f>VLOOKUP(C150,nodes!A:D,4,0)</f>
        <v>90</v>
      </c>
      <c r="L150" s="4">
        <f t="shared" si="14"/>
        <v>30</v>
      </c>
      <c r="N150" s="12">
        <f t="shared" si="15"/>
        <v>7437500</v>
      </c>
      <c r="O150" s="12">
        <f t="shared" si="16"/>
        <v>42840000</v>
      </c>
      <c r="P150" s="12">
        <f t="shared" si="17"/>
        <v>11900</v>
      </c>
    </row>
    <row r="151" spans="1:16" x14ac:dyDescent="0.25">
      <c r="A151" s="3">
        <v>150</v>
      </c>
      <c r="B151" s="3">
        <v>157</v>
      </c>
      <c r="C151" s="3">
        <v>158</v>
      </c>
      <c r="D151" s="2">
        <v>11140</v>
      </c>
      <c r="E151" s="2">
        <f t="shared" si="12"/>
        <v>5492.5</v>
      </c>
      <c r="F151" s="2">
        <v>2380</v>
      </c>
      <c r="G151" s="2">
        <f t="shared" si="13"/>
        <v>991.66666666666674</v>
      </c>
      <c r="H151" s="4">
        <f>VLOOKUP(B151,nodes!A:D,2,0)</f>
        <v>270</v>
      </c>
      <c r="I151" s="4">
        <f>VLOOKUP(B151,nodes!A:D,4,0)</f>
        <v>90</v>
      </c>
      <c r="J151" s="4">
        <f>VLOOKUP(C151,nodes!A:D,2,0)</f>
        <v>300</v>
      </c>
      <c r="K151" s="4">
        <f>VLOOKUP(C151,nodes!A:D,4,0)</f>
        <v>90</v>
      </c>
      <c r="L151" s="4">
        <f t="shared" si="14"/>
        <v>30</v>
      </c>
      <c r="N151" s="12">
        <f t="shared" si="15"/>
        <v>7437500</v>
      </c>
      <c r="O151" s="12">
        <f t="shared" si="16"/>
        <v>42840000</v>
      </c>
      <c r="P151" s="12">
        <f t="shared" si="17"/>
        <v>11900</v>
      </c>
    </row>
    <row r="152" spans="1:16" x14ac:dyDescent="0.25">
      <c r="A152" s="3">
        <v>151</v>
      </c>
      <c r="B152" s="3">
        <v>158</v>
      </c>
      <c r="C152" s="3">
        <v>159</v>
      </c>
      <c r="D152" s="2">
        <v>11140</v>
      </c>
      <c r="E152" s="2">
        <f t="shared" si="12"/>
        <v>5492.5</v>
      </c>
      <c r="F152" s="2">
        <v>2380</v>
      </c>
      <c r="G152" s="2">
        <f t="shared" si="13"/>
        <v>991.66666666666674</v>
      </c>
      <c r="H152" s="4">
        <f>VLOOKUP(B152,nodes!A:D,2,0)</f>
        <v>300</v>
      </c>
      <c r="I152" s="4">
        <f>VLOOKUP(B152,nodes!A:D,4,0)</f>
        <v>90</v>
      </c>
      <c r="J152" s="4">
        <f>VLOOKUP(C152,nodes!A:D,2,0)</f>
        <v>330</v>
      </c>
      <c r="K152" s="4">
        <f>VLOOKUP(C152,nodes!A:D,4,0)</f>
        <v>90</v>
      </c>
      <c r="L152" s="4">
        <f t="shared" si="14"/>
        <v>30</v>
      </c>
      <c r="N152" s="12">
        <f t="shared" si="15"/>
        <v>7437500</v>
      </c>
      <c r="O152" s="12">
        <f t="shared" si="16"/>
        <v>42840000</v>
      </c>
      <c r="P152" s="12">
        <f t="shared" si="17"/>
        <v>11900</v>
      </c>
    </row>
    <row r="153" spans="1:16" x14ac:dyDescent="0.25">
      <c r="A153" s="3">
        <v>152</v>
      </c>
      <c r="B153" s="3">
        <v>159</v>
      </c>
      <c r="C153" s="3">
        <v>160</v>
      </c>
      <c r="D153" s="2">
        <v>11140</v>
      </c>
      <c r="E153" s="2">
        <f t="shared" si="12"/>
        <v>5492.5</v>
      </c>
      <c r="F153" s="2">
        <v>2380</v>
      </c>
      <c r="G153" s="2">
        <f t="shared" si="13"/>
        <v>991.66666666666674</v>
      </c>
      <c r="H153" s="4">
        <f>VLOOKUP(B153,nodes!A:D,2,0)</f>
        <v>330</v>
      </c>
      <c r="I153" s="4">
        <f>VLOOKUP(B153,nodes!A:D,4,0)</f>
        <v>90</v>
      </c>
      <c r="J153" s="4">
        <f>VLOOKUP(C153,nodes!A:D,2,0)</f>
        <v>360</v>
      </c>
      <c r="K153" s="4">
        <f>VLOOKUP(C153,nodes!A:D,4,0)</f>
        <v>90</v>
      </c>
      <c r="L153" s="4">
        <f t="shared" si="14"/>
        <v>30</v>
      </c>
      <c r="N153" s="12">
        <f t="shared" si="15"/>
        <v>7437500</v>
      </c>
      <c r="O153" s="12">
        <f t="shared" si="16"/>
        <v>42840000</v>
      </c>
      <c r="P153" s="12">
        <f t="shared" si="17"/>
        <v>11900</v>
      </c>
    </row>
    <row r="154" spans="1:16" x14ac:dyDescent="0.25">
      <c r="A154" s="3">
        <v>153</v>
      </c>
      <c r="B154" s="3">
        <v>160</v>
      </c>
      <c r="C154" s="3">
        <v>161</v>
      </c>
      <c r="D154" s="2">
        <v>11140</v>
      </c>
      <c r="E154" s="2">
        <f t="shared" si="12"/>
        <v>5492.5</v>
      </c>
      <c r="F154" s="2">
        <v>2380</v>
      </c>
      <c r="G154" s="2">
        <f t="shared" si="13"/>
        <v>991.66666666666674</v>
      </c>
      <c r="H154" s="4">
        <f>VLOOKUP(B154,nodes!A:D,2,0)</f>
        <v>360</v>
      </c>
      <c r="I154" s="4">
        <f>VLOOKUP(B154,nodes!A:D,4,0)</f>
        <v>90</v>
      </c>
      <c r="J154" s="4">
        <f>VLOOKUP(C154,nodes!A:D,2,0)</f>
        <v>390</v>
      </c>
      <c r="K154" s="4">
        <f>VLOOKUP(C154,nodes!A:D,4,0)</f>
        <v>90</v>
      </c>
      <c r="L154" s="4">
        <f t="shared" si="14"/>
        <v>30</v>
      </c>
      <c r="N154" s="12">
        <f t="shared" si="15"/>
        <v>7437500</v>
      </c>
      <c r="O154" s="12">
        <f t="shared" si="16"/>
        <v>42840000</v>
      </c>
      <c r="P154" s="12">
        <f t="shared" si="17"/>
        <v>11900</v>
      </c>
    </row>
    <row r="155" spans="1:16" x14ac:dyDescent="0.25">
      <c r="A155" s="3">
        <v>154</v>
      </c>
      <c r="B155" s="3">
        <v>161</v>
      </c>
      <c r="C155" s="3">
        <v>162</v>
      </c>
      <c r="D155" s="2">
        <v>11140</v>
      </c>
      <c r="E155" s="2">
        <f t="shared" si="12"/>
        <v>5492.5</v>
      </c>
      <c r="F155" s="2">
        <v>2380</v>
      </c>
      <c r="G155" s="2">
        <f t="shared" si="13"/>
        <v>991.66666666666674</v>
      </c>
      <c r="H155" s="4">
        <f>VLOOKUP(B155,nodes!A:D,2,0)</f>
        <v>390</v>
      </c>
      <c r="I155" s="4">
        <f>VLOOKUP(B155,nodes!A:D,4,0)</f>
        <v>90</v>
      </c>
      <c r="J155" s="4">
        <f>VLOOKUP(C155,nodes!A:D,2,0)</f>
        <v>420</v>
      </c>
      <c r="K155" s="4">
        <f>VLOOKUP(C155,nodes!A:D,4,0)</f>
        <v>90</v>
      </c>
      <c r="L155" s="4">
        <f t="shared" si="14"/>
        <v>30</v>
      </c>
      <c r="N155" s="12">
        <f t="shared" si="15"/>
        <v>7437500</v>
      </c>
      <c r="O155" s="12">
        <f t="shared" si="16"/>
        <v>42840000</v>
      </c>
      <c r="P155" s="12">
        <f t="shared" si="17"/>
        <v>11900</v>
      </c>
    </row>
    <row r="156" spans="1:16" x14ac:dyDescent="0.25">
      <c r="A156" s="3">
        <v>155</v>
      </c>
      <c r="B156" s="3">
        <v>162</v>
      </c>
      <c r="C156" s="3">
        <v>163</v>
      </c>
      <c r="D156" s="2">
        <v>11140</v>
      </c>
      <c r="E156" s="2">
        <f t="shared" si="12"/>
        <v>5492.5</v>
      </c>
      <c r="F156" s="2">
        <v>2380</v>
      </c>
      <c r="G156" s="2">
        <f t="shared" si="13"/>
        <v>991.66666666666674</v>
      </c>
      <c r="H156" s="4">
        <f>VLOOKUP(B156,nodes!A:D,2,0)</f>
        <v>420</v>
      </c>
      <c r="I156" s="4">
        <f>VLOOKUP(B156,nodes!A:D,4,0)</f>
        <v>90</v>
      </c>
      <c r="J156" s="4">
        <f>VLOOKUP(C156,nodes!A:D,2,0)</f>
        <v>450</v>
      </c>
      <c r="K156" s="4">
        <f>VLOOKUP(C156,nodes!A:D,4,0)</f>
        <v>90</v>
      </c>
      <c r="L156" s="4">
        <f t="shared" si="14"/>
        <v>30</v>
      </c>
      <c r="N156" s="12">
        <f t="shared" si="15"/>
        <v>7437500</v>
      </c>
      <c r="O156" s="12">
        <f t="shared" si="16"/>
        <v>42840000</v>
      </c>
      <c r="P156" s="12">
        <f t="shared" si="17"/>
        <v>11900</v>
      </c>
    </row>
    <row r="157" spans="1:16" x14ac:dyDescent="0.25">
      <c r="A157" s="3">
        <v>156</v>
      </c>
      <c r="B157" s="3">
        <v>163</v>
      </c>
      <c r="C157" s="3">
        <v>164</v>
      </c>
      <c r="D157" s="2">
        <v>11140</v>
      </c>
      <c r="E157" s="2">
        <f t="shared" si="12"/>
        <v>5492.5</v>
      </c>
      <c r="F157" s="2">
        <v>2380</v>
      </c>
      <c r="G157" s="2">
        <f t="shared" si="13"/>
        <v>991.66666666666674</v>
      </c>
      <c r="H157" s="4">
        <f>VLOOKUP(B157,nodes!A:D,2,0)</f>
        <v>450</v>
      </c>
      <c r="I157" s="4">
        <f>VLOOKUP(B157,nodes!A:D,4,0)</f>
        <v>90</v>
      </c>
      <c r="J157" s="4">
        <f>VLOOKUP(C157,nodes!A:D,2,0)</f>
        <v>480</v>
      </c>
      <c r="K157" s="4">
        <f>VLOOKUP(C157,nodes!A:D,4,0)</f>
        <v>90</v>
      </c>
      <c r="L157" s="4">
        <f t="shared" si="14"/>
        <v>30</v>
      </c>
      <c r="N157" s="12">
        <f t="shared" si="15"/>
        <v>7437500</v>
      </c>
      <c r="O157" s="12">
        <f t="shared" si="16"/>
        <v>42840000</v>
      </c>
      <c r="P157" s="12">
        <f t="shared" si="17"/>
        <v>11900</v>
      </c>
    </row>
    <row r="158" spans="1:16" x14ac:dyDescent="0.25">
      <c r="A158" s="3">
        <v>157</v>
      </c>
      <c r="B158" s="3">
        <v>164</v>
      </c>
      <c r="C158" s="3">
        <v>165</v>
      </c>
      <c r="D158" s="2">
        <v>11140</v>
      </c>
      <c r="E158" s="2">
        <f t="shared" si="12"/>
        <v>5492.5</v>
      </c>
      <c r="F158" s="2">
        <v>2380</v>
      </c>
      <c r="G158" s="2">
        <f t="shared" si="13"/>
        <v>991.66666666666674</v>
      </c>
      <c r="H158" s="4">
        <f>VLOOKUP(B158,nodes!A:D,2,0)</f>
        <v>480</v>
      </c>
      <c r="I158" s="4">
        <f>VLOOKUP(B158,nodes!A:D,4,0)</f>
        <v>90</v>
      </c>
      <c r="J158" s="4">
        <f>VLOOKUP(C158,nodes!A:D,2,0)</f>
        <v>509.99999999999994</v>
      </c>
      <c r="K158" s="4">
        <f>VLOOKUP(C158,nodes!A:D,4,0)</f>
        <v>90</v>
      </c>
      <c r="L158" s="4">
        <f t="shared" si="14"/>
        <v>29.999999999999943</v>
      </c>
      <c r="N158" s="12">
        <f t="shared" si="15"/>
        <v>7437500</v>
      </c>
      <c r="O158" s="12">
        <f t="shared" si="16"/>
        <v>42840000</v>
      </c>
      <c r="P158" s="12">
        <f t="shared" si="17"/>
        <v>11900</v>
      </c>
    </row>
    <row r="159" spans="1:16" x14ac:dyDescent="0.25">
      <c r="A159" s="3">
        <v>158</v>
      </c>
      <c r="B159" s="3">
        <v>165</v>
      </c>
      <c r="C159" s="3">
        <v>166</v>
      </c>
      <c r="D159" s="2">
        <v>11140</v>
      </c>
      <c r="E159" s="2">
        <f t="shared" si="12"/>
        <v>5492.5</v>
      </c>
      <c r="F159" s="2">
        <v>2380</v>
      </c>
      <c r="G159" s="2">
        <f t="shared" si="13"/>
        <v>991.66666666666674</v>
      </c>
      <c r="H159" s="4">
        <f>VLOOKUP(B159,nodes!A:D,2,0)</f>
        <v>509.99999999999994</v>
      </c>
      <c r="I159" s="4">
        <f>VLOOKUP(B159,nodes!A:D,4,0)</f>
        <v>90</v>
      </c>
      <c r="J159" s="4">
        <f>VLOOKUP(C159,nodes!A:D,2,0)</f>
        <v>540</v>
      </c>
      <c r="K159" s="4">
        <f>VLOOKUP(C159,nodes!A:D,4,0)</f>
        <v>90</v>
      </c>
      <c r="L159" s="4">
        <f t="shared" si="14"/>
        <v>30.000000000000057</v>
      </c>
      <c r="N159" s="12">
        <f t="shared" si="15"/>
        <v>7437500</v>
      </c>
      <c r="O159" s="12">
        <f t="shared" si="16"/>
        <v>42840000</v>
      </c>
      <c r="P159" s="12">
        <f t="shared" si="17"/>
        <v>11900</v>
      </c>
    </row>
    <row r="160" spans="1:16" x14ac:dyDescent="0.25">
      <c r="A160" s="3">
        <v>159</v>
      </c>
      <c r="B160" s="3">
        <v>166</v>
      </c>
      <c r="C160" s="3">
        <v>167</v>
      </c>
      <c r="D160" s="2">
        <v>11140</v>
      </c>
      <c r="E160" s="2">
        <f t="shared" si="12"/>
        <v>5492.5</v>
      </c>
      <c r="F160" s="2">
        <v>2380</v>
      </c>
      <c r="G160" s="2">
        <f t="shared" si="13"/>
        <v>991.66666666666674</v>
      </c>
      <c r="H160" s="4">
        <f>VLOOKUP(B160,nodes!A:D,2,0)</f>
        <v>540</v>
      </c>
      <c r="I160" s="4">
        <f>VLOOKUP(B160,nodes!A:D,4,0)</f>
        <v>90</v>
      </c>
      <c r="J160" s="4">
        <f>VLOOKUP(C160,nodes!A:D,2,0)</f>
        <v>570</v>
      </c>
      <c r="K160" s="4">
        <f>VLOOKUP(C160,nodes!A:D,4,0)</f>
        <v>90</v>
      </c>
      <c r="L160" s="4">
        <f t="shared" si="14"/>
        <v>30</v>
      </c>
      <c r="N160" s="12">
        <f t="shared" si="15"/>
        <v>7437500</v>
      </c>
      <c r="O160" s="12">
        <f t="shared" si="16"/>
        <v>42840000</v>
      </c>
      <c r="P160" s="12">
        <f t="shared" si="17"/>
        <v>11900</v>
      </c>
    </row>
    <row r="161" spans="1:16" x14ac:dyDescent="0.25">
      <c r="A161" s="3">
        <v>160</v>
      </c>
      <c r="B161" s="3">
        <v>167</v>
      </c>
      <c r="C161" s="3">
        <v>168</v>
      </c>
      <c r="D161" s="2">
        <v>11140</v>
      </c>
      <c r="E161" s="2">
        <f t="shared" si="12"/>
        <v>5492.5</v>
      </c>
      <c r="F161" s="2">
        <v>2380</v>
      </c>
      <c r="G161" s="2">
        <f t="shared" si="13"/>
        <v>991.66666666666674</v>
      </c>
      <c r="H161" s="4">
        <f>VLOOKUP(B161,nodes!A:D,2,0)</f>
        <v>570</v>
      </c>
      <c r="I161" s="4">
        <f>VLOOKUP(B161,nodes!A:D,4,0)</f>
        <v>90</v>
      </c>
      <c r="J161" s="4">
        <f>VLOOKUP(C161,nodes!A:D,2,0)</f>
        <v>600</v>
      </c>
      <c r="K161" s="4">
        <f>VLOOKUP(C161,nodes!A:D,4,0)</f>
        <v>90</v>
      </c>
      <c r="L161" s="4">
        <f t="shared" si="14"/>
        <v>30</v>
      </c>
      <c r="N161" s="12">
        <f t="shared" si="15"/>
        <v>7437500</v>
      </c>
      <c r="O161" s="12">
        <f t="shared" si="16"/>
        <v>42840000</v>
      </c>
      <c r="P161" s="12">
        <f t="shared" si="17"/>
        <v>11900</v>
      </c>
    </row>
    <row r="162" spans="1:16" x14ac:dyDescent="0.25">
      <c r="A162" s="3">
        <v>161</v>
      </c>
      <c r="B162" s="3">
        <v>169</v>
      </c>
      <c r="C162" s="3">
        <v>170</v>
      </c>
      <c r="D162" s="2">
        <v>11140</v>
      </c>
      <c r="E162" s="2">
        <f t="shared" si="12"/>
        <v>5492.5</v>
      </c>
      <c r="F162" s="2">
        <v>2380</v>
      </c>
      <c r="G162" s="2">
        <f t="shared" si="13"/>
        <v>991.66666666666674</v>
      </c>
      <c r="H162" s="4">
        <f>VLOOKUP(B162,nodes!A:D,2,0)</f>
        <v>0</v>
      </c>
      <c r="I162" s="4">
        <f>VLOOKUP(B162,nodes!A:D,4,0)</f>
        <v>60</v>
      </c>
      <c r="J162" s="4">
        <f>VLOOKUP(C162,nodes!A:D,2,0)</f>
        <v>30</v>
      </c>
      <c r="K162" s="4">
        <f>VLOOKUP(C162,nodes!A:D,4,0)</f>
        <v>60</v>
      </c>
      <c r="L162" s="4">
        <f t="shared" si="14"/>
        <v>30</v>
      </c>
      <c r="N162" s="12">
        <f t="shared" si="15"/>
        <v>7437500</v>
      </c>
      <c r="O162" s="12">
        <f t="shared" si="16"/>
        <v>42840000</v>
      </c>
      <c r="P162" s="12">
        <f t="shared" si="17"/>
        <v>11900</v>
      </c>
    </row>
    <row r="163" spans="1:16" x14ac:dyDescent="0.25">
      <c r="A163" s="3">
        <v>162</v>
      </c>
      <c r="B163" s="3">
        <v>170</v>
      </c>
      <c r="C163" s="3">
        <v>171</v>
      </c>
      <c r="D163" s="2">
        <v>11140</v>
      </c>
      <c r="E163" s="2">
        <f t="shared" si="12"/>
        <v>5492.5</v>
      </c>
      <c r="F163" s="2">
        <v>2380</v>
      </c>
      <c r="G163" s="2">
        <f t="shared" si="13"/>
        <v>991.66666666666674</v>
      </c>
      <c r="H163" s="4">
        <f>VLOOKUP(B163,nodes!A:D,2,0)</f>
        <v>30</v>
      </c>
      <c r="I163" s="4">
        <f>VLOOKUP(B163,nodes!A:D,4,0)</f>
        <v>60</v>
      </c>
      <c r="J163" s="4">
        <f>VLOOKUP(C163,nodes!A:D,2,0)</f>
        <v>60</v>
      </c>
      <c r="K163" s="4">
        <f>VLOOKUP(C163,nodes!A:D,4,0)</f>
        <v>60</v>
      </c>
      <c r="L163" s="4">
        <f t="shared" si="14"/>
        <v>30</v>
      </c>
      <c r="N163" s="12">
        <f t="shared" si="15"/>
        <v>7437500</v>
      </c>
      <c r="O163" s="12">
        <f t="shared" si="16"/>
        <v>42840000</v>
      </c>
      <c r="P163" s="12">
        <f t="shared" si="17"/>
        <v>11900</v>
      </c>
    </row>
    <row r="164" spans="1:16" x14ac:dyDescent="0.25">
      <c r="A164" s="3">
        <v>163</v>
      </c>
      <c r="B164" s="3">
        <v>171</v>
      </c>
      <c r="C164" s="3">
        <v>172</v>
      </c>
      <c r="D164" s="2">
        <v>11140</v>
      </c>
      <c r="E164" s="2">
        <f t="shared" si="12"/>
        <v>5492.5</v>
      </c>
      <c r="F164" s="2">
        <v>2380</v>
      </c>
      <c r="G164" s="2">
        <f t="shared" si="13"/>
        <v>991.66666666666674</v>
      </c>
      <c r="H164" s="4">
        <f>VLOOKUP(B164,nodes!A:D,2,0)</f>
        <v>60</v>
      </c>
      <c r="I164" s="4">
        <f>VLOOKUP(B164,nodes!A:D,4,0)</f>
        <v>60</v>
      </c>
      <c r="J164" s="4">
        <f>VLOOKUP(C164,nodes!A:D,2,0)</f>
        <v>90</v>
      </c>
      <c r="K164" s="4">
        <f>VLOOKUP(C164,nodes!A:D,4,0)</f>
        <v>60</v>
      </c>
      <c r="L164" s="4">
        <f t="shared" si="14"/>
        <v>30</v>
      </c>
      <c r="N164" s="12">
        <f t="shared" si="15"/>
        <v>7437500</v>
      </c>
      <c r="O164" s="12">
        <f t="shared" si="16"/>
        <v>42840000</v>
      </c>
      <c r="P164" s="12">
        <f t="shared" si="17"/>
        <v>11900</v>
      </c>
    </row>
    <row r="165" spans="1:16" x14ac:dyDescent="0.25">
      <c r="A165" s="3">
        <v>164</v>
      </c>
      <c r="B165" s="3">
        <v>172</v>
      </c>
      <c r="C165" s="3">
        <v>173</v>
      </c>
      <c r="D165" s="2">
        <v>11140</v>
      </c>
      <c r="E165" s="2">
        <f t="shared" si="12"/>
        <v>5492.5</v>
      </c>
      <c r="F165" s="2">
        <v>2380</v>
      </c>
      <c r="G165" s="2">
        <f t="shared" si="13"/>
        <v>991.66666666666674</v>
      </c>
      <c r="H165" s="4">
        <f>VLOOKUP(B165,nodes!A:D,2,0)</f>
        <v>90</v>
      </c>
      <c r="I165" s="4">
        <f>VLOOKUP(B165,nodes!A:D,4,0)</f>
        <v>60</v>
      </c>
      <c r="J165" s="4">
        <f>VLOOKUP(C165,nodes!A:D,2,0)</f>
        <v>120</v>
      </c>
      <c r="K165" s="4">
        <f>VLOOKUP(C165,nodes!A:D,4,0)</f>
        <v>60</v>
      </c>
      <c r="L165" s="4">
        <f t="shared" si="14"/>
        <v>30</v>
      </c>
      <c r="N165" s="12">
        <f t="shared" si="15"/>
        <v>7437500</v>
      </c>
      <c r="O165" s="12">
        <f t="shared" si="16"/>
        <v>42840000</v>
      </c>
      <c r="P165" s="12">
        <f t="shared" si="17"/>
        <v>11900</v>
      </c>
    </row>
    <row r="166" spans="1:16" x14ac:dyDescent="0.25">
      <c r="A166" s="3">
        <v>165</v>
      </c>
      <c r="B166" s="3">
        <v>173</v>
      </c>
      <c r="C166" s="3">
        <v>174</v>
      </c>
      <c r="D166" s="2">
        <v>11140</v>
      </c>
      <c r="E166" s="2">
        <f t="shared" si="12"/>
        <v>5492.5</v>
      </c>
      <c r="F166" s="2">
        <v>2380</v>
      </c>
      <c r="G166" s="2">
        <f t="shared" si="13"/>
        <v>991.66666666666674</v>
      </c>
      <c r="H166" s="4">
        <f>VLOOKUP(B166,nodes!A:D,2,0)</f>
        <v>120</v>
      </c>
      <c r="I166" s="4">
        <f>VLOOKUP(B166,nodes!A:D,4,0)</f>
        <v>60</v>
      </c>
      <c r="J166" s="4">
        <f>VLOOKUP(C166,nodes!A:D,2,0)</f>
        <v>150</v>
      </c>
      <c r="K166" s="4">
        <f>VLOOKUP(C166,nodes!A:D,4,0)</f>
        <v>60</v>
      </c>
      <c r="L166" s="4">
        <f t="shared" si="14"/>
        <v>30</v>
      </c>
      <c r="N166" s="12">
        <f t="shared" si="15"/>
        <v>7437500</v>
      </c>
      <c r="O166" s="12">
        <f t="shared" si="16"/>
        <v>42840000</v>
      </c>
      <c r="P166" s="12">
        <f t="shared" si="17"/>
        <v>11900</v>
      </c>
    </row>
    <row r="167" spans="1:16" x14ac:dyDescent="0.25">
      <c r="A167" s="3">
        <v>166</v>
      </c>
      <c r="B167" s="3">
        <v>174</v>
      </c>
      <c r="C167" s="3">
        <v>175</v>
      </c>
      <c r="D167" s="2">
        <v>11140</v>
      </c>
      <c r="E167" s="2">
        <f t="shared" si="12"/>
        <v>5492.5</v>
      </c>
      <c r="F167" s="2">
        <v>2380</v>
      </c>
      <c r="G167" s="2">
        <f t="shared" si="13"/>
        <v>991.66666666666674</v>
      </c>
      <c r="H167" s="4">
        <f>VLOOKUP(B167,nodes!A:D,2,0)</f>
        <v>150</v>
      </c>
      <c r="I167" s="4">
        <f>VLOOKUP(B167,nodes!A:D,4,0)</f>
        <v>60</v>
      </c>
      <c r="J167" s="4">
        <f>VLOOKUP(C167,nodes!A:D,2,0)</f>
        <v>180</v>
      </c>
      <c r="K167" s="4">
        <f>VLOOKUP(C167,nodes!A:D,4,0)</f>
        <v>60</v>
      </c>
      <c r="L167" s="4">
        <f t="shared" si="14"/>
        <v>30</v>
      </c>
      <c r="N167" s="12">
        <f t="shared" si="15"/>
        <v>7437500</v>
      </c>
      <c r="O167" s="12">
        <f t="shared" si="16"/>
        <v>42840000</v>
      </c>
      <c r="P167" s="12">
        <f t="shared" si="17"/>
        <v>11900</v>
      </c>
    </row>
    <row r="168" spans="1:16" x14ac:dyDescent="0.25">
      <c r="A168" s="3">
        <v>167</v>
      </c>
      <c r="B168" s="3">
        <v>175</v>
      </c>
      <c r="C168" s="3">
        <v>176</v>
      </c>
      <c r="D168" s="2">
        <v>11140</v>
      </c>
      <c r="E168" s="2">
        <f t="shared" si="12"/>
        <v>5492.5</v>
      </c>
      <c r="F168" s="2">
        <v>2380</v>
      </c>
      <c r="G168" s="2">
        <f t="shared" si="13"/>
        <v>991.66666666666674</v>
      </c>
      <c r="H168" s="4">
        <f>VLOOKUP(B168,nodes!A:D,2,0)</f>
        <v>180</v>
      </c>
      <c r="I168" s="4">
        <f>VLOOKUP(B168,nodes!A:D,4,0)</f>
        <v>60</v>
      </c>
      <c r="J168" s="4">
        <f>VLOOKUP(C168,nodes!A:D,2,0)</f>
        <v>210</v>
      </c>
      <c r="K168" s="4">
        <f>VLOOKUP(C168,nodes!A:D,4,0)</f>
        <v>60</v>
      </c>
      <c r="L168" s="4">
        <f t="shared" si="14"/>
        <v>30</v>
      </c>
      <c r="N168" s="12">
        <f t="shared" si="15"/>
        <v>7437500</v>
      </c>
      <c r="O168" s="12">
        <f t="shared" si="16"/>
        <v>42840000</v>
      </c>
      <c r="P168" s="12">
        <f t="shared" si="17"/>
        <v>11900</v>
      </c>
    </row>
    <row r="169" spans="1:16" x14ac:dyDescent="0.25">
      <c r="A169" s="3">
        <v>168</v>
      </c>
      <c r="B169" s="3">
        <v>176</v>
      </c>
      <c r="C169" s="3">
        <v>177</v>
      </c>
      <c r="D169" s="2">
        <v>11140</v>
      </c>
      <c r="E169" s="2">
        <f t="shared" si="12"/>
        <v>5492.5</v>
      </c>
      <c r="F169" s="2">
        <v>2380</v>
      </c>
      <c r="G169" s="2">
        <f t="shared" si="13"/>
        <v>991.66666666666674</v>
      </c>
      <c r="H169" s="4">
        <f>VLOOKUP(B169,nodes!A:D,2,0)</f>
        <v>210</v>
      </c>
      <c r="I169" s="4">
        <f>VLOOKUP(B169,nodes!A:D,4,0)</f>
        <v>60</v>
      </c>
      <c r="J169" s="4">
        <f>VLOOKUP(C169,nodes!A:D,2,0)</f>
        <v>240</v>
      </c>
      <c r="K169" s="4">
        <f>VLOOKUP(C169,nodes!A:D,4,0)</f>
        <v>60</v>
      </c>
      <c r="L169" s="4">
        <f t="shared" si="14"/>
        <v>30</v>
      </c>
      <c r="N169" s="12">
        <f t="shared" si="15"/>
        <v>7437500</v>
      </c>
      <c r="O169" s="12">
        <f t="shared" si="16"/>
        <v>42840000</v>
      </c>
      <c r="P169" s="12">
        <f t="shared" si="17"/>
        <v>11900</v>
      </c>
    </row>
    <row r="170" spans="1:16" x14ac:dyDescent="0.25">
      <c r="A170" s="3">
        <v>169</v>
      </c>
      <c r="B170" s="3">
        <v>177</v>
      </c>
      <c r="C170" s="3">
        <v>178</v>
      </c>
      <c r="D170" s="2">
        <v>11140</v>
      </c>
      <c r="E170" s="2">
        <f t="shared" si="12"/>
        <v>5492.5</v>
      </c>
      <c r="F170" s="2">
        <v>2380</v>
      </c>
      <c r="G170" s="2">
        <f t="shared" si="13"/>
        <v>991.66666666666674</v>
      </c>
      <c r="H170" s="4">
        <f>VLOOKUP(B170,nodes!A:D,2,0)</f>
        <v>240</v>
      </c>
      <c r="I170" s="4">
        <f>VLOOKUP(B170,nodes!A:D,4,0)</f>
        <v>60</v>
      </c>
      <c r="J170" s="4">
        <f>VLOOKUP(C170,nodes!A:D,2,0)</f>
        <v>270</v>
      </c>
      <c r="K170" s="4">
        <f>VLOOKUP(C170,nodes!A:D,4,0)</f>
        <v>60</v>
      </c>
      <c r="L170" s="4">
        <f t="shared" si="14"/>
        <v>30</v>
      </c>
      <c r="N170" s="12">
        <f t="shared" si="15"/>
        <v>7437500</v>
      </c>
      <c r="O170" s="12">
        <f t="shared" si="16"/>
        <v>42840000</v>
      </c>
      <c r="P170" s="12">
        <f t="shared" si="17"/>
        <v>11900</v>
      </c>
    </row>
    <row r="171" spans="1:16" x14ac:dyDescent="0.25">
      <c r="A171" s="3">
        <v>170</v>
      </c>
      <c r="B171" s="3">
        <v>178</v>
      </c>
      <c r="C171" s="3">
        <v>179</v>
      </c>
      <c r="D171" s="2">
        <v>11140</v>
      </c>
      <c r="E171" s="2">
        <f t="shared" si="12"/>
        <v>5492.5</v>
      </c>
      <c r="F171" s="2">
        <v>2380</v>
      </c>
      <c r="G171" s="2">
        <f t="shared" si="13"/>
        <v>991.66666666666674</v>
      </c>
      <c r="H171" s="4">
        <f>VLOOKUP(B171,nodes!A:D,2,0)</f>
        <v>270</v>
      </c>
      <c r="I171" s="4">
        <f>VLOOKUP(B171,nodes!A:D,4,0)</f>
        <v>60</v>
      </c>
      <c r="J171" s="4">
        <f>VLOOKUP(C171,nodes!A:D,2,0)</f>
        <v>300</v>
      </c>
      <c r="K171" s="4">
        <f>VLOOKUP(C171,nodes!A:D,4,0)</f>
        <v>60</v>
      </c>
      <c r="L171" s="4">
        <f t="shared" si="14"/>
        <v>30</v>
      </c>
      <c r="N171" s="12">
        <f t="shared" si="15"/>
        <v>7437500</v>
      </c>
      <c r="O171" s="12">
        <f t="shared" si="16"/>
        <v>42840000</v>
      </c>
      <c r="P171" s="12">
        <f t="shared" si="17"/>
        <v>11900</v>
      </c>
    </row>
    <row r="172" spans="1:16" x14ac:dyDescent="0.25">
      <c r="A172" s="3">
        <v>171</v>
      </c>
      <c r="B172" s="3">
        <v>179</v>
      </c>
      <c r="C172" s="3">
        <v>180</v>
      </c>
      <c r="D172" s="2">
        <v>11140</v>
      </c>
      <c r="E172" s="2">
        <f t="shared" si="12"/>
        <v>5492.5</v>
      </c>
      <c r="F172" s="2">
        <v>2380</v>
      </c>
      <c r="G172" s="2">
        <f t="shared" si="13"/>
        <v>991.66666666666674</v>
      </c>
      <c r="H172" s="4">
        <f>VLOOKUP(B172,nodes!A:D,2,0)</f>
        <v>300</v>
      </c>
      <c r="I172" s="4">
        <f>VLOOKUP(B172,nodes!A:D,4,0)</f>
        <v>60</v>
      </c>
      <c r="J172" s="4">
        <f>VLOOKUP(C172,nodes!A:D,2,0)</f>
        <v>330</v>
      </c>
      <c r="K172" s="4">
        <f>VLOOKUP(C172,nodes!A:D,4,0)</f>
        <v>60</v>
      </c>
      <c r="L172" s="4">
        <f t="shared" si="14"/>
        <v>30</v>
      </c>
      <c r="N172" s="12">
        <f t="shared" si="15"/>
        <v>7437500</v>
      </c>
      <c r="O172" s="12">
        <f t="shared" si="16"/>
        <v>42840000</v>
      </c>
      <c r="P172" s="12">
        <f t="shared" si="17"/>
        <v>11900</v>
      </c>
    </row>
    <row r="173" spans="1:16" x14ac:dyDescent="0.25">
      <c r="A173" s="3">
        <v>172</v>
      </c>
      <c r="B173" s="3">
        <v>180</v>
      </c>
      <c r="C173" s="3">
        <v>181</v>
      </c>
      <c r="D173" s="2">
        <v>11140</v>
      </c>
      <c r="E173" s="2">
        <f t="shared" si="12"/>
        <v>5492.5</v>
      </c>
      <c r="F173" s="2">
        <v>2380</v>
      </c>
      <c r="G173" s="2">
        <f t="shared" si="13"/>
        <v>991.66666666666674</v>
      </c>
      <c r="H173" s="4">
        <f>VLOOKUP(B173,nodes!A:D,2,0)</f>
        <v>330</v>
      </c>
      <c r="I173" s="4">
        <f>VLOOKUP(B173,nodes!A:D,4,0)</f>
        <v>60</v>
      </c>
      <c r="J173" s="4">
        <f>VLOOKUP(C173,nodes!A:D,2,0)</f>
        <v>360</v>
      </c>
      <c r="K173" s="4">
        <f>VLOOKUP(C173,nodes!A:D,4,0)</f>
        <v>60</v>
      </c>
      <c r="L173" s="4">
        <f t="shared" si="14"/>
        <v>30</v>
      </c>
      <c r="N173" s="12">
        <f t="shared" si="15"/>
        <v>7437500</v>
      </c>
      <c r="O173" s="12">
        <f t="shared" si="16"/>
        <v>42840000</v>
      </c>
      <c r="P173" s="12">
        <f t="shared" si="17"/>
        <v>11900</v>
      </c>
    </row>
    <row r="174" spans="1:16" x14ac:dyDescent="0.25">
      <c r="A174" s="3">
        <v>173</v>
      </c>
      <c r="B174" s="3">
        <v>181</v>
      </c>
      <c r="C174" s="3">
        <v>182</v>
      </c>
      <c r="D174" s="2">
        <v>11140</v>
      </c>
      <c r="E174" s="2">
        <f t="shared" si="12"/>
        <v>5492.5</v>
      </c>
      <c r="F174" s="2">
        <v>2380</v>
      </c>
      <c r="G174" s="2">
        <f t="shared" si="13"/>
        <v>991.66666666666674</v>
      </c>
      <c r="H174" s="4">
        <f>VLOOKUP(B174,nodes!A:D,2,0)</f>
        <v>360</v>
      </c>
      <c r="I174" s="4">
        <f>VLOOKUP(B174,nodes!A:D,4,0)</f>
        <v>60</v>
      </c>
      <c r="J174" s="4">
        <f>VLOOKUP(C174,nodes!A:D,2,0)</f>
        <v>390</v>
      </c>
      <c r="K174" s="4">
        <f>VLOOKUP(C174,nodes!A:D,4,0)</f>
        <v>60</v>
      </c>
      <c r="L174" s="4">
        <f t="shared" si="14"/>
        <v>30</v>
      </c>
      <c r="N174" s="12">
        <f t="shared" si="15"/>
        <v>7437500</v>
      </c>
      <c r="O174" s="12">
        <f t="shared" si="16"/>
        <v>42840000</v>
      </c>
      <c r="P174" s="12">
        <f t="shared" si="17"/>
        <v>11900</v>
      </c>
    </row>
    <row r="175" spans="1:16" x14ac:dyDescent="0.25">
      <c r="A175" s="3">
        <v>174</v>
      </c>
      <c r="B175" s="3">
        <v>182</v>
      </c>
      <c r="C175" s="3">
        <v>183</v>
      </c>
      <c r="D175" s="2">
        <v>11140</v>
      </c>
      <c r="E175" s="2">
        <f t="shared" si="12"/>
        <v>5492.5</v>
      </c>
      <c r="F175" s="2">
        <v>2380</v>
      </c>
      <c r="G175" s="2">
        <f t="shared" si="13"/>
        <v>991.66666666666674</v>
      </c>
      <c r="H175" s="4">
        <f>VLOOKUP(B175,nodes!A:D,2,0)</f>
        <v>390</v>
      </c>
      <c r="I175" s="4">
        <f>VLOOKUP(B175,nodes!A:D,4,0)</f>
        <v>60</v>
      </c>
      <c r="J175" s="4">
        <f>VLOOKUP(C175,nodes!A:D,2,0)</f>
        <v>420</v>
      </c>
      <c r="K175" s="4">
        <f>VLOOKUP(C175,nodes!A:D,4,0)</f>
        <v>60</v>
      </c>
      <c r="L175" s="4">
        <f t="shared" si="14"/>
        <v>30</v>
      </c>
      <c r="N175" s="12">
        <f t="shared" si="15"/>
        <v>7437500</v>
      </c>
      <c r="O175" s="12">
        <f t="shared" si="16"/>
        <v>42840000</v>
      </c>
      <c r="P175" s="12">
        <f t="shared" si="17"/>
        <v>11900</v>
      </c>
    </row>
    <row r="176" spans="1:16" x14ac:dyDescent="0.25">
      <c r="A176" s="3">
        <v>175</v>
      </c>
      <c r="B176" s="3">
        <v>183</v>
      </c>
      <c r="C176" s="3">
        <v>184</v>
      </c>
      <c r="D176" s="2">
        <v>11140</v>
      </c>
      <c r="E176" s="2">
        <f t="shared" si="12"/>
        <v>5492.5</v>
      </c>
      <c r="F176" s="2">
        <v>2380</v>
      </c>
      <c r="G176" s="2">
        <f t="shared" si="13"/>
        <v>991.66666666666674</v>
      </c>
      <c r="H176" s="4">
        <f>VLOOKUP(B176,nodes!A:D,2,0)</f>
        <v>420</v>
      </c>
      <c r="I176" s="4">
        <f>VLOOKUP(B176,nodes!A:D,4,0)</f>
        <v>60</v>
      </c>
      <c r="J176" s="4">
        <f>VLOOKUP(C176,nodes!A:D,2,0)</f>
        <v>450</v>
      </c>
      <c r="K176" s="4">
        <f>VLOOKUP(C176,nodes!A:D,4,0)</f>
        <v>60</v>
      </c>
      <c r="L176" s="4">
        <f t="shared" si="14"/>
        <v>30</v>
      </c>
      <c r="N176" s="12">
        <f t="shared" si="15"/>
        <v>7437500</v>
      </c>
      <c r="O176" s="12">
        <f t="shared" si="16"/>
        <v>42840000</v>
      </c>
      <c r="P176" s="12">
        <f t="shared" si="17"/>
        <v>11900</v>
      </c>
    </row>
    <row r="177" spans="1:16" x14ac:dyDescent="0.25">
      <c r="A177" s="3">
        <v>176</v>
      </c>
      <c r="B177" s="3">
        <v>184</v>
      </c>
      <c r="C177" s="3">
        <v>185</v>
      </c>
      <c r="D177" s="2">
        <v>11140</v>
      </c>
      <c r="E177" s="2">
        <f t="shared" si="12"/>
        <v>5492.5</v>
      </c>
      <c r="F177" s="2">
        <v>2380</v>
      </c>
      <c r="G177" s="2">
        <f t="shared" si="13"/>
        <v>991.66666666666674</v>
      </c>
      <c r="H177" s="4">
        <f>VLOOKUP(B177,nodes!A:D,2,0)</f>
        <v>450</v>
      </c>
      <c r="I177" s="4">
        <f>VLOOKUP(B177,nodes!A:D,4,0)</f>
        <v>60</v>
      </c>
      <c r="J177" s="4">
        <f>VLOOKUP(C177,nodes!A:D,2,0)</f>
        <v>480</v>
      </c>
      <c r="K177" s="4">
        <f>VLOOKUP(C177,nodes!A:D,4,0)</f>
        <v>60</v>
      </c>
      <c r="L177" s="4">
        <f t="shared" si="14"/>
        <v>30</v>
      </c>
      <c r="N177" s="12">
        <f t="shared" si="15"/>
        <v>7437500</v>
      </c>
      <c r="O177" s="12">
        <f t="shared" si="16"/>
        <v>42840000</v>
      </c>
      <c r="P177" s="12">
        <f t="shared" si="17"/>
        <v>11900</v>
      </c>
    </row>
    <row r="178" spans="1:16" x14ac:dyDescent="0.25">
      <c r="A178" s="3">
        <v>177</v>
      </c>
      <c r="B178" s="3">
        <v>185</v>
      </c>
      <c r="C178" s="3">
        <v>186</v>
      </c>
      <c r="D178" s="2">
        <v>11140</v>
      </c>
      <c r="E178" s="2">
        <f t="shared" si="12"/>
        <v>5492.5</v>
      </c>
      <c r="F178" s="2">
        <v>2380</v>
      </c>
      <c r="G178" s="2">
        <f t="shared" si="13"/>
        <v>991.66666666666674</v>
      </c>
      <c r="H178" s="4">
        <f>VLOOKUP(B178,nodes!A:D,2,0)</f>
        <v>480</v>
      </c>
      <c r="I178" s="4">
        <f>VLOOKUP(B178,nodes!A:D,4,0)</f>
        <v>60</v>
      </c>
      <c r="J178" s="4">
        <f>VLOOKUP(C178,nodes!A:D,2,0)</f>
        <v>509.99999999999994</v>
      </c>
      <c r="K178" s="4">
        <f>VLOOKUP(C178,nodes!A:D,4,0)</f>
        <v>60</v>
      </c>
      <c r="L178" s="4">
        <f t="shared" si="14"/>
        <v>29.999999999999943</v>
      </c>
      <c r="N178" s="12">
        <f t="shared" si="15"/>
        <v>7437500</v>
      </c>
      <c r="O178" s="12">
        <f t="shared" si="16"/>
        <v>42840000</v>
      </c>
      <c r="P178" s="12">
        <f t="shared" si="17"/>
        <v>11900</v>
      </c>
    </row>
    <row r="179" spans="1:16" x14ac:dyDescent="0.25">
      <c r="A179" s="3">
        <v>178</v>
      </c>
      <c r="B179" s="3">
        <v>186</v>
      </c>
      <c r="C179" s="3">
        <v>187</v>
      </c>
      <c r="D179" s="2">
        <v>11140</v>
      </c>
      <c r="E179" s="2">
        <f t="shared" si="12"/>
        <v>5492.5</v>
      </c>
      <c r="F179" s="2">
        <v>2380</v>
      </c>
      <c r="G179" s="2">
        <f t="shared" si="13"/>
        <v>991.66666666666674</v>
      </c>
      <c r="H179" s="4">
        <f>VLOOKUP(B179,nodes!A:D,2,0)</f>
        <v>509.99999999999994</v>
      </c>
      <c r="I179" s="4">
        <f>VLOOKUP(B179,nodes!A:D,4,0)</f>
        <v>60</v>
      </c>
      <c r="J179" s="4">
        <f>VLOOKUP(C179,nodes!A:D,2,0)</f>
        <v>540</v>
      </c>
      <c r="K179" s="4">
        <f>VLOOKUP(C179,nodes!A:D,4,0)</f>
        <v>60</v>
      </c>
      <c r="L179" s="4">
        <f t="shared" si="14"/>
        <v>30.000000000000057</v>
      </c>
      <c r="N179" s="12">
        <f t="shared" si="15"/>
        <v>7437500</v>
      </c>
      <c r="O179" s="12">
        <f t="shared" si="16"/>
        <v>42840000</v>
      </c>
      <c r="P179" s="12">
        <f t="shared" si="17"/>
        <v>11900</v>
      </c>
    </row>
    <row r="180" spans="1:16" x14ac:dyDescent="0.25">
      <c r="A180" s="3">
        <v>179</v>
      </c>
      <c r="B180" s="3">
        <v>187</v>
      </c>
      <c r="C180" s="3">
        <v>188</v>
      </c>
      <c r="D180" s="2">
        <v>11140</v>
      </c>
      <c r="E180" s="2">
        <f t="shared" si="12"/>
        <v>5492.5</v>
      </c>
      <c r="F180" s="2">
        <v>2380</v>
      </c>
      <c r="G180" s="2">
        <f t="shared" si="13"/>
        <v>991.66666666666674</v>
      </c>
      <c r="H180" s="4">
        <f>VLOOKUP(B180,nodes!A:D,2,0)</f>
        <v>540</v>
      </c>
      <c r="I180" s="4">
        <f>VLOOKUP(B180,nodes!A:D,4,0)</f>
        <v>60</v>
      </c>
      <c r="J180" s="4">
        <f>VLOOKUP(C180,nodes!A:D,2,0)</f>
        <v>570</v>
      </c>
      <c r="K180" s="4">
        <f>VLOOKUP(C180,nodes!A:D,4,0)</f>
        <v>60</v>
      </c>
      <c r="L180" s="4">
        <f t="shared" si="14"/>
        <v>30</v>
      </c>
      <c r="N180" s="12">
        <f t="shared" si="15"/>
        <v>7437500</v>
      </c>
      <c r="O180" s="12">
        <f t="shared" si="16"/>
        <v>42840000</v>
      </c>
      <c r="P180" s="12">
        <f t="shared" si="17"/>
        <v>11900</v>
      </c>
    </row>
    <row r="181" spans="1:16" x14ac:dyDescent="0.25">
      <c r="A181" s="3">
        <v>180</v>
      </c>
      <c r="B181" s="3">
        <v>188</v>
      </c>
      <c r="C181" s="3">
        <v>189</v>
      </c>
      <c r="D181" s="2">
        <v>11140</v>
      </c>
      <c r="E181" s="2">
        <f t="shared" si="12"/>
        <v>5492.5</v>
      </c>
      <c r="F181" s="2">
        <v>2380</v>
      </c>
      <c r="G181" s="2">
        <f t="shared" si="13"/>
        <v>991.66666666666674</v>
      </c>
      <c r="H181" s="4">
        <f>VLOOKUP(B181,nodes!A:D,2,0)</f>
        <v>570</v>
      </c>
      <c r="I181" s="4">
        <f>VLOOKUP(B181,nodes!A:D,4,0)</f>
        <v>60</v>
      </c>
      <c r="J181" s="4">
        <f>VLOOKUP(C181,nodes!A:D,2,0)</f>
        <v>600</v>
      </c>
      <c r="K181" s="4">
        <f>VLOOKUP(C181,nodes!A:D,4,0)</f>
        <v>60</v>
      </c>
      <c r="L181" s="4">
        <f t="shared" si="14"/>
        <v>30</v>
      </c>
      <c r="N181" s="12">
        <f t="shared" si="15"/>
        <v>7437500</v>
      </c>
      <c r="O181" s="12">
        <f t="shared" si="16"/>
        <v>42840000</v>
      </c>
      <c r="P181" s="12">
        <f t="shared" si="17"/>
        <v>11900</v>
      </c>
    </row>
    <row r="182" spans="1:16" x14ac:dyDescent="0.25">
      <c r="A182" s="3">
        <v>181</v>
      </c>
      <c r="B182" s="3">
        <v>190</v>
      </c>
      <c r="C182" s="3">
        <v>191</v>
      </c>
      <c r="D182" s="2">
        <v>11140</v>
      </c>
      <c r="E182" s="2">
        <f t="shared" si="12"/>
        <v>5492.5</v>
      </c>
      <c r="F182" s="2">
        <v>2380</v>
      </c>
      <c r="G182" s="2">
        <f t="shared" si="13"/>
        <v>991.66666666666674</v>
      </c>
      <c r="H182" s="4">
        <f>VLOOKUP(B182,nodes!A:D,2,0)</f>
        <v>0</v>
      </c>
      <c r="I182" s="4">
        <f>VLOOKUP(B182,nodes!A:D,4,0)</f>
        <v>30</v>
      </c>
      <c r="J182" s="4">
        <f>VLOOKUP(C182,nodes!A:D,2,0)</f>
        <v>30</v>
      </c>
      <c r="K182" s="4">
        <f>VLOOKUP(C182,nodes!A:D,4,0)</f>
        <v>30</v>
      </c>
      <c r="L182" s="4">
        <f t="shared" si="14"/>
        <v>30</v>
      </c>
      <c r="N182" s="12">
        <f t="shared" si="15"/>
        <v>7437500</v>
      </c>
      <c r="O182" s="12">
        <f t="shared" si="16"/>
        <v>42840000</v>
      </c>
      <c r="P182" s="12">
        <f t="shared" si="17"/>
        <v>11900</v>
      </c>
    </row>
    <row r="183" spans="1:16" x14ac:dyDescent="0.25">
      <c r="A183" s="3">
        <v>182</v>
      </c>
      <c r="B183" s="3">
        <v>191</v>
      </c>
      <c r="C183" s="3">
        <v>192</v>
      </c>
      <c r="D183" s="2">
        <v>11140</v>
      </c>
      <c r="E183" s="2">
        <f t="shared" si="12"/>
        <v>5492.5</v>
      </c>
      <c r="F183" s="2">
        <v>2380</v>
      </c>
      <c r="G183" s="2">
        <f t="shared" si="13"/>
        <v>991.66666666666674</v>
      </c>
      <c r="H183" s="4">
        <f>VLOOKUP(B183,nodes!A:D,2,0)</f>
        <v>30</v>
      </c>
      <c r="I183" s="4">
        <f>VLOOKUP(B183,nodes!A:D,4,0)</f>
        <v>30</v>
      </c>
      <c r="J183" s="4">
        <f>VLOOKUP(C183,nodes!A:D,2,0)</f>
        <v>60</v>
      </c>
      <c r="K183" s="4">
        <f>VLOOKUP(C183,nodes!A:D,4,0)</f>
        <v>30</v>
      </c>
      <c r="L183" s="4">
        <f t="shared" si="14"/>
        <v>30</v>
      </c>
      <c r="N183" s="12">
        <f t="shared" si="15"/>
        <v>7437500</v>
      </c>
      <c r="O183" s="12">
        <f t="shared" si="16"/>
        <v>42840000</v>
      </c>
      <c r="P183" s="12">
        <f t="shared" si="17"/>
        <v>11900</v>
      </c>
    </row>
    <row r="184" spans="1:16" x14ac:dyDescent="0.25">
      <c r="A184" s="3">
        <v>183</v>
      </c>
      <c r="B184" s="3">
        <v>192</v>
      </c>
      <c r="C184" s="3">
        <v>193</v>
      </c>
      <c r="D184" s="2">
        <v>11140</v>
      </c>
      <c r="E184" s="2">
        <f t="shared" si="12"/>
        <v>5492.5</v>
      </c>
      <c r="F184" s="2">
        <v>2380</v>
      </c>
      <c r="G184" s="2">
        <f t="shared" si="13"/>
        <v>991.66666666666674</v>
      </c>
      <c r="H184" s="4">
        <f>VLOOKUP(B184,nodes!A:D,2,0)</f>
        <v>60</v>
      </c>
      <c r="I184" s="4">
        <f>VLOOKUP(B184,nodes!A:D,4,0)</f>
        <v>30</v>
      </c>
      <c r="J184" s="4">
        <f>VLOOKUP(C184,nodes!A:D,2,0)</f>
        <v>90</v>
      </c>
      <c r="K184" s="4">
        <f>VLOOKUP(C184,nodes!A:D,4,0)</f>
        <v>30</v>
      </c>
      <c r="L184" s="4">
        <f t="shared" si="14"/>
        <v>30</v>
      </c>
      <c r="N184" s="12">
        <f t="shared" si="15"/>
        <v>7437500</v>
      </c>
      <c r="O184" s="12">
        <f t="shared" si="16"/>
        <v>42840000</v>
      </c>
      <c r="P184" s="12">
        <f t="shared" si="17"/>
        <v>11900</v>
      </c>
    </row>
    <row r="185" spans="1:16" x14ac:dyDescent="0.25">
      <c r="A185" s="3">
        <v>184</v>
      </c>
      <c r="B185" s="3">
        <v>193</v>
      </c>
      <c r="C185" s="3">
        <v>194</v>
      </c>
      <c r="D185" s="2">
        <v>11140</v>
      </c>
      <c r="E185" s="2">
        <f t="shared" si="12"/>
        <v>5492.5</v>
      </c>
      <c r="F185" s="2">
        <v>2380</v>
      </c>
      <c r="G185" s="2">
        <f t="shared" si="13"/>
        <v>991.66666666666674</v>
      </c>
      <c r="H185" s="4">
        <f>VLOOKUP(B185,nodes!A:D,2,0)</f>
        <v>90</v>
      </c>
      <c r="I185" s="4">
        <f>VLOOKUP(B185,nodes!A:D,4,0)</f>
        <v>30</v>
      </c>
      <c r="J185" s="4">
        <f>VLOOKUP(C185,nodes!A:D,2,0)</f>
        <v>120</v>
      </c>
      <c r="K185" s="4">
        <f>VLOOKUP(C185,nodes!A:D,4,0)</f>
        <v>30</v>
      </c>
      <c r="L185" s="4">
        <f t="shared" si="14"/>
        <v>30</v>
      </c>
      <c r="N185" s="12">
        <f t="shared" si="15"/>
        <v>7437500</v>
      </c>
      <c r="O185" s="12">
        <f t="shared" si="16"/>
        <v>42840000</v>
      </c>
      <c r="P185" s="12">
        <f t="shared" si="17"/>
        <v>11900</v>
      </c>
    </row>
    <row r="186" spans="1:16" x14ac:dyDescent="0.25">
      <c r="A186" s="3">
        <v>185</v>
      </c>
      <c r="B186" s="3">
        <v>194</v>
      </c>
      <c r="C186" s="3">
        <v>195</v>
      </c>
      <c r="D186" s="2">
        <v>11140</v>
      </c>
      <c r="E186" s="2">
        <f t="shared" si="12"/>
        <v>5492.5</v>
      </c>
      <c r="F186" s="2">
        <v>2380</v>
      </c>
      <c r="G186" s="2">
        <f t="shared" si="13"/>
        <v>991.66666666666674</v>
      </c>
      <c r="H186" s="4">
        <f>VLOOKUP(B186,nodes!A:D,2,0)</f>
        <v>120</v>
      </c>
      <c r="I186" s="4">
        <f>VLOOKUP(B186,nodes!A:D,4,0)</f>
        <v>30</v>
      </c>
      <c r="J186" s="4">
        <f>VLOOKUP(C186,nodes!A:D,2,0)</f>
        <v>150</v>
      </c>
      <c r="K186" s="4">
        <f>VLOOKUP(C186,nodes!A:D,4,0)</f>
        <v>30</v>
      </c>
      <c r="L186" s="4">
        <f t="shared" si="14"/>
        <v>30</v>
      </c>
      <c r="N186" s="12">
        <f t="shared" si="15"/>
        <v>7437500</v>
      </c>
      <c r="O186" s="12">
        <f t="shared" si="16"/>
        <v>42840000</v>
      </c>
      <c r="P186" s="12">
        <f t="shared" si="17"/>
        <v>11900</v>
      </c>
    </row>
    <row r="187" spans="1:16" x14ac:dyDescent="0.25">
      <c r="A187" s="3">
        <v>186</v>
      </c>
      <c r="B187" s="3">
        <v>195</v>
      </c>
      <c r="C187" s="3">
        <v>196</v>
      </c>
      <c r="D187" s="2">
        <v>11140</v>
      </c>
      <c r="E187" s="2">
        <f t="shared" si="12"/>
        <v>5492.5</v>
      </c>
      <c r="F187" s="2">
        <v>2380</v>
      </c>
      <c r="G187" s="2">
        <f t="shared" si="13"/>
        <v>991.66666666666674</v>
      </c>
      <c r="H187" s="4">
        <f>VLOOKUP(B187,nodes!A:D,2,0)</f>
        <v>150</v>
      </c>
      <c r="I187" s="4">
        <f>VLOOKUP(B187,nodes!A:D,4,0)</f>
        <v>30</v>
      </c>
      <c r="J187" s="4">
        <f>VLOOKUP(C187,nodes!A:D,2,0)</f>
        <v>180</v>
      </c>
      <c r="K187" s="4">
        <f>VLOOKUP(C187,nodes!A:D,4,0)</f>
        <v>30</v>
      </c>
      <c r="L187" s="4">
        <f t="shared" si="14"/>
        <v>30</v>
      </c>
      <c r="N187" s="12">
        <f t="shared" si="15"/>
        <v>7437500</v>
      </c>
      <c r="O187" s="12">
        <f t="shared" si="16"/>
        <v>42840000</v>
      </c>
      <c r="P187" s="12">
        <f t="shared" si="17"/>
        <v>11900</v>
      </c>
    </row>
    <row r="188" spans="1:16" x14ac:dyDescent="0.25">
      <c r="A188" s="3">
        <v>187</v>
      </c>
      <c r="B188" s="3">
        <v>196</v>
      </c>
      <c r="C188" s="3">
        <v>197</v>
      </c>
      <c r="D188" s="2">
        <v>11140</v>
      </c>
      <c r="E188" s="2">
        <f t="shared" si="12"/>
        <v>5492.5</v>
      </c>
      <c r="F188" s="2">
        <v>2380</v>
      </c>
      <c r="G188" s="2">
        <f t="shared" si="13"/>
        <v>991.66666666666674</v>
      </c>
      <c r="H188" s="4">
        <f>VLOOKUP(B188,nodes!A:D,2,0)</f>
        <v>180</v>
      </c>
      <c r="I188" s="4">
        <f>VLOOKUP(B188,nodes!A:D,4,0)</f>
        <v>30</v>
      </c>
      <c r="J188" s="4">
        <f>VLOOKUP(C188,nodes!A:D,2,0)</f>
        <v>210</v>
      </c>
      <c r="K188" s="4">
        <f>VLOOKUP(C188,nodes!A:D,4,0)</f>
        <v>30</v>
      </c>
      <c r="L188" s="4">
        <f t="shared" si="14"/>
        <v>30</v>
      </c>
      <c r="N188" s="12">
        <f t="shared" si="15"/>
        <v>7437500</v>
      </c>
      <c r="O188" s="12">
        <f t="shared" si="16"/>
        <v>42840000</v>
      </c>
      <c r="P188" s="12">
        <f t="shared" si="17"/>
        <v>11900</v>
      </c>
    </row>
    <row r="189" spans="1:16" x14ac:dyDescent="0.25">
      <c r="A189" s="3">
        <v>188</v>
      </c>
      <c r="B189" s="3">
        <v>197</v>
      </c>
      <c r="C189" s="3">
        <v>198</v>
      </c>
      <c r="D189" s="2">
        <v>11140</v>
      </c>
      <c r="E189" s="2">
        <f t="shared" si="12"/>
        <v>5492.5</v>
      </c>
      <c r="F189" s="2">
        <v>2380</v>
      </c>
      <c r="G189" s="2">
        <f t="shared" si="13"/>
        <v>991.66666666666674</v>
      </c>
      <c r="H189" s="4">
        <f>VLOOKUP(B189,nodes!A:D,2,0)</f>
        <v>210</v>
      </c>
      <c r="I189" s="4">
        <f>VLOOKUP(B189,nodes!A:D,4,0)</f>
        <v>30</v>
      </c>
      <c r="J189" s="4">
        <f>VLOOKUP(C189,nodes!A:D,2,0)</f>
        <v>240</v>
      </c>
      <c r="K189" s="4">
        <f>VLOOKUP(C189,nodes!A:D,4,0)</f>
        <v>30</v>
      </c>
      <c r="L189" s="4">
        <f t="shared" si="14"/>
        <v>30</v>
      </c>
      <c r="N189" s="12">
        <f t="shared" si="15"/>
        <v>7437500</v>
      </c>
      <c r="O189" s="12">
        <f t="shared" si="16"/>
        <v>42840000</v>
      </c>
      <c r="P189" s="12">
        <f t="shared" si="17"/>
        <v>11900</v>
      </c>
    </row>
    <row r="190" spans="1:16" x14ac:dyDescent="0.25">
      <c r="A190" s="3">
        <v>189</v>
      </c>
      <c r="B190" s="3">
        <v>198</v>
      </c>
      <c r="C190" s="3">
        <v>199</v>
      </c>
      <c r="D190" s="2">
        <v>11140</v>
      </c>
      <c r="E190" s="2">
        <f t="shared" si="12"/>
        <v>5492.5</v>
      </c>
      <c r="F190" s="2">
        <v>2380</v>
      </c>
      <c r="G190" s="2">
        <f t="shared" si="13"/>
        <v>991.66666666666674</v>
      </c>
      <c r="H190" s="4">
        <f>VLOOKUP(B190,nodes!A:D,2,0)</f>
        <v>240</v>
      </c>
      <c r="I190" s="4">
        <f>VLOOKUP(B190,nodes!A:D,4,0)</f>
        <v>30</v>
      </c>
      <c r="J190" s="4">
        <f>VLOOKUP(C190,nodes!A:D,2,0)</f>
        <v>270</v>
      </c>
      <c r="K190" s="4">
        <f>VLOOKUP(C190,nodes!A:D,4,0)</f>
        <v>30</v>
      </c>
      <c r="L190" s="4">
        <f t="shared" si="14"/>
        <v>30</v>
      </c>
      <c r="N190" s="12">
        <f t="shared" si="15"/>
        <v>7437500</v>
      </c>
      <c r="O190" s="12">
        <f t="shared" si="16"/>
        <v>42840000</v>
      </c>
      <c r="P190" s="12">
        <f t="shared" si="17"/>
        <v>11900</v>
      </c>
    </row>
    <row r="191" spans="1:16" x14ac:dyDescent="0.25">
      <c r="A191" s="3">
        <v>190</v>
      </c>
      <c r="B191" s="3">
        <v>199</v>
      </c>
      <c r="C191" s="3">
        <v>200</v>
      </c>
      <c r="D191" s="2">
        <v>11140</v>
      </c>
      <c r="E191" s="2">
        <f t="shared" si="12"/>
        <v>5492.5</v>
      </c>
      <c r="F191" s="2">
        <v>2380</v>
      </c>
      <c r="G191" s="2">
        <f t="shared" si="13"/>
        <v>991.66666666666674</v>
      </c>
      <c r="H191" s="4">
        <f>VLOOKUP(B191,nodes!A:D,2,0)</f>
        <v>270</v>
      </c>
      <c r="I191" s="4">
        <f>VLOOKUP(B191,nodes!A:D,4,0)</f>
        <v>30</v>
      </c>
      <c r="J191" s="4">
        <f>VLOOKUP(C191,nodes!A:D,2,0)</f>
        <v>300</v>
      </c>
      <c r="K191" s="4">
        <f>VLOOKUP(C191,nodes!A:D,4,0)</f>
        <v>30</v>
      </c>
      <c r="L191" s="4">
        <f t="shared" si="14"/>
        <v>30</v>
      </c>
      <c r="N191" s="12">
        <f t="shared" si="15"/>
        <v>7437500</v>
      </c>
      <c r="O191" s="12">
        <f t="shared" si="16"/>
        <v>42840000</v>
      </c>
      <c r="P191" s="12">
        <f t="shared" si="17"/>
        <v>11900</v>
      </c>
    </row>
    <row r="192" spans="1:16" x14ac:dyDescent="0.25">
      <c r="A192" s="3">
        <v>191</v>
      </c>
      <c r="B192" s="3">
        <v>200</v>
      </c>
      <c r="C192" s="3">
        <v>201</v>
      </c>
      <c r="D192" s="2">
        <v>11140</v>
      </c>
      <c r="E192" s="2">
        <f t="shared" si="12"/>
        <v>5492.5</v>
      </c>
      <c r="F192" s="2">
        <v>2380</v>
      </c>
      <c r="G192" s="2">
        <f t="shared" si="13"/>
        <v>991.66666666666674</v>
      </c>
      <c r="H192" s="4">
        <f>VLOOKUP(B192,nodes!A:D,2,0)</f>
        <v>300</v>
      </c>
      <c r="I192" s="4">
        <f>VLOOKUP(B192,nodes!A:D,4,0)</f>
        <v>30</v>
      </c>
      <c r="J192" s="4">
        <f>VLOOKUP(C192,nodes!A:D,2,0)</f>
        <v>330</v>
      </c>
      <c r="K192" s="4">
        <f>VLOOKUP(C192,nodes!A:D,4,0)</f>
        <v>30</v>
      </c>
      <c r="L192" s="4">
        <f t="shared" si="14"/>
        <v>30</v>
      </c>
      <c r="N192" s="12">
        <f t="shared" si="15"/>
        <v>7437500</v>
      </c>
      <c r="O192" s="12">
        <f t="shared" si="16"/>
        <v>42840000</v>
      </c>
      <c r="P192" s="12">
        <f t="shared" si="17"/>
        <v>11900</v>
      </c>
    </row>
    <row r="193" spans="1:16" x14ac:dyDescent="0.25">
      <c r="A193" s="3">
        <v>192</v>
      </c>
      <c r="B193" s="3">
        <v>201</v>
      </c>
      <c r="C193" s="3">
        <v>202</v>
      </c>
      <c r="D193" s="2">
        <v>11140</v>
      </c>
      <c r="E193" s="2">
        <f t="shared" si="12"/>
        <v>5492.5</v>
      </c>
      <c r="F193" s="2">
        <v>2380</v>
      </c>
      <c r="G193" s="2">
        <f t="shared" si="13"/>
        <v>991.66666666666674</v>
      </c>
      <c r="H193" s="4">
        <f>VLOOKUP(B193,nodes!A:D,2,0)</f>
        <v>330</v>
      </c>
      <c r="I193" s="4">
        <f>VLOOKUP(B193,nodes!A:D,4,0)</f>
        <v>30</v>
      </c>
      <c r="J193" s="4">
        <f>VLOOKUP(C193,nodes!A:D,2,0)</f>
        <v>360</v>
      </c>
      <c r="K193" s="4">
        <f>VLOOKUP(C193,nodes!A:D,4,0)</f>
        <v>30</v>
      </c>
      <c r="L193" s="4">
        <f t="shared" si="14"/>
        <v>30</v>
      </c>
      <c r="N193" s="12">
        <f t="shared" si="15"/>
        <v>7437500</v>
      </c>
      <c r="O193" s="12">
        <f t="shared" si="16"/>
        <v>42840000</v>
      </c>
      <c r="P193" s="12">
        <f t="shared" si="17"/>
        <v>11900</v>
      </c>
    </row>
    <row r="194" spans="1:16" x14ac:dyDescent="0.25">
      <c r="A194" s="3">
        <v>193</v>
      </c>
      <c r="B194" s="3">
        <v>202</v>
      </c>
      <c r="C194" s="3">
        <v>203</v>
      </c>
      <c r="D194" s="2">
        <v>11140</v>
      </c>
      <c r="E194" s="2">
        <f t="shared" si="12"/>
        <v>5492.5</v>
      </c>
      <c r="F194" s="2">
        <v>2380</v>
      </c>
      <c r="G194" s="2">
        <f t="shared" si="13"/>
        <v>991.66666666666674</v>
      </c>
      <c r="H194" s="4">
        <f>VLOOKUP(B194,nodes!A:D,2,0)</f>
        <v>360</v>
      </c>
      <c r="I194" s="4">
        <f>VLOOKUP(B194,nodes!A:D,4,0)</f>
        <v>30</v>
      </c>
      <c r="J194" s="4">
        <f>VLOOKUP(C194,nodes!A:D,2,0)</f>
        <v>390</v>
      </c>
      <c r="K194" s="4">
        <f>VLOOKUP(C194,nodes!A:D,4,0)</f>
        <v>30</v>
      </c>
      <c r="L194" s="4">
        <f t="shared" si="14"/>
        <v>30</v>
      </c>
      <c r="N194" s="12">
        <f t="shared" si="15"/>
        <v>7437500</v>
      </c>
      <c r="O194" s="12">
        <f t="shared" si="16"/>
        <v>42840000</v>
      </c>
      <c r="P194" s="12">
        <f t="shared" si="17"/>
        <v>11900</v>
      </c>
    </row>
    <row r="195" spans="1:16" x14ac:dyDescent="0.25">
      <c r="A195" s="3">
        <v>194</v>
      </c>
      <c r="B195" s="3">
        <v>203</v>
      </c>
      <c r="C195" s="3">
        <v>204</v>
      </c>
      <c r="D195" s="2">
        <v>11140</v>
      </c>
      <c r="E195" s="2">
        <f t="shared" ref="E195:E258" si="18">(30*13^3)/12</f>
        <v>5492.5</v>
      </c>
      <c r="F195" s="2">
        <v>2380</v>
      </c>
      <c r="G195" s="2">
        <f t="shared" ref="G195:G258" si="19">F195/(2*(1+0.2))</f>
        <v>991.66666666666674</v>
      </c>
      <c r="H195" s="4">
        <f>VLOOKUP(B195,nodes!A:D,2,0)</f>
        <v>390</v>
      </c>
      <c r="I195" s="4">
        <f>VLOOKUP(B195,nodes!A:D,4,0)</f>
        <v>30</v>
      </c>
      <c r="J195" s="4">
        <f>VLOOKUP(C195,nodes!A:D,2,0)</f>
        <v>420</v>
      </c>
      <c r="K195" s="4">
        <f>VLOOKUP(C195,nodes!A:D,4,0)</f>
        <v>30</v>
      </c>
      <c r="L195" s="4">
        <f t="shared" ref="L195:L258" si="20">((J195-H195)^2+(K195-I195)^2)^0.5</f>
        <v>30</v>
      </c>
      <c r="N195" s="12">
        <f t="shared" ref="N195:N258" si="21">12*2380*60*(25^3)/(300*12)</f>
        <v>7437500</v>
      </c>
      <c r="O195" s="12">
        <f t="shared" ref="O195:O258" si="22">12*2380*25*(60^3)/(300*12)</f>
        <v>42840000</v>
      </c>
      <c r="P195" s="12">
        <f t="shared" ref="P195:P258" si="23">2380*25*60/300</f>
        <v>11900</v>
      </c>
    </row>
    <row r="196" spans="1:16" x14ac:dyDescent="0.25">
      <c r="A196" s="3">
        <v>195</v>
      </c>
      <c r="B196" s="3">
        <v>204</v>
      </c>
      <c r="C196" s="3">
        <v>205</v>
      </c>
      <c r="D196" s="2">
        <v>11140</v>
      </c>
      <c r="E196" s="2">
        <f t="shared" si="18"/>
        <v>5492.5</v>
      </c>
      <c r="F196" s="2">
        <v>2380</v>
      </c>
      <c r="G196" s="2">
        <f t="shared" si="19"/>
        <v>991.66666666666674</v>
      </c>
      <c r="H196" s="4">
        <f>VLOOKUP(B196,nodes!A:D,2,0)</f>
        <v>420</v>
      </c>
      <c r="I196" s="4">
        <f>VLOOKUP(B196,nodes!A:D,4,0)</f>
        <v>30</v>
      </c>
      <c r="J196" s="4">
        <f>VLOOKUP(C196,nodes!A:D,2,0)</f>
        <v>450</v>
      </c>
      <c r="K196" s="4">
        <f>VLOOKUP(C196,nodes!A:D,4,0)</f>
        <v>30</v>
      </c>
      <c r="L196" s="4">
        <f t="shared" si="20"/>
        <v>30</v>
      </c>
      <c r="N196" s="12">
        <f t="shared" si="21"/>
        <v>7437500</v>
      </c>
      <c r="O196" s="12">
        <f t="shared" si="22"/>
        <v>42840000</v>
      </c>
      <c r="P196" s="12">
        <f t="shared" si="23"/>
        <v>11900</v>
      </c>
    </row>
    <row r="197" spans="1:16" x14ac:dyDescent="0.25">
      <c r="A197" s="3">
        <v>196</v>
      </c>
      <c r="B197" s="3">
        <v>205</v>
      </c>
      <c r="C197" s="3">
        <v>206</v>
      </c>
      <c r="D197" s="2">
        <v>11140</v>
      </c>
      <c r="E197" s="2">
        <f t="shared" si="18"/>
        <v>5492.5</v>
      </c>
      <c r="F197" s="2">
        <v>2380</v>
      </c>
      <c r="G197" s="2">
        <f t="shared" si="19"/>
        <v>991.66666666666674</v>
      </c>
      <c r="H197" s="4">
        <f>VLOOKUP(B197,nodes!A:D,2,0)</f>
        <v>450</v>
      </c>
      <c r="I197" s="4">
        <f>VLOOKUP(B197,nodes!A:D,4,0)</f>
        <v>30</v>
      </c>
      <c r="J197" s="4">
        <f>VLOOKUP(C197,nodes!A:D,2,0)</f>
        <v>480</v>
      </c>
      <c r="K197" s="4">
        <f>VLOOKUP(C197,nodes!A:D,4,0)</f>
        <v>30</v>
      </c>
      <c r="L197" s="4">
        <f t="shared" si="20"/>
        <v>30</v>
      </c>
      <c r="N197" s="12">
        <f t="shared" si="21"/>
        <v>7437500</v>
      </c>
      <c r="O197" s="12">
        <f t="shared" si="22"/>
        <v>42840000</v>
      </c>
      <c r="P197" s="12">
        <f t="shared" si="23"/>
        <v>11900</v>
      </c>
    </row>
    <row r="198" spans="1:16" x14ac:dyDescent="0.25">
      <c r="A198" s="3">
        <v>197</v>
      </c>
      <c r="B198" s="3">
        <v>206</v>
      </c>
      <c r="C198" s="3">
        <v>207</v>
      </c>
      <c r="D198" s="2">
        <v>11140</v>
      </c>
      <c r="E198" s="2">
        <f t="shared" si="18"/>
        <v>5492.5</v>
      </c>
      <c r="F198" s="2">
        <v>2380</v>
      </c>
      <c r="G198" s="2">
        <f t="shared" si="19"/>
        <v>991.66666666666674</v>
      </c>
      <c r="H198" s="4">
        <f>VLOOKUP(B198,nodes!A:D,2,0)</f>
        <v>480</v>
      </c>
      <c r="I198" s="4">
        <f>VLOOKUP(B198,nodes!A:D,4,0)</f>
        <v>30</v>
      </c>
      <c r="J198" s="4">
        <f>VLOOKUP(C198,nodes!A:D,2,0)</f>
        <v>509.99999999999994</v>
      </c>
      <c r="K198" s="4">
        <f>VLOOKUP(C198,nodes!A:D,4,0)</f>
        <v>30</v>
      </c>
      <c r="L198" s="4">
        <f t="shared" si="20"/>
        <v>29.999999999999943</v>
      </c>
      <c r="N198" s="12">
        <f t="shared" si="21"/>
        <v>7437500</v>
      </c>
      <c r="O198" s="12">
        <f t="shared" si="22"/>
        <v>42840000</v>
      </c>
      <c r="P198" s="12">
        <f t="shared" si="23"/>
        <v>11900</v>
      </c>
    </row>
    <row r="199" spans="1:16" x14ac:dyDescent="0.25">
      <c r="A199" s="3">
        <v>198</v>
      </c>
      <c r="B199" s="3">
        <v>207</v>
      </c>
      <c r="C199" s="3">
        <v>208</v>
      </c>
      <c r="D199" s="2">
        <v>11140</v>
      </c>
      <c r="E199" s="2">
        <f t="shared" si="18"/>
        <v>5492.5</v>
      </c>
      <c r="F199" s="2">
        <v>2380</v>
      </c>
      <c r="G199" s="2">
        <f t="shared" si="19"/>
        <v>991.66666666666674</v>
      </c>
      <c r="H199" s="4">
        <f>VLOOKUP(B199,nodes!A:D,2,0)</f>
        <v>509.99999999999994</v>
      </c>
      <c r="I199" s="4">
        <f>VLOOKUP(B199,nodes!A:D,4,0)</f>
        <v>30</v>
      </c>
      <c r="J199" s="4">
        <f>VLOOKUP(C199,nodes!A:D,2,0)</f>
        <v>540</v>
      </c>
      <c r="K199" s="4">
        <f>VLOOKUP(C199,nodes!A:D,4,0)</f>
        <v>30</v>
      </c>
      <c r="L199" s="4">
        <f t="shared" si="20"/>
        <v>30.000000000000057</v>
      </c>
      <c r="N199" s="12">
        <f t="shared" si="21"/>
        <v>7437500</v>
      </c>
      <c r="O199" s="12">
        <f t="shared" si="22"/>
        <v>42840000</v>
      </c>
      <c r="P199" s="12">
        <f t="shared" si="23"/>
        <v>11900</v>
      </c>
    </row>
    <row r="200" spans="1:16" x14ac:dyDescent="0.25">
      <c r="A200" s="3">
        <v>199</v>
      </c>
      <c r="B200" s="3">
        <v>208</v>
      </c>
      <c r="C200" s="3">
        <v>209</v>
      </c>
      <c r="D200" s="2">
        <v>11140</v>
      </c>
      <c r="E200" s="2">
        <f t="shared" si="18"/>
        <v>5492.5</v>
      </c>
      <c r="F200" s="2">
        <v>2380</v>
      </c>
      <c r="G200" s="2">
        <f t="shared" si="19"/>
        <v>991.66666666666674</v>
      </c>
      <c r="H200" s="4">
        <f>VLOOKUP(B200,nodes!A:D,2,0)</f>
        <v>540</v>
      </c>
      <c r="I200" s="4">
        <f>VLOOKUP(B200,nodes!A:D,4,0)</f>
        <v>30</v>
      </c>
      <c r="J200" s="4">
        <f>VLOOKUP(C200,nodes!A:D,2,0)</f>
        <v>570</v>
      </c>
      <c r="K200" s="4">
        <f>VLOOKUP(C200,nodes!A:D,4,0)</f>
        <v>30</v>
      </c>
      <c r="L200" s="4">
        <f t="shared" si="20"/>
        <v>30</v>
      </c>
      <c r="N200" s="12">
        <f t="shared" si="21"/>
        <v>7437500</v>
      </c>
      <c r="O200" s="12">
        <f t="shared" si="22"/>
        <v>42840000</v>
      </c>
      <c r="P200" s="12">
        <f t="shared" si="23"/>
        <v>11900</v>
      </c>
    </row>
    <row r="201" spans="1:16" x14ac:dyDescent="0.25">
      <c r="A201" s="3">
        <v>200</v>
      </c>
      <c r="B201" s="3">
        <v>209</v>
      </c>
      <c r="C201" s="3">
        <v>210</v>
      </c>
      <c r="D201" s="2">
        <v>11140</v>
      </c>
      <c r="E201" s="2">
        <f t="shared" si="18"/>
        <v>5492.5</v>
      </c>
      <c r="F201" s="2">
        <v>2380</v>
      </c>
      <c r="G201" s="2">
        <f t="shared" si="19"/>
        <v>991.66666666666674</v>
      </c>
      <c r="H201" s="4">
        <f>VLOOKUP(B201,nodes!A:D,2,0)</f>
        <v>570</v>
      </c>
      <c r="I201" s="4">
        <f>VLOOKUP(B201,nodes!A:D,4,0)</f>
        <v>30</v>
      </c>
      <c r="J201" s="4">
        <f>VLOOKUP(C201,nodes!A:D,2,0)</f>
        <v>600</v>
      </c>
      <c r="K201" s="4">
        <f>VLOOKUP(C201,nodes!A:D,4,0)</f>
        <v>30</v>
      </c>
      <c r="L201" s="4">
        <f t="shared" si="20"/>
        <v>30</v>
      </c>
      <c r="N201" s="12">
        <f t="shared" si="21"/>
        <v>7437500</v>
      </c>
      <c r="O201" s="12">
        <f t="shared" si="22"/>
        <v>42840000</v>
      </c>
      <c r="P201" s="12">
        <f t="shared" si="23"/>
        <v>11900</v>
      </c>
    </row>
    <row r="202" spans="1:16" x14ac:dyDescent="0.25">
      <c r="A202" s="3">
        <v>201</v>
      </c>
      <c r="B202" s="3">
        <v>211</v>
      </c>
      <c r="C202" s="3">
        <v>212</v>
      </c>
      <c r="D202" s="2">
        <v>11140</v>
      </c>
      <c r="E202" s="2">
        <f t="shared" si="18"/>
        <v>5492.5</v>
      </c>
      <c r="F202" s="2">
        <v>2380</v>
      </c>
      <c r="G202" s="2">
        <f t="shared" si="19"/>
        <v>991.66666666666674</v>
      </c>
      <c r="H202" s="4">
        <f>VLOOKUP(B202,nodes!A:D,2,0)</f>
        <v>0</v>
      </c>
      <c r="I202" s="4">
        <f>VLOOKUP(B202,nodes!A:D,4,0)</f>
        <v>0</v>
      </c>
      <c r="J202" s="4">
        <f>VLOOKUP(C202,nodes!A:D,2,0)</f>
        <v>30</v>
      </c>
      <c r="K202" s="4">
        <f>VLOOKUP(C202,nodes!A:D,4,0)</f>
        <v>0</v>
      </c>
      <c r="L202" s="4">
        <f t="shared" si="20"/>
        <v>30</v>
      </c>
      <c r="N202" s="12">
        <f t="shared" si="21"/>
        <v>7437500</v>
      </c>
      <c r="O202" s="12">
        <f t="shared" si="22"/>
        <v>42840000</v>
      </c>
      <c r="P202" s="12">
        <f t="shared" si="23"/>
        <v>11900</v>
      </c>
    </row>
    <row r="203" spans="1:16" x14ac:dyDescent="0.25">
      <c r="A203" s="3">
        <v>202</v>
      </c>
      <c r="B203" s="3">
        <v>212</v>
      </c>
      <c r="C203" s="3">
        <v>213</v>
      </c>
      <c r="D203" s="2">
        <v>11140</v>
      </c>
      <c r="E203" s="2">
        <f t="shared" si="18"/>
        <v>5492.5</v>
      </c>
      <c r="F203" s="2">
        <v>2380</v>
      </c>
      <c r="G203" s="2">
        <f t="shared" si="19"/>
        <v>991.66666666666674</v>
      </c>
      <c r="H203" s="4">
        <f>VLOOKUP(B203,nodes!A:D,2,0)</f>
        <v>30</v>
      </c>
      <c r="I203" s="4">
        <f>VLOOKUP(B203,nodes!A:D,4,0)</f>
        <v>0</v>
      </c>
      <c r="J203" s="4">
        <f>VLOOKUP(C203,nodes!A:D,2,0)</f>
        <v>60</v>
      </c>
      <c r="K203" s="4">
        <f>VLOOKUP(C203,nodes!A:D,4,0)</f>
        <v>0</v>
      </c>
      <c r="L203" s="4">
        <f t="shared" si="20"/>
        <v>30</v>
      </c>
      <c r="N203" s="12">
        <f t="shared" si="21"/>
        <v>7437500</v>
      </c>
      <c r="O203" s="12">
        <f t="shared" si="22"/>
        <v>42840000</v>
      </c>
      <c r="P203" s="12">
        <f t="shared" si="23"/>
        <v>11900</v>
      </c>
    </row>
    <row r="204" spans="1:16" x14ac:dyDescent="0.25">
      <c r="A204" s="3">
        <v>203</v>
      </c>
      <c r="B204" s="3">
        <v>213</v>
      </c>
      <c r="C204" s="3">
        <v>214</v>
      </c>
      <c r="D204" s="2">
        <v>11140</v>
      </c>
      <c r="E204" s="2">
        <f t="shared" si="18"/>
        <v>5492.5</v>
      </c>
      <c r="F204" s="2">
        <v>2380</v>
      </c>
      <c r="G204" s="2">
        <f t="shared" si="19"/>
        <v>991.66666666666674</v>
      </c>
      <c r="H204" s="4">
        <f>VLOOKUP(B204,nodes!A:D,2,0)</f>
        <v>60</v>
      </c>
      <c r="I204" s="4">
        <f>VLOOKUP(B204,nodes!A:D,4,0)</f>
        <v>0</v>
      </c>
      <c r="J204" s="4">
        <f>VLOOKUP(C204,nodes!A:D,2,0)</f>
        <v>90</v>
      </c>
      <c r="K204" s="4">
        <f>VLOOKUP(C204,nodes!A:D,4,0)</f>
        <v>0</v>
      </c>
      <c r="L204" s="4">
        <f t="shared" si="20"/>
        <v>30</v>
      </c>
      <c r="N204" s="12">
        <f t="shared" si="21"/>
        <v>7437500</v>
      </c>
      <c r="O204" s="12">
        <f t="shared" si="22"/>
        <v>42840000</v>
      </c>
      <c r="P204" s="12">
        <f t="shared" si="23"/>
        <v>11900</v>
      </c>
    </row>
    <row r="205" spans="1:16" x14ac:dyDescent="0.25">
      <c r="A205" s="3">
        <v>204</v>
      </c>
      <c r="B205" s="3">
        <v>214</v>
      </c>
      <c r="C205" s="3">
        <v>215</v>
      </c>
      <c r="D205" s="2">
        <v>11140</v>
      </c>
      <c r="E205" s="2">
        <f t="shared" si="18"/>
        <v>5492.5</v>
      </c>
      <c r="F205" s="2">
        <v>2380</v>
      </c>
      <c r="G205" s="2">
        <f t="shared" si="19"/>
        <v>991.66666666666674</v>
      </c>
      <c r="H205" s="4">
        <f>VLOOKUP(B205,nodes!A:D,2,0)</f>
        <v>90</v>
      </c>
      <c r="I205" s="4">
        <f>VLOOKUP(B205,nodes!A:D,4,0)</f>
        <v>0</v>
      </c>
      <c r="J205" s="4">
        <f>VLOOKUP(C205,nodes!A:D,2,0)</f>
        <v>120</v>
      </c>
      <c r="K205" s="4">
        <f>VLOOKUP(C205,nodes!A:D,4,0)</f>
        <v>0</v>
      </c>
      <c r="L205" s="4">
        <f t="shared" si="20"/>
        <v>30</v>
      </c>
      <c r="N205" s="12">
        <f t="shared" si="21"/>
        <v>7437500</v>
      </c>
      <c r="O205" s="12">
        <f t="shared" si="22"/>
        <v>42840000</v>
      </c>
      <c r="P205" s="12">
        <f t="shared" si="23"/>
        <v>11900</v>
      </c>
    </row>
    <row r="206" spans="1:16" x14ac:dyDescent="0.25">
      <c r="A206" s="3">
        <v>205</v>
      </c>
      <c r="B206" s="3">
        <v>215</v>
      </c>
      <c r="C206" s="3">
        <v>216</v>
      </c>
      <c r="D206" s="2">
        <v>11140</v>
      </c>
      <c r="E206" s="2">
        <f t="shared" si="18"/>
        <v>5492.5</v>
      </c>
      <c r="F206" s="2">
        <v>2380</v>
      </c>
      <c r="G206" s="2">
        <f t="shared" si="19"/>
        <v>991.66666666666674</v>
      </c>
      <c r="H206" s="4">
        <f>VLOOKUP(B206,nodes!A:D,2,0)</f>
        <v>120</v>
      </c>
      <c r="I206" s="4">
        <f>VLOOKUP(B206,nodes!A:D,4,0)</f>
        <v>0</v>
      </c>
      <c r="J206" s="4">
        <f>VLOOKUP(C206,nodes!A:D,2,0)</f>
        <v>150</v>
      </c>
      <c r="K206" s="4">
        <f>VLOOKUP(C206,nodes!A:D,4,0)</f>
        <v>0</v>
      </c>
      <c r="L206" s="4">
        <f t="shared" si="20"/>
        <v>30</v>
      </c>
      <c r="N206" s="12">
        <f t="shared" si="21"/>
        <v>7437500</v>
      </c>
      <c r="O206" s="12">
        <f t="shared" si="22"/>
        <v>42840000</v>
      </c>
      <c r="P206" s="12">
        <f t="shared" si="23"/>
        <v>11900</v>
      </c>
    </row>
    <row r="207" spans="1:16" x14ac:dyDescent="0.25">
      <c r="A207" s="3">
        <v>206</v>
      </c>
      <c r="B207" s="3">
        <v>216</v>
      </c>
      <c r="C207" s="3">
        <v>217</v>
      </c>
      <c r="D207" s="2">
        <v>11140</v>
      </c>
      <c r="E207" s="2">
        <f t="shared" si="18"/>
        <v>5492.5</v>
      </c>
      <c r="F207" s="2">
        <v>2380</v>
      </c>
      <c r="G207" s="2">
        <f t="shared" si="19"/>
        <v>991.66666666666674</v>
      </c>
      <c r="H207" s="4">
        <f>VLOOKUP(B207,nodes!A:D,2,0)</f>
        <v>150</v>
      </c>
      <c r="I207" s="4">
        <f>VLOOKUP(B207,nodes!A:D,4,0)</f>
        <v>0</v>
      </c>
      <c r="J207" s="4">
        <f>VLOOKUP(C207,nodes!A:D,2,0)</f>
        <v>180</v>
      </c>
      <c r="K207" s="4">
        <f>VLOOKUP(C207,nodes!A:D,4,0)</f>
        <v>0</v>
      </c>
      <c r="L207" s="4">
        <f t="shared" si="20"/>
        <v>30</v>
      </c>
      <c r="N207" s="12">
        <f t="shared" si="21"/>
        <v>7437500</v>
      </c>
      <c r="O207" s="12">
        <f t="shared" si="22"/>
        <v>42840000</v>
      </c>
      <c r="P207" s="12">
        <f t="shared" si="23"/>
        <v>11900</v>
      </c>
    </row>
    <row r="208" spans="1:16" x14ac:dyDescent="0.25">
      <c r="A208" s="3">
        <v>207</v>
      </c>
      <c r="B208" s="3">
        <v>217</v>
      </c>
      <c r="C208" s="3">
        <v>218</v>
      </c>
      <c r="D208" s="2">
        <v>11140</v>
      </c>
      <c r="E208" s="2">
        <f t="shared" si="18"/>
        <v>5492.5</v>
      </c>
      <c r="F208" s="2">
        <v>2380</v>
      </c>
      <c r="G208" s="2">
        <f t="shared" si="19"/>
        <v>991.66666666666674</v>
      </c>
      <c r="H208" s="4">
        <f>VLOOKUP(B208,nodes!A:D,2,0)</f>
        <v>180</v>
      </c>
      <c r="I208" s="4">
        <f>VLOOKUP(B208,nodes!A:D,4,0)</f>
        <v>0</v>
      </c>
      <c r="J208" s="4">
        <f>VLOOKUP(C208,nodes!A:D,2,0)</f>
        <v>210</v>
      </c>
      <c r="K208" s="4">
        <f>VLOOKUP(C208,nodes!A:D,4,0)</f>
        <v>0</v>
      </c>
      <c r="L208" s="4">
        <f t="shared" si="20"/>
        <v>30</v>
      </c>
      <c r="N208" s="12">
        <f t="shared" si="21"/>
        <v>7437500</v>
      </c>
      <c r="O208" s="12">
        <f t="shared" si="22"/>
        <v>42840000</v>
      </c>
      <c r="P208" s="12">
        <f t="shared" si="23"/>
        <v>11900</v>
      </c>
    </row>
    <row r="209" spans="1:16" x14ac:dyDescent="0.25">
      <c r="A209" s="3">
        <v>208</v>
      </c>
      <c r="B209" s="3">
        <v>218</v>
      </c>
      <c r="C209" s="3">
        <v>219</v>
      </c>
      <c r="D209" s="2">
        <v>11140</v>
      </c>
      <c r="E209" s="2">
        <f t="shared" si="18"/>
        <v>5492.5</v>
      </c>
      <c r="F209" s="2">
        <v>2380</v>
      </c>
      <c r="G209" s="2">
        <f t="shared" si="19"/>
        <v>991.66666666666674</v>
      </c>
      <c r="H209" s="4">
        <f>VLOOKUP(B209,nodes!A:D,2,0)</f>
        <v>210</v>
      </c>
      <c r="I209" s="4">
        <f>VLOOKUP(B209,nodes!A:D,4,0)</f>
        <v>0</v>
      </c>
      <c r="J209" s="4">
        <f>VLOOKUP(C209,nodes!A:D,2,0)</f>
        <v>240</v>
      </c>
      <c r="K209" s="4">
        <f>VLOOKUP(C209,nodes!A:D,4,0)</f>
        <v>0</v>
      </c>
      <c r="L209" s="4">
        <f t="shared" si="20"/>
        <v>30</v>
      </c>
      <c r="N209" s="12">
        <f t="shared" si="21"/>
        <v>7437500</v>
      </c>
      <c r="O209" s="12">
        <f t="shared" si="22"/>
        <v>42840000</v>
      </c>
      <c r="P209" s="12">
        <f t="shared" si="23"/>
        <v>11900</v>
      </c>
    </row>
    <row r="210" spans="1:16" x14ac:dyDescent="0.25">
      <c r="A210" s="3">
        <v>209</v>
      </c>
      <c r="B210" s="3">
        <v>219</v>
      </c>
      <c r="C210" s="3">
        <v>220</v>
      </c>
      <c r="D210" s="2">
        <v>11140</v>
      </c>
      <c r="E210" s="2">
        <f t="shared" si="18"/>
        <v>5492.5</v>
      </c>
      <c r="F210" s="2">
        <v>2380</v>
      </c>
      <c r="G210" s="2">
        <f t="shared" si="19"/>
        <v>991.66666666666674</v>
      </c>
      <c r="H210" s="4">
        <f>VLOOKUP(B210,nodes!A:D,2,0)</f>
        <v>240</v>
      </c>
      <c r="I210" s="4">
        <f>VLOOKUP(B210,nodes!A:D,4,0)</f>
        <v>0</v>
      </c>
      <c r="J210" s="4">
        <f>VLOOKUP(C210,nodes!A:D,2,0)</f>
        <v>270</v>
      </c>
      <c r="K210" s="4">
        <f>VLOOKUP(C210,nodes!A:D,4,0)</f>
        <v>0</v>
      </c>
      <c r="L210" s="4">
        <f t="shared" si="20"/>
        <v>30</v>
      </c>
      <c r="N210" s="12">
        <f t="shared" si="21"/>
        <v>7437500</v>
      </c>
      <c r="O210" s="12">
        <f t="shared" si="22"/>
        <v>42840000</v>
      </c>
      <c r="P210" s="12">
        <f t="shared" si="23"/>
        <v>11900</v>
      </c>
    </row>
    <row r="211" spans="1:16" x14ac:dyDescent="0.25">
      <c r="A211" s="3">
        <v>210</v>
      </c>
      <c r="B211" s="3">
        <v>220</v>
      </c>
      <c r="C211" s="3">
        <v>221</v>
      </c>
      <c r="D211" s="2">
        <v>11140</v>
      </c>
      <c r="E211" s="2">
        <f t="shared" si="18"/>
        <v>5492.5</v>
      </c>
      <c r="F211" s="2">
        <v>2380</v>
      </c>
      <c r="G211" s="2">
        <f t="shared" si="19"/>
        <v>991.66666666666674</v>
      </c>
      <c r="H211" s="4">
        <f>VLOOKUP(B211,nodes!A:D,2,0)</f>
        <v>270</v>
      </c>
      <c r="I211" s="4">
        <f>VLOOKUP(B211,nodes!A:D,4,0)</f>
        <v>0</v>
      </c>
      <c r="J211" s="4">
        <f>VLOOKUP(C211,nodes!A:D,2,0)</f>
        <v>300</v>
      </c>
      <c r="K211" s="4">
        <f>VLOOKUP(C211,nodes!A:D,4,0)</f>
        <v>0</v>
      </c>
      <c r="L211" s="4">
        <f t="shared" si="20"/>
        <v>30</v>
      </c>
      <c r="N211" s="12">
        <f t="shared" si="21"/>
        <v>7437500</v>
      </c>
      <c r="O211" s="12">
        <f t="shared" si="22"/>
        <v>42840000</v>
      </c>
      <c r="P211" s="12">
        <f t="shared" si="23"/>
        <v>11900</v>
      </c>
    </row>
    <row r="212" spans="1:16" x14ac:dyDescent="0.25">
      <c r="A212" s="3">
        <v>211</v>
      </c>
      <c r="B212" s="3">
        <v>221</v>
      </c>
      <c r="C212" s="3">
        <v>222</v>
      </c>
      <c r="D212" s="2">
        <v>11140</v>
      </c>
      <c r="E212" s="2">
        <f t="shared" si="18"/>
        <v>5492.5</v>
      </c>
      <c r="F212" s="2">
        <v>2380</v>
      </c>
      <c r="G212" s="2">
        <f t="shared" si="19"/>
        <v>991.66666666666674</v>
      </c>
      <c r="H212" s="4">
        <f>VLOOKUP(B212,nodes!A:D,2,0)</f>
        <v>300</v>
      </c>
      <c r="I212" s="4">
        <f>VLOOKUP(B212,nodes!A:D,4,0)</f>
        <v>0</v>
      </c>
      <c r="J212" s="4">
        <f>VLOOKUP(C212,nodes!A:D,2,0)</f>
        <v>330</v>
      </c>
      <c r="K212" s="4">
        <f>VLOOKUP(C212,nodes!A:D,4,0)</f>
        <v>0</v>
      </c>
      <c r="L212" s="4">
        <f t="shared" si="20"/>
        <v>30</v>
      </c>
      <c r="N212" s="12">
        <f t="shared" si="21"/>
        <v>7437500</v>
      </c>
      <c r="O212" s="12">
        <f t="shared" si="22"/>
        <v>42840000</v>
      </c>
      <c r="P212" s="12">
        <f t="shared" si="23"/>
        <v>11900</v>
      </c>
    </row>
    <row r="213" spans="1:16" x14ac:dyDescent="0.25">
      <c r="A213" s="3">
        <v>212</v>
      </c>
      <c r="B213" s="3">
        <v>222</v>
      </c>
      <c r="C213" s="3">
        <v>223</v>
      </c>
      <c r="D213" s="2">
        <v>11140</v>
      </c>
      <c r="E213" s="2">
        <f t="shared" si="18"/>
        <v>5492.5</v>
      </c>
      <c r="F213" s="2">
        <v>2380</v>
      </c>
      <c r="G213" s="2">
        <f t="shared" si="19"/>
        <v>991.66666666666674</v>
      </c>
      <c r="H213" s="4">
        <f>VLOOKUP(B213,nodes!A:D,2,0)</f>
        <v>330</v>
      </c>
      <c r="I213" s="4">
        <f>VLOOKUP(B213,nodes!A:D,4,0)</f>
        <v>0</v>
      </c>
      <c r="J213" s="4">
        <f>VLOOKUP(C213,nodes!A:D,2,0)</f>
        <v>360</v>
      </c>
      <c r="K213" s="4">
        <f>VLOOKUP(C213,nodes!A:D,4,0)</f>
        <v>0</v>
      </c>
      <c r="L213" s="4">
        <f t="shared" si="20"/>
        <v>30</v>
      </c>
      <c r="N213" s="12">
        <f t="shared" si="21"/>
        <v>7437500</v>
      </c>
      <c r="O213" s="12">
        <f t="shared" si="22"/>
        <v>42840000</v>
      </c>
      <c r="P213" s="12">
        <f t="shared" si="23"/>
        <v>11900</v>
      </c>
    </row>
    <row r="214" spans="1:16" x14ac:dyDescent="0.25">
      <c r="A214" s="3">
        <v>213</v>
      </c>
      <c r="B214" s="3">
        <v>223</v>
      </c>
      <c r="C214" s="3">
        <v>224</v>
      </c>
      <c r="D214" s="2">
        <v>11140</v>
      </c>
      <c r="E214" s="2">
        <f t="shared" si="18"/>
        <v>5492.5</v>
      </c>
      <c r="F214" s="2">
        <v>2380</v>
      </c>
      <c r="G214" s="2">
        <f t="shared" si="19"/>
        <v>991.66666666666674</v>
      </c>
      <c r="H214" s="4">
        <f>VLOOKUP(B214,nodes!A:D,2,0)</f>
        <v>360</v>
      </c>
      <c r="I214" s="4">
        <f>VLOOKUP(B214,nodes!A:D,4,0)</f>
        <v>0</v>
      </c>
      <c r="J214" s="4">
        <f>VLOOKUP(C214,nodes!A:D,2,0)</f>
        <v>390</v>
      </c>
      <c r="K214" s="4">
        <f>VLOOKUP(C214,nodes!A:D,4,0)</f>
        <v>0</v>
      </c>
      <c r="L214" s="4">
        <f t="shared" si="20"/>
        <v>30</v>
      </c>
      <c r="N214" s="12">
        <f t="shared" si="21"/>
        <v>7437500</v>
      </c>
      <c r="O214" s="12">
        <f t="shared" si="22"/>
        <v>42840000</v>
      </c>
      <c r="P214" s="12">
        <f t="shared" si="23"/>
        <v>11900</v>
      </c>
    </row>
    <row r="215" spans="1:16" x14ac:dyDescent="0.25">
      <c r="A215" s="3">
        <v>214</v>
      </c>
      <c r="B215" s="3">
        <v>224</v>
      </c>
      <c r="C215" s="3">
        <v>225</v>
      </c>
      <c r="D215" s="2">
        <v>11140</v>
      </c>
      <c r="E215" s="2">
        <f t="shared" si="18"/>
        <v>5492.5</v>
      </c>
      <c r="F215" s="2">
        <v>2380</v>
      </c>
      <c r="G215" s="2">
        <f t="shared" si="19"/>
        <v>991.66666666666674</v>
      </c>
      <c r="H215" s="4">
        <f>VLOOKUP(B215,nodes!A:D,2,0)</f>
        <v>390</v>
      </c>
      <c r="I215" s="4">
        <f>VLOOKUP(B215,nodes!A:D,4,0)</f>
        <v>0</v>
      </c>
      <c r="J215" s="4">
        <f>VLOOKUP(C215,nodes!A:D,2,0)</f>
        <v>420</v>
      </c>
      <c r="K215" s="4">
        <f>VLOOKUP(C215,nodes!A:D,4,0)</f>
        <v>0</v>
      </c>
      <c r="L215" s="4">
        <f t="shared" si="20"/>
        <v>30</v>
      </c>
      <c r="N215" s="12">
        <f t="shared" si="21"/>
        <v>7437500</v>
      </c>
      <c r="O215" s="12">
        <f t="shared" si="22"/>
        <v>42840000</v>
      </c>
      <c r="P215" s="12">
        <f t="shared" si="23"/>
        <v>11900</v>
      </c>
    </row>
    <row r="216" spans="1:16" x14ac:dyDescent="0.25">
      <c r="A216" s="3">
        <v>215</v>
      </c>
      <c r="B216" s="3">
        <v>225</v>
      </c>
      <c r="C216" s="3">
        <v>226</v>
      </c>
      <c r="D216" s="2">
        <v>11140</v>
      </c>
      <c r="E216" s="2">
        <f t="shared" si="18"/>
        <v>5492.5</v>
      </c>
      <c r="F216" s="2">
        <v>2380</v>
      </c>
      <c r="G216" s="2">
        <f t="shared" si="19"/>
        <v>991.66666666666674</v>
      </c>
      <c r="H216" s="4">
        <f>VLOOKUP(B216,nodes!A:D,2,0)</f>
        <v>420</v>
      </c>
      <c r="I216" s="4">
        <f>VLOOKUP(B216,nodes!A:D,4,0)</f>
        <v>0</v>
      </c>
      <c r="J216" s="4">
        <f>VLOOKUP(C216,nodes!A:D,2,0)</f>
        <v>450</v>
      </c>
      <c r="K216" s="4">
        <f>VLOOKUP(C216,nodes!A:D,4,0)</f>
        <v>0</v>
      </c>
      <c r="L216" s="4">
        <f t="shared" si="20"/>
        <v>30</v>
      </c>
      <c r="N216" s="12">
        <f t="shared" si="21"/>
        <v>7437500</v>
      </c>
      <c r="O216" s="12">
        <f t="shared" si="22"/>
        <v>42840000</v>
      </c>
      <c r="P216" s="12">
        <f t="shared" si="23"/>
        <v>11900</v>
      </c>
    </row>
    <row r="217" spans="1:16" x14ac:dyDescent="0.25">
      <c r="A217" s="3">
        <v>216</v>
      </c>
      <c r="B217" s="3">
        <v>226</v>
      </c>
      <c r="C217" s="3">
        <v>227</v>
      </c>
      <c r="D217" s="2">
        <v>11140</v>
      </c>
      <c r="E217" s="2">
        <f t="shared" si="18"/>
        <v>5492.5</v>
      </c>
      <c r="F217" s="2">
        <v>2380</v>
      </c>
      <c r="G217" s="2">
        <f t="shared" si="19"/>
        <v>991.66666666666674</v>
      </c>
      <c r="H217" s="4">
        <f>VLOOKUP(B217,nodes!A:D,2,0)</f>
        <v>450</v>
      </c>
      <c r="I217" s="4">
        <f>VLOOKUP(B217,nodes!A:D,4,0)</f>
        <v>0</v>
      </c>
      <c r="J217" s="4">
        <f>VLOOKUP(C217,nodes!A:D,2,0)</f>
        <v>480</v>
      </c>
      <c r="K217" s="4">
        <f>VLOOKUP(C217,nodes!A:D,4,0)</f>
        <v>0</v>
      </c>
      <c r="L217" s="4">
        <f t="shared" si="20"/>
        <v>30</v>
      </c>
      <c r="N217" s="12">
        <f t="shared" si="21"/>
        <v>7437500</v>
      </c>
      <c r="O217" s="12">
        <f t="shared" si="22"/>
        <v>42840000</v>
      </c>
      <c r="P217" s="12">
        <f t="shared" si="23"/>
        <v>11900</v>
      </c>
    </row>
    <row r="218" spans="1:16" x14ac:dyDescent="0.25">
      <c r="A218" s="3">
        <v>217</v>
      </c>
      <c r="B218" s="3">
        <v>227</v>
      </c>
      <c r="C218" s="3">
        <v>228</v>
      </c>
      <c r="D218" s="2">
        <v>11140</v>
      </c>
      <c r="E218" s="2">
        <f t="shared" si="18"/>
        <v>5492.5</v>
      </c>
      <c r="F218" s="2">
        <v>2380</v>
      </c>
      <c r="G218" s="2">
        <f t="shared" si="19"/>
        <v>991.66666666666674</v>
      </c>
      <c r="H218" s="4">
        <f>VLOOKUP(B218,nodes!A:D,2,0)</f>
        <v>480</v>
      </c>
      <c r="I218" s="4">
        <f>VLOOKUP(B218,nodes!A:D,4,0)</f>
        <v>0</v>
      </c>
      <c r="J218" s="4">
        <f>VLOOKUP(C218,nodes!A:D,2,0)</f>
        <v>509.99999999999994</v>
      </c>
      <c r="K218" s="4">
        <f>VLOOKUP(C218,nodes!A:D,4,0)</f>
        <v>0</v>
      </c>
      <c r="L218" s="4">
        <f t="shared" si="20"/>
        <v>29.999999999999943</v>
      </c>
      <c r="N218" s="12">
        <f t="shared" si="21"/>
        <v>7437500</v>
      </c>
      <c r="O218" s="12">
        <f t="shared" si="22"/>
        <v>42840000</v>
      </c>
      <c r="P218" s="12">
        <f t="shared" si="23"/>
        <v>11900</v>
      </c>
    </row>
    <row r="219" spans="1:16" x14ac:dyDescent="0.25">
      <c r="A219" s="3">
        <v>218</v>
      </c>
      <c r="B219" s="3">
        <v>228</v>
      </c>
      <c r="C219" s="3">
        <v>229</v>
      </c>
      <c r="D219" s="2">
        <v>11140</v>
      </c>
      <c r="E219" s="2">
        <f t="shared" si="18"/>
        <v>5492.5</v>
      </c>
      <c r="F219" s="2">
        <v>2380</v>
      </c>
      <c r="G219" s="2">
        <f t="shared" si="19"/>
        <v>991.66666666666674</v>
      </c>
      <c r="H219" s="4">
        <f>VLOOKUP(B219,nodes!A:D,2,0)</f>
        <v>509.99999999999994</v>
      </c>
      <c r="I219" s="4">
        <f>VLOOKUP(B219,nodes!A:D,4,0)</f>
        <v>0</v>
      </c>
      <c r="J219" s="4">
        <f>VLOOKUP(C219,nodes!A:D,2,0)</f>
        <v>540</v>
      </c>
      <c r="K219" s="4">
        <f>VLOOKUP(C219,nodes!A:D,4,0)</f>
        <v>0</v>
      </c>
      <c r="L219" s="4">
        <f t="shared" si="20"/>
        <v>30.000000000000057</v>
      </c>
      <c r="N219" s="12">
        <f t="shared" si="21"/>
        <v>7437500</v>
      </c>
      <c r="O219" s="12">
        <f t="shared" si="22"/>
        <v>42840000</v>
      </c>
      <c r="P219" s="12">
        <f t="shared" si="23"/>
        <v>11900</v>
      </c>
    </row>
    <row r="220" spans="1:16" x14ac:dyDescent="0.25">
      <c r="A220" s="3">
        <v>219</v>
      </c>
      <c r="B220" s="3">
        <v>229</v>
      </c>
      <c r="C220" s="3">
        <v>230</v>
      </c>
      <c r="D220" s="2">
        <v>11140</v>
      </c>
      <c r="E220" s="2">
        <f t="shared" si="18"/>
        <v>5492.5</v>
      </c>
      <c r="F220" s="2">
        <v>2380</v>
      </c>
      <c r="G220" s="2">
        <f t="shared" si="19"/>
        <v>991.66666666666674</v>
      </c>
      <c r="H220" s="4">
        <f>VLOOKUP(B220,nodes!A:D,2,0)</f>
        <v>540</v>
      </c>
      <c r="I220" s="4">
        <f>VLOOKUP(B220,nodes!A:D,4,0)</f>
        <v>0</v>
      </c>
      <c r="J220" s="4">
        <f>VLOOKUP(C220,nodes!A:D,2,0)</f>
        <v>570</v>
      </c>
      <c r="K220" s="4">
        <f>VLOOKUP(C220,nodes!A:D,4,0)</f>
        <v>0</v>
      </c>
      <c r="L220" s="4">
        <f t="shared" si="20"/>
        <v>30</v>
      </c>
      <c r="N220" s="12">
        <f t="shared" si="21"/>
        <v>7437500</v>
      </c>
      <c r="O220" s="12">
        <f t="shared" si="22"/>
        <v>42840000</v>
      </c>
      <c r="P220" s="12">
        <f t="shared" si="23"/>
        <v>11900</v>
      </c>
    </row>
    <row r="221" spans="1:16" x14ac:dyDescent="0.25">
      <c r="A221" s="3">
        <v>220</v>
      </c>
      <c r="B221" s="3">
        <v>230</v>
      </c>
      <c r="C221" s="3">
        <v>231</v>
      </c>
      <c r="D221" s="2">
        <v>11140</v>
      </c>
      <c r="E221" s="2">
        <f t="shared" si="18"/>
        <v>5492.5</v>
      </c>
      <c r="F221" s="2">
        <v>2380</v>
      </c>
      <c r="G221" s="2">
        <f t="shared" si="19"/>
        <v>991.66666666666674</v>
      </c>
      <c r="H221" s="4">
        <f>VLOOKUP(B221,nodes!A:D,2,0)</f>
        <v>570</v>
      </c>
      <c r="I221" s="4">
        <f>VLOOKUP(B221,nodes!A:D,4,0)</f>
        <v>0</v>
      </c>
      <c r="J221" s="4">
        <f>VLOOKUP(C221,nodes!A:D,2,0)</f>
        <v>600</v>
      </c>
      <c r="K221" s="4">
        <f>VLOOKUP(C221,nodes!A:D,4,0)</f>
        <v>0</v>
      </c>
      <c r="L221" s="4">
        <f t="shared" si="20"/>
        <v>30</v>
      </c>
      <c r="N221" s="12">
        <f t="shared" si="21"/>
        <v>7437500</v>
      </c>
      <c r="O221" s="12">
        <f t="shared" si="22"/>
        <v>42840000</v>
      </c>
      <c r="P221" s="12">
        <f t="shared" si="23"/>
        <v>11900</v>
      </c>
    </row>
    <row r="222" spans="1:16" x14ac:dyDescent="0.25">
      <c r="A222" s="3">
        <v>221</v>
      </c>
      <c r="B222" s="3">
        <v>1</v>
      </c>
      <c r="C222" s="3">
        <v>22</v>
      </c>
      <c r="D222" s="2">
        <v>11140</v>
      </c>
      <c r="E222" s="2">
        <f t="shared" si="18"/>
        <v>5492.5</v>
      </c>
      <c r="F222" s="2">
        <v>2380</v>
      </c>
      <c r="G222" s="2">
        <f t="shared" si="19"/>
        <v>991.66666666666674</v>
      </c>
      <c r="H222" s="4">
        <f>VLOOKUP(B222,nodes!A:D,2,0)</f>
        <v>0</v>
      </c>
      <c r="I222" s="4">
        <f>VLOOKUP(B222,nodes!A:D,4,0)</f>
        <v>300</v>
      </c>
      <c r="J222" s="4">
        <f>VLOOKUP(C222,nodes!A:D,2,0)</f>
        <v>0</v>
      </c>
      <c r="K222" s="4">
        <f>VLOOKUP(C222,nodes!A:D,4,0)</f>
        <v>270</v>
      </c>
      <c r="L222" s="4">
        <f t="shared" si="20"/>
        <v>30</v>
      </c>
      <c r="N222" s="12">
        <f t="shared" si="21"/>
        <v>7437500</v>
      </c>
      <c r="O222" s="12">
        <f t="shared" si="22"/>
        <v>42840000</v>
      </c>
      <c r="P222" s="12">
        <f t="shared" si="23"/>
        <v>11900</v>
      </c>
    </row>
    <row r="223" spans="1:16" x14ac:dyDescent="0.25">
      <c r="A223" s="3">
        <v>222</v>
      </c>
      <c r="B223" s="3">
        <v>22</v>
      </c>
      <c r="C223" s="3">
        <v>43</v>
      </c>
      <c r="D223" s="2">
        <v>11140</v>
      </c>
      <c r="E223" s="2">
        <f t="shared" si="18"/>
        <v>5492.5</v>
      </c>
      <c r="F223" s="2">
        <v>2380</v>
      </c>
      <c r="G223" s="2">
        <f t="shared" si="19"/>
        <v>991.66666666666674</v>
      </c>
      <c r="H223" s="4">
        <f>VLOOKUP(B223,nodes!A:D,2,0)</f>
        <v>0</v>
      </c>
      <c r="I223" s="4">
        <f>VLOOKUP(B223,nodes!A:D,4,0)</f>
        <v>270</v>
      </c>
      <c r="J223" s="4">
        <f>VLOOKUP(C223,nodes!A:D,2,0)</f>
        <v>0</v>
      </c>
      <c r="K223" s="4">
        <f>VLOOKUP(C223,nodes!A:D,4,0)</f>
        <v>240</v>
      </c>
      <c r="L223" s="4">
        <f t="shared" si="20"/>
        <v>30</v>
      </c>
      <c r="N223" s="12">
        <f t="shared" si="21"/>
        <v>7437500</v>
      </c>
      <c r="O223" s="12">
        <f t="shared" si="22"/>
        <v>42840000</v>
      </c>
      <c r="P223" s="12">
        <f t="shared" si="23"/>
        <v>11900</v>
      </c>
    </row>
    <row r="224" spans="1:16" x14ac:dyDescent="0.25">
      <c r="A224" s="3">
        <v>223</v>
      </c>
      <c r="B224" s="3">
        <v>43</v>
      </c>
      <c r="C224" s="3">
        <v>64</v>
      </c>
      <c r="D224" s="2">
        <v>11140</v>
      </c>
      <c r="E224" s="2">
        <f t="shared" si="18"/>
        <v>5492.5</v>
      </c>
      <c r="F224" s="2">
        <v>2380</v>
      </c>
      <c r="G224" s="2">
        <f t="shared" si="19"/>
        <v>991.66666666666674</v>
      </c>
      <c r="H224" s="4">
        <f>VLOOKUP(B224,nodes!A:D,2,0)</f>
        <v>0</v>
      </c>
      <c r="I224" s="4">
        <f>VLOOKUP(B224,nodes!A:D,4,0)</f>
        <v>240</v>
      </c>
      <c r="J224" s="4">
        <f>VLOOKUP(C224,nodes!A:D,2,0)</f>
        <v>0</v>
      </c>
      <c r="K224" s="4">
        <f>VLOOKUP(C224,nodes!A:D,4,0)</f>
        <v>210</v>
      </c>
      <c r="L224" s="4">
        <f t="shared" si="20"/>
        <v>30</v>
      </c>
      <c r="N224" s="12">
        <f t="shared" si="21"/>
        <v>7437500</v>
      </c>
      <c r="O224" s="12">
        <f t="shared" si="22"/>
        <v>42840000</v>
      </c>
      <c r="P224" s="12">
        <f t="shared" si="23"/>
        <v>11900</v>
      </c>
    </row>
    <row r="225" spans="1:16" x14ac:dyDescent="0.25">
      <c r="A225" s="3">
        <v>224</v>
      </c>
      <c r="B225" s="3">
        <v>64</v>
      </c>
      <c r="C225" s="3">
        <v>85</v>
      </c>
      <c r="D225" s="2">
        <v>11140</v>
      </c>
      <c r="E225" s="2">
        <f t="shared" si="18"/>
        <v>5492.5</v>
      </c>
      <c r="F225" s="2">
        <v>2380</v>
      </c>
      <c r="G225" s="2">
        <f t="shared" si="19"/>
        <v>991.66666666666674</v>
      </c>
      <c r="H225" s="4">
        <f>VLOOKUP(B225,nodes!A:D,2,0)</f>
        <v>0</v>
      </c>
      <c r="I225" s="4">
        <f>VLOOKUP(B225,nodes!A:D,4,0)</f>
        <v>210</v>
      </c>
      <c r="J225" s="4">
        <f>VLOOKUP(C225,nodes!A:D,2,0)</f>
        <v>0</v>
      </c>
      <c r="K225" s="4">
        <f>VLOOKUP(C225,nodes!A:D,4,0)</f>
        <v>180</v>
      </c>
      <c r="L225" s="4">
        <f t="shared" si="20"/>
        <v>30</v>
      </c>
      <c r="N225" s="12">
        <f t="shared" si="21"/>
        <v>7437500</v>
      </c>
      <c r="O225" s="12">
        <f t="shared" si="22"/>
        <v>42840000</v>
      </c>
      <c r="P225" s="12">
        <f t="shared" si="23"/>
        <v>11900</v>
      </c>
    </row>
    <row r="226" spans="1:16" x14ac:dyDescent="0.25">
      <c r="A226" s="3">
        <v>225</v>
      </c>
      <c r="B226" s="3">
        <v>85</v>
      </c>
      <c r="C226" s="3">
        <v>106</v>
      </c>
      <c r="D226" s="2">
        <v>11140</v>
      </c>
      <c r="E226" s="2">
        <f t="shared" si="18"/>
        <v>5492.5</v>
      </c>
      <c r="F226" s="2">
        <v>2380</v>
      </c>
      <c r="G226" s="2">
        <f t="shared" si="19"/>
        <v>991.66666666666674</v>
      </c>
      <c r="H226" s="4">
        <f>VLOOKUP(B226,nodes!A:D,2,0)</f>
        <v>0</v>
      </c>
      <c r="I226" s="4">
        <f>VLOOKUP(B226,nodes!A:D,4,0)</f>
        <v>180</v>
      </c>
      <c r="J226" s="4">
        <f>VLOOKUP(C226,nodes!A:D,2,0)</f>
        <v>0</v>
      </c>
      <c r="K226" s="4">
        <f>VLOOKUP(C226,nodes!A:D,4,0)</f>
        <v>150</v>
      </c>
      <c r="L226" s="4">
        <f t="shared" si="20"/>
        <v>30</v>
      </c>
      <c r="N226" s="12">
        <f t="shared" si="21"/>
        <v>7437500</v>
      </c>
      <c r="O226" s="12">
        <f t="shared" si="22"/>
        <v>42840000</v>
      </c>
      <c r="P226" s="12">
        <f t="shared" si="23"/>
        <v>11900</v>
      </c>
    </row>
    <row r="227" spans="1:16" x14ac:dyDescent="0.25">
      <c r="A227" s="3">
        <v>226</v>
      </c>
      <c r="B227" s="3">
        <v>106</v>
      </c>
      <c r="C227" s="3">
        <v>127</v>
      </c>
      <c r="D227" s="2">
        <v>11140</v>
      </c>
      <c r="E227" s="2">
        <f t="shared" si="18"/>
        <v>5492.5</v>
      </c>
      <c r="F227" s="2">
        <v>2380</v>
      </c>
      <c r="G227" s="2">
        <f t="shared" si="19"/>
        <v>991.66666666666674</v>
      </c>
      <c r="H227" s="4">
        <f>VLOOKUP(B227,nodes!A:D,2,0)</f>
        <v>0</v>
      </c>
      <c r="I227" s="4">
        <f>VLOOKUP(B227,nodes!A:D,4,0)</f>
        <v>150</v>
      </c>
      <c r="J227" s="4">
        <f>VLOOKUP(C227,nodes!A:D,2,0)</f>
        <v>0</v>
      </c>
      <c r="K227" s="4">
        <f>VLOOKUP(C227,nodes!A:D,4,0)</f>
        <v>120</v>
      </c>
      <c r="L227" s="4">
        <f t="shared" si="20"/>
        <v>30</v>
      </c>
      <c r="N227" s="12">
        <f t="shared" si="21"/>
        <v>7437500</v>
      </c>
      <c r="O227" s="12">
        <f t="shared" si="22"/>
        <v>42840000</v>
      </c>
      <c r="P227" s="12">
        <f t="shared" si="23"/>
        <v>11900</v>
      </c>
    </row>
    <row r="228" spans="1:16" x14ac:dyDescent="0.25">
      <c r="A228" s="3">
        <v>227</v>
      </c>
      <c r="B228" s="3">
        <v>127</v>
      </c>
      <c r="C228" s="3">
        <v>148</v>
      </c>
      <c r="D228" s="2">
        <v>11140</v>
      </c>
      <c r="E228" s="2">
        <f t="shared" si="18"/>
        <v>5492.5</v>
      </c>
      <c r="F228" s="2">
        <v>2380</v>
      </c>
      <c r="G228" s="2">
        <f t="shared" si="19"/>
        <v>991.66666666666674</v>
      </c>
      <c r="H228" s="4">
        <f>VLOOKUP(B228,nodes!A:D,2,0)</f>
        <v>0</v>
      </c>
      <c r="I228" s="4">
        <f>VLOOKUP(B228,nodes!A:D,4,0)</f>
        <v>120</v>
      </c>
      <c r="J228" s="4">
        <f>VLOOKUP(C228,nodes!A:D,2,0)</f>
        <v>0</v>
      </c>
      <c r="K228" s="4">
        <f>VLOOKUP(C228,nodes!A:D,4,0)</f>
        <v>90</v>
      </c>
      <c r="L228" s="4">
        <f t="shared" si="20"/>
        <v>30</v>
      </c>
      <c r="N228" s="12">
        <f t="shared" si="21"/>
        <v>7437500</v>
      </c>
      <c r="O228" s="12">
        <f t="shared" si="22"/>
        <v>42840000</v>
      </c>
      <c r="P228" s="12">
        <f t="shared" si="23"/>
        <v>11900</v>
      </c>
    </row>
    <row r="229" spans="1:16" x14ac:dyDescent="0.25">
      <c r="A229" s="3">
        <v>228</v>
      </c>
      <c r="B229" s="3">
        <v>148</v>
      </c>
      <c r="C229" s="3">
        <v>169</v>
      </c>
      <c r="D229" s="2">
        <v>11140</v>
      </c>
      <c r="E229" s="2">
        <f t="shared" si="18"/>
        <v>5492.5</v>
      </c>
      <c r="F229" s="2">
        <v>2380</v>
      </c>
      <c r="G229" s="2">
        <f t="shared" si="19"/>
        <v>991.66666666666674</v>
      </c>
      <c r="H229" s="4">
        <f>VLOOKUP(B229,nodes!A:D,2,0)</f>
        <v>0</v>
      </c>
      <c r="I229" s="4">
        <f>VLOOKUP(B229,nodes!A:D,4,0)</f>
        <v>90</v>
      </c>
      <c r="J229" s="4">
        <f>VLOOKUP(C229,nodes!A:D,2,0)</f>
        <v>0</v>
      </c>
      <c r="K229" s="4">
        <f>VLOOKUP(C229,nodes!A:D,4,0)</f>
        <v>60</v>
      </c>
      <c r="L229" s="4">
        <f t="shared" si="20"/>
        <v>30</v>
      </c>
      <c r="N229" s="12">
        <f t="shared" si="21"/>
        <v>7437500</v>
      </c>
      <c r="O229" s="12">
        <f t="shared" si="22"/>
        <v>42840000</v>
      </c>
      <c r="P229" s="12">
        <f t="shared" si="23"/>
        <v>11900</v>
      </c>
    </row>
    <row r="230" spans="1:16" x14ac:dyDescent="0.25">
      <c r="A230" s="3">
        <v>229</v>
      </c>
      <c r="B230" s="3">
        <v>169</v>
      </c>
      <c r="C230" s="3">
        <v>190</v>
      </c>
      <c r="D230" s="2">
        <v>11140</v>
      </c>
      <c r="E230" s="2">
        <f t="shared" si="18"/>
        <v>5492.5</v>
      </c>
      <c r="F230" s="2">
        <v>2380</v>
      </c>
      <c r="G230" s="2">
        <f t="shared" si="19"/>
        <v>991.66666666666674</v>
      </c>
      <c r="H230" s="4">
        <f>VLOOKUP(B230,nodes!A:D,2,0)</f>
        <v>0</v>
      </c>
      <c r="I230" s="4">
        <f>VLOOKUP(B230,nodes!A:D,4,0)</f>
        <v>60</v>
      </c>
      <c r="J230" s="4">
        <f>VLOOKUP(C230,nodes!A:D,2,0)</f>
        <v>0</v>
      </c>
      <c r="K230" s="4">
        <f>VLOOKUP(C230,nodes!A:D,4,0)</f>
        <v>30</v>
      </c>
      <c r="L230" s="4">
        <f t="shared" si="20"/>
        <v>30</v>
      </c>
      <c r="N230" s="12">
        <f t="shared" si="21"/>
        <v>7437500</v>
      </c>
      <c r="O230" s="12">
        <f t="shared" si="22"/>
        <v>42840000</v>
      </c>
      <c r="P230" s="12">
        <f t="shared" si="23"/>
        <v>11900</v>
      </c>
    </row>
    <row r="231" spans="1:16" x14ac:dyDescent="0.25">
      <c r="A231" s="3">
        <v>230</v>
      </c>
      <c r="B231" s="3">
        <v>190</v>
      </c>
      <c r="C231" s="3">
        <v>211</v>
      </c>
      <c r="D231" s="2">
        <v>11140</v>
      </c>
      <c r="E231" s="2">
        <f t="shared" si="18"/>
        <v>5492.5</v>
      </c>
      <c r="F231" s="2">
        <v>2380</v>
      </c>
      <c r="G231" s="2">
        <f t="shared" si="19"/>
        <v>991.66666666666674</v>
      </c>
      <c r="H231" s="4">
        <f>VLOOKUP(B231,nodes!A:D,2,0)</f>
        <v>0</v>
      </c>
      <c r="I231" s="4">
        <f>VLOOKUP(B231,nodes!A:D,4,0)</f>
        <v>30</v>
      </c>
      <c r="J231" s="4">
        <f>VLOOKUP(C231,nodes!A:D,2,0)</f>
        <v>0</v>
      </c>
      <c r="K231" s="4">
        <f>VLOOKUP(C231,nodes!A:D,4,0)</f>
        <v>0</v>
      </c>
      <c r="L231" s="4">
        <f t="shared" si="20"/>
        <v>30</v>
      </c>
      <c r="N231" s="12">
        <f t="shared" si="21"/>
        <v>7437500</v>
      </c>
      <c r="O231" s="12">
        <f t="shared" si="22"/>
        <v>42840000</v>
      </c>
      <c r="P231" s="12">
        <f t="shared" si="23"/>
        <v>11900</v>
      </c>
    </row>
    <row r="232" spans="1:16" x14ac:dyDescent="0.25">
      <c r="A232" s="3">
        <v>231</v>
      </c>
      <c r="B232" s="3">
        <v>2</v>
      </c>
      <c r="C232" s="3">
        <v>23</v>
      </c>
      <c r="D232" s="2">
        <v>11140</v>
      </c>
      <c r="E232" s="2">
        <f t="shared" si="18"/>
        <v>5492.5</v>
      </c>
      <c r="F232" s="2">
        <v>2380</v>
      </c>
      <c r="G232" s="2">
        <f t="shared" si="19"/>
        <v>991.66666666666674</v>
      </c>
      <c r="H232" s="4">
        <f>VLOOKUP(B232,nodes!A:D,2,0)</f>
        <v>30</v>
      </c>
      <c r="I232" s="4">
        <f>VLOOKUP(B232,nodes!A:D,4,0)</f>
        <v>300</v>
      </c>
      <c r="J232" s="4">
        <f>VLOOKUP(C232,nodes!A:D,2,0)</f>
        <v>30</v>
      </c>
      <c r="K232" s="4">
        <f>VLOOKUP(C232,nodes!A:D,4,0)</f>
        <v>270</v>
      </c>
      <c r="L232" s="4">
        <f t="shared" si="20"/>
        <v>30</v>
      </c>
      <c r="N232" s="12">
        <f t="shared" si="21"/>
        <v>7437500</v>
      </c>
      <c r="O232" s="12">
        <f t="shared" si="22"/>
        <v>42840000</v>
      </c>
      <c r="P232" s="12">
        <f t="shared" si="23"/>
        <v>11900</v>
      </c>
    </row>
    <row r="233" spans="1:16" x14ac:dyDescent="0.25">
      <c r="A233" s="3">
        <v>232</v>
      </c>
      <c r="B233" s="3">
        <v>23</v>
      </c>
      <c r="C233" s="3">
        <v>44</v>
      </c>
      <c r="D233" s="2">
        <v>11140</v>
      </c>
      <c r="E233" s="2">
        <f t="shared" si="18"/>
        <v>5492.5</v>
      </c>
      <c r="F233" s="2">
        <v>2380</v>
      </c>
      <c r="G233" s="2">
        <f t="shared" si="19"/>
        <v>991.66666666666674</v>
      </c>
      <c r="H233" s="4">
        <f>VLOOKUP(B233,nodes!A:D,2,0)</f>
        <v>30</v>
      </c>
      <c r="I233" s="4">
        <f>VLOOKUP(B233,nodes!A:D,4,0)</f>
        <v>270</v>
      </c>
      <c r="J233" s="4">
        <f>VLOOKUP(C233,nodes!A:D,2,0)</f>
        <v>30</v>
      </c>
      <c r="K233" s="4">
        <f>VLOOKUP(C233,nodes!A:D,4,0)</f>
        <v>240</v>
      </c>
      <c r="L233" s="4">
        <f t="shared" si="20"/>
        <v>30</v>
      </c>
      <c r="N233" s="12">
        <f t="shared" si="21"/>
        <v>7437500</v>
      </c>
      <c r="O233" s="12">
        <f t="shared" si="22"/>
        <v>42840000</v>
      </c>
      <c r="P233" s="12">
        <f t="shared" si="23"/>
        <v>11900</v>
      </c>
    </row>
    <row r="234" spans="1:16" x14ac:dyDescent="0.25">
      <c r="A234" s="3">
        <v>233</v>
      </c>
      <c r="B234" s="3">
        <v>44</v>
      </c>
      <c r="C234" s="3">
        <v>65</v>
      </c>
      <c r="D234" s="2">
        <v>11140</v>
      </c>
      <c r="E234" s="2">
        <f t="shared" si="18"/>
        <v>5492.5</v>
      </c>
      <c r="F234" s="2">
        <v>2380</v>
      </c>
      <c r="G234" s="2">
        <f t="shared" si="19"/>
        <v>991.66666666666674</v>
      </c>
      <c r="H234" s="4">
        <f>VLOOKUP(B234,nodes!A:D,2,0)</f>
        <v>30</v>
      </c>
      <c r="I234" s="4">
        <f>VLOOKUP(B234,nodes!A:D,4,0)</f>
        <v>240</v>
      </c>
      <c r="J234" s="4">
        <f>VLOOKUP(C234,nodes!A:D,2,0)</f>
        <v>30</v>
      </c>
      <c r="K234" s="4">
        <f>VLOOKUP(C234,nodes!A:D,4,0)</f>
        <v>210</v>
      </c>
      <c r="L234" s="4">
        <f t="shared" si="20"/>
        <v>30</v>
      </c>
      <c r="N234" s="12">
        <f t="shared" si="21"/>
        <v>7437500</v>
      </c>
      <c r="O234" s="12">
        <f t="shared" si="22"/>
        <v>42840000</v>
      </c>
      <c r="P234" s="12">
        <f t="shared" si="23"/>
        <v>11900</v>
      </c>
    </row>
    <row r="235" spans="1:16" x14ac:dyDescent="0.25">
      <c r="A235" s="3">
        <v>234</v>
      </c>
      <c r="B235" s="3">
        <v>65</v>
      </c>
      <c r="C235" s="3">
        <v>86</v>
      </c>
      <c r="D235" s="2">
        <v>11140</v>
      </c>
      <c r="E235" s="2">
        <f t="shared" si="18"/>
        <v>5492.5</v>
      </c>
      <c r="F235" s="2">
        <v>2380</v>
      </c>
      <c r="G235" s="2">
        <f t="shared" si="19"/>
        <v>991.66666666666674</v>
      </c>
      <c r="H235" s="4">
        <f>VLOOKUP(B235,nodes!A:D,2,0)</f>
        <v>30</v>
      </c>
      <c r="I235" s="4">
        <f>VLOOKUP(B235,nodes!A:D,4,0)</f>
        <v>210</v>
      </c>
      <c r="J235" s="4">
        <f>VLOOKUP(C235,nodes!A:D,2,0)</f>
        <v>30</v>
      </c>
      <c r="K235" s="4">
        <f>VLOOKUP(C235,nodes!A:D,4,0)</f>
        <v>180</v>
      </c>
      <c r="L235" s="4">
        <f t="shared" si="20"/>
        <v>30</v>
      </c>
      <c r="N235" s="12">
        <f t="shared" si="21"/>
        <v>7437500</v>
      </c>
      <c r="O235" s="12">
        <f t="shared" si="22"/>
        <v>42840000</v>
      </c>
      <c r="P235" s="12">
        <f t="shared" si="23"/>
        <v>11900</v>
      </c>
    </row>
    <row r="236" spans="1:16" x14ac:dyDescent="0.25">
      <c r="A236" s="3">
        <v>235</v>
      </c>
      <c r="B236" s="3">
        <v>86</v>
      </c>
      <c r="C236" s="3">
        <v>107</v>
      </c>
      <c r="D236" s="2">
        <v>11140</v>
      </c>
      <c r="E236" s="2">
        <f t="shared" si="18"/>
        <v>5492.5</v>
      </c>
      <c r="F236" s="2">
        <v>2380</v>
      </c>
      <c r="G236" s="2">
        <f t="shared" si="19"/>
        <v>991.66666666666674</v>
      </c>
      <c r="H236" s="4">
        <f>VLOOKUP(B236,nodes!A:D,2,0)</f>
        <v>30</v>
      </c>
      <c r="I236" s="4">
        <f>VLOOKUP(B236,nodes!A:D,4,0)</f>
        <v>180</v>
      </c>
      <c r="J236" s="4">
        <f>VLOOKUP(C236,nodes!A:D,2,0)</f>
        <v>30</v>
      </c>
      <c r="K236" s="4">
        <f>VLOOKUP(C236,nodes!A:D,4,0)</f>
        <v>150</v>
      </c>
      <c r="L236" s="4">
        <f t="shared" si="20"/>
        <v>30</v>
      </c>
      <c r="N236" s="12">
        <f t="shared" si="21"/>
        <v>7437500</v>
      </c>
      <c r="O236" s="12">
        <f t="shared" si="22"/>
        <v>42840000</v>
      </c>
      <c r="P236" s="12">
        <f t="shared" si="23"/>
        <v>11900</v>
      </c>
    </row>
    <row r="237" spans="1:16" x14ac:dyDescent="0.25">
      <c r="A237" s="3">
        <v>236</v>
      </c>
      <c r="B237" s="3">
        <v>107</v>
      </c>
      <c r="C237" s="3">
        <v>128</v>
      </c>
      <c r="D237" s="2">
        <v>11140</v>
      </c>
      <c r="E237" s="2">
        <f t="shared" si="18"/>
        <v>5492.5</v>
      </c>
      <c r="F237" s="2">
        <v>2380</v>
      </c>
      <c r="G237" s="2">
        <f t="shared" si="19"/>
        <v>991.66666666666674</v>
      </c>
      <c r="H237" s="4">
        <f>VLOOKUP(B237,nodes!A:D,2,0)</f>
        <v>30</v>
      </c>
      <c r="I237" s="4">
        <f>VLOOKUP(B237,nodes!A:D,4,0)</f>
        <v>150</v>
      </c>
      <c r="J237" s="4">
        <f>VLOOKUP(C237,nodes!A:D,2,0)</f>
        <v>30</v>
      </c>
      <c r="K237" s="4">
        <f>VLOOKUP(C237,nodes!A:D,4,0)</f>
        <v>120</v>
      </c>
      <c r="L237" s="4">
        <f t="shared" si="20"/>
        <v>30</v>
      </c>
      <c r="N237" s="12">
        <f t="shared" si="21"/>
        <v>7437500</v>
      </c>
      <c r="O237" s="12">
        <f t="shared" si="22"/>
        <v>42840000</v>
      </c>
      <c r="P237" s="12">
        <f t="shared" si="23"/>
        <v>11900</v>
      </c>
    </row>
    <row r="238" spans="1:16" x14ac:dyDescent="0.25">
      <c r="A238" s="3">
        <v>237</v>
      </c>
      <c r="B238" s="3">
        <v>128</v>
      </c>
      <c r="C238" s="3">
        <v>149</v>
      </c>
      <c r="D238" s="2">
        <v>11140</v>
      </c>
      <c r="E238" s="2">
        <f t="shared" si="18"/>
        <v>5492.5</v>
      </c>
      <c r="F238" s="2">
        <v>2380</v>
      </c>
      <c r="G238" s="2">
        <f t="shared" si="19"/>
        <v>991.66666666666674</v>
      </c>
      <c r="H238" s="4">
        <f>VLOOKUP(B238,nodes!A:D,2,0)</f>
        <v>30</v>
      </c>
      <c r="I238" s="4">
        <f>VLOOKUP(B238,nodes!A:D,4,0)</f>
        <v>120</v>
      </c>
      <c r="J238" s="4">
        <f>VLOOKUP(C238,nodes!A:D,2,0)</f>
        <v>30</v>
      </c>
      <c r="K238" s="4">
        <f>VLOOKUP(C238,nodes!A:D,4,0)</f>
        <v>90</v>
      </c>
      <c r="L238" s="4">
        <f t="shared" si="20"/>
        <v>30</v>
      </c>
      <c r="N238" s="12">
        <f t="shared" si="21"/>
        <v>7437500</v>
      </c>
      <c r="O238" s="12">
        <f t="shared" si="22"/>
        <v>42840000</v>
      </c>
      <c r="P238" s="12">
        <f t="shared" si="23"/>
        <v>11900</v>
      </c>
    </row>
    <row r="239" spans="1:16" x14ac:dyDescent="0.25">
      <c r="A239" s="3">
        <v>238</v>
      </c>
      <c r="B239" s="3">
        <v>149</v>
      </c>
      <c r="C239" s="3">
        <v>170</v>
      </c>
      <c r="D239" s="2">
        <v>11140</v>
      </c>
      <c r="E239" s="2">
        <f t="shared" si="18"/>
        <v>5492.5</v>
      </c>
      <c r="F239" s="2">
        <v>2380</v>
      </c>
      <c r="G239" s="2">
        <f t="shared" si="19"/>
        <v>991.66666666666674</v>
      </c>
      <c r="H239" s="4">
        <f>VLOOKUP(B239,nodes!A:D,2,0)</f>
        <v>30</v>
      </c>
      <c r="I239" s="4">
        <f>VLOOKUP(B239,nodes!A:D,4,0)</f>
        <v>90</v>
      </c>
      <c r="J239" s="4">
        <f>VLOOKUP(C239,nodes!A:D,2,0)</f>
        <v>30</v>
      </c>
      <c r="K239" s="4">
        <f>VLOOKUP(C239,nodes!A:D,4,0)</f>
        <v>60</v>
      </c>
      <c r="L239" s="4">
        <f t="shared" si="20"/>
        <v>30</v>
      </c>
      <c r="N239" s="12">
        <f t="shared" si="21"/>
        <v>7437500</v>
      </c>
      <c r="O239" s="12">
        <f t="shared" si="22"/>
        <v>42840000</v>
      </c>
      <c r="P239" s="12">
        <f t="shared" si="23"/>
        <v>11900</v>
      </c>
    </row>
    <row r="240" spans="1:16" x14ac:dyDescent="0.25">
      <c r="A240" s="3">
        <v>239</v>
      </c>
      <c r="B240" s="3">
        <v>170</v>
      </c>
      <c r="C240" s="3">
        <v>191</v>
      </c>
      <c r="D240" s="2">
        <v>11140</v>
      </c>
      <c r="E240" s="2">
        <f t="shared" si="18"/>
        <v>5492.5</v>
      </c>
      <c r="F240" s="2">
        <v>2380</v>
      </c>
      <c r="G240" s="2">
        <f t="shared" si="19"/>
        <v>991.66666666666674</v>
      </c>
      <c r="H240" s="4">
        <f>VLOOKUP(B240,nodes!A:D,2,0)</f>
        <v>30</v>
      </c>
      <c r="I240" s="4">
        <f>VLOOKUP(B240,nodes!A:D,4,0)</f>
        <v>60</v>
      </c>
      <c r="J240" s="4">
        <f>VLOOKUP(C240,nodes!A:D,2,0)</f>
        <v>30</v>
      </c>
      <c r="K240" s="4">
        <f>VLOOKUP(C240,nodes!A:D,4,0)</f>
        <v>30</v>
      </c>
      <c r="L240" s="4">
        <f t="shared" si="20"/>
        <v>30</v>
      </c>
      <c r="N240" s="12">
        <f t="shared" si="21"/>
        <v>7437500</v>
      </c>
      <c r="O240" s="12">
        <f t="shared" si="22"/>
        <v>42840000</v>
      </c>
      <c r="P240" s="12">
        <f t="shared" si="23"/>
        <v>11900</v>
      </c>
    </row>
    <row r="241" spans="1:16" x14ac:dyDescent="0.25">
      <c r="A241" s="3">
        <v>240</v>
      </c>
      <c r="B241" s="3">
        <v>191</v>
      </c>
      <c r="C241" s="3">
        <v>212</v>
      </c>
      <c r="D241" s="2">
        <v>11140</v>
      </c>
      <c r="E241" s="2">
        <f t="shared" si="18"/>
        <v>5492.5</v>
      </c>
      <c r="F241" s="2">
        <v>2380</v>
      </c>
      <c r="G241" s="2">
        <f t="shared" si="19"/>
        <v>991.66666666666674</v>
      </c>
      <c r="H241" s="4">
        <f>VLOOKUP(B241,nodes!A:D,2,0)</f>
        <v>30</v>
      </c>
      <c r="I241" s="4">
        <f>VLOOKUP(B241,nodes!A:D,4,0)</f>
        <v>30</v>
      </c>
      <c r="J241" s="4">
        <f>VLOOKUP(C241,nodes!A:D,2,0)</f>
        <v>30</v>
      </c>
      <c r="K241" s="4">
        <f>VLOOKUP(C241,nodes!A:D,4,0)</f>
        <v>0</v>
      </c>
      <c r="L241" s="4">
        <f t="shared" si="20"/>
        <v>30</v>
      </c>
      <c r="N241" s="12">
        <f t="shared" si="21"/>
        <v>7437500</v>
      </c>
      <c r="O241" s="12">
        <f t="shared" si="22"/>
        <v>42840000</v>
      </c>
      <c r="P241" s="12">
        <f t="shared" si="23"/>
        <v>11900</v>
      </c>
    </row>
    <row r="242" spans="1:16" x14ac:dyDescent="0.25">
      <c r="A242" s="3">
        <v>241</v>
      </c>
      <c r="B242" s="3">
        <v>3</v>
      </c>
      <c r="C242" s="3">
        <v>24</v>
      </c>
      <c r="D242" s="2">
        <v>11140</v>
      </c>
      <c r="E242" s="2">
        <f t="shared" si="18"/>
        <v>5492.5</v>
      </c>
      <c r="F242" s="2">
        <v>2380</v>
      </c>
      <c r="G242" s="2">
        <f t="shared" si="19"/>
        <v>991.66666666666674</v>
      </c>
      <c r="H242" s="4">
        <f>VLOOKUP(B242,nodes!A:D,2,0)</f>
        <v>60</v>
      </c>
      <c r="I242" s="4">
        <f>VLOOKUP(B242,nodes!A:D,4,0)</f>
        <v>300</v>
      </c>
      <c r="J242" s="4">
        <f>VLOOKUP(C242,nodes!A:D,2,0)</f>
        <v>60</v>
      </c>
      <c r="K242" s="4">
        <f>VLOOKUP(C242,nodes!A:D,4,0)</f>
        <v>270</v>
      </c>
      <c r="L242" s="4">
        <f t="shared" si="20"/>
        <v>30</v>
      </c>
      <c r="N242" s="12">
        <f t="shared" si="21"/>
        <v>7437500</v>
      </c>
      <c r="O242" s="12">
        <f t="shared" si="22"/>
        <v>42840000</v>
      </c>
      <c r="P242" s="12">
        <f t="shared" si="23"/>
        <v>11900</v>
      </c>
    </row>
    <row r="243" spans="1:16" x14ac:dyDescent="0.25">
      <c r="A243" s="3">
        <v>242</v>
      </c>
      <c r="B243" s="3">
        <v>24</v>
      </c>
      <c r="C243" s="3">
        <v>45</v>
      </c>
      <c r="D243" s="2">
        <v>11140</v>
      </c>
      <c r="E243" s="2">
        <f t="shared" si="18"/>
        <v>5492.5</v>
      </c>
      <c r="F243" s="2">
        <v>2380</v>
      </c>
      <c r="G243" s="2">
        <f t="shared" si="19"/>
        <v>991.66666666666674</v>
      </c>
      <c r="H243" s="4">
        <f>VLOOKUP(B243,nodes!A:D,2,0)</f>
        <v>60</v>
      </c>
      <c r="I243" s="4">
        <f>VLOOKUP(B243,nodes!A:D,4,0)</f>
        <v>270</v>
      </c>
      <c r="J243" s="4">
        <f>VLOOKUP(C243,nodes!A:D,2,0)</f>
        <v>60</v>
      </c>
      <c r="K243" s="4">
        <f>VLOOKUP(C243,nodes!A:D,4,0)</f>
        <v>240</v>
      </c>
      <c r="L243" s="4">
        <f t="shared" si="20"/>
        <v>30</v>
      </c>
      <c r="N243" s="12">
        <f t="shared" si="21"/>
        <v>7437500</v>
      </c>
      <c r="O243" s="12">
        <f t="shared" si="22"/>
        <v>42840000</v>
      </c>
      <c r="P243" s="12">
        <f t="shared" si="23"/>
        <v>11900</v>
      </c>
    </row>
    <row r="244" spans="1:16" x14ac:dyDescent="0.25">
      <c r="A244" s="3">
        <v>243</v>
      </c>
      <c r="B244" s="3">
        <v>45</v>
      </c>
      <c r="C244" s="3">
        <v>66</v>
      </c>
      <c r="D244" s="2">
        <v>11140</v>
      </c>
      <c r="E244" s="2">
        <f t="shared" si="18"/>
        <v>5492.5</v>
      </c>
      <c r="F244" s="2">
        <v>2380</v>
      </c>
      <c r="G244" s="2">
        <f t="shared" si="19"/>
        <v>991.66666666666674</v>
      </c>
      <c r="H244" s="4">
        <f>VLOOKUP(B244,nodes!A:D,2,0)</f>
        <v>60</v>
      </c>
      <c r="I244" s="4">
        <f>VLOOKUP(B244,nodes!A:D,4,0)</f>
        <v>240</v>
      </c>
      <c r="J244" s="4">
        <f>VLOOKUP(C244,nodes!A:D,2,0)</f>
        <v>60</v>
      </c>
      <c r="K244" s="4">
        <f>VLOOKUP(C244,nodes!A:D,4,0)</f>
        <v>210</v>
      </c>
      <c r="L244" s="4">
        <f t="shared" si="20"/>
        <v>30</v>
      </c>
      <c r="N244" s="12">
        <f t="shared" si="21"/>
        <v>7437500</v>
      </c>
      <c r="O244" s="12">
        <f t="shared" si="22"/>
        <v>42840000</v>
      </c>
      <c r="P244" s="12">
        <f t="shared" si="23"/>
        <v>11900</v>
      </c>
    </row>
    <row r="245" spans="1:16" x14ac:dyDescent="0.25">
      <c r="A245" s="3">
        <v>244</v>
      </c>
      <c r="B245" s="3">
        <v>66</v>
      </c>
      <c r="C245" s="3">
        <v>87</v>
      </c>
      <c r="D245" s="2">
        <v>11140</v>
      </c>
      <c r="E245" s="2">
        <f t="shared" si="18"/>
        <v>5492.5</v>
      </c>
      <c r="F245" s="2">
        <v>2380</v>
      </c>
      <c r="G245" s="2">
        <f t="shared" si="19"/>
        <v>991.66666666666674</v>
      </c>
      <c r="H245" s="4">
        <f>VLOOKUP(B245,nodes!A:D,2,0)</f>
        <v>60</v>
      </c>
      <c r="I245" s="4">
        <f>VLOOKUP(B245,nodes!A:D,4,0)</f>
        <v>210</v>
      </c>
      <c r="J245" s="4">
        <f>VLOOKUP(C245,nodes!A:D,2,0)</f>
        <v>60</v>
      </c>
      <c r="K245" s="4">
        <f>VLOOKUP(C245,nodes!A:D,4,0)</f>
        <v>180</v>
      </c>
      <c r="L245" s="4">
        <f t="shared" si="20"/>
        <v>30</v>
      </c>
      <c r="N245" s="12">
        <f t="shared" si="21"/>
        <v>7437500</v>
      </c>
      <c r="O245" s="12">
        <f t="shared" si="22"/>
        <v>42840000</v>
      </c>
      <c r="P245" s="12">
        <f t="shared" si="23"/>
        <v>11900</v>
      </c>
    </row>
    <row r="246" spans="1:16" x14ac:dyDescent="0.25">
      <c r="A246" s="3">
        <v>245</v>
      </c>
      <c r="B246" s="3">
        <v>87</v>
      </c>
      <c r="C246" s="3">
        <v>108</v>
      </c>
      <c r="D246" s="2">
        <v>11140</v>
      </c>
      <c r="E246" s="2">
        <f t="shared" si="18"/>
        <v>5492.5</v>
      </c>
      <c r="F246" s="2">
        <v>2380</v>
      </c>
      <c r="G246" s="2">
        <f t="shared" si="19"/>
        <v>991.66666666666674</v>
      </c>
      <c r="H246" s="4">
        <f>VLOOKUP(B246,nodes!A:D,2,0)</f>
        <v>60</v>
      </c>
      <c r="I246" s="4">
        <f>VLOOKUP(B246,nodes!A:D,4,0)</f>
        <v>180</v>
      </c>
      <c r="J246" s="4">
        <f>VLOOKUP(C246,nodes!A:D,2,0)</f>
        <v>60</v>
      </c>
      <c r="K246" s="4">
        <f>VLOOKUP(C246,nodes!A:D,4,0)</f>
        <v>150</v>
      </c>
      <c r="L246" s="4">
        <f t="shared" si="20"/>
        <v>30</v>
      </c>
      <c r="N246" s="12">
        <f t="shared" si="21"/>
        <v>7437500</v>
      </c>
      <c r="O246" s="12">
        <f t="shared" si="22"/>
        <v>42840000</v>
      </c>
      <c r="P246" s="12">
        <f t="shared" si="23"/>
        <v>11900</v>
      </c>
    </row>
    <row r="247" spans="1:16" x14ac:dyDescent="0.25">
      <c r="A247" s="3">
        <v>246</v>
      </c>
      <c r="B247" s="3">
        <v>108</v>
      </c>
      <c r="C247" s="3">
        <v>129</v>
      </c>
      <c r="D247" s="2">
        <v>11140</v>
      </c>
      <c r="E247" s="2">
        <f t="shared" si="18"/>
        <v>5492.5</v>
      </c>
      <c r="F247" s="2">
        <v>2380</v>
      </c>
      <c r="G247" s="2">
        <f t="shared" si="19"/>
        <v>991.66666666666674</v>
      </c>
      <c r="H247" s="4">
        <f>VLOOKUP(B247,nodes!A:D,2,0)</f>
        <v>60</v>
      </c>
      <c r="I247" s="4">
        <f>VLOOKUP(B247,nodes!A:D,4,0)</f>
        <v>150</v>
      </c>
      <c r="J247" s="4">
        <f>VLOOKUP(C247,nodes!A:D,2,0)</f>
        <v>60</v>
      </c>
      <c r="K247" s="4">
        <f>VLOOKUP(C247,nodes!A:D,4,0)</f>
        <v>120</v>
      </c>
      <c r="L247" s="4">
        <f t="shared" si="20"/>
        <v>30</v>
      </c>
      <c r="N247" s="12">
        <f t="shared" si="21"/>
        <v>7437500</v>
      </c>
      <c r="O247" s="12">
        <f t="shared" si="22"/>
        <v>42840000</v>
      </c>
      <c r="P247" s="12">
        <f t="shared" si="23"/>
        <v>11900</v>
      </c>
    </row>
    <row r="248" spans="1:16" x14ac:dyDescent="0.25">
      <c r="A248" s="3">
        <v>247</v>
      </c>
      <c r="B248" s="3">
        <v>129</v>
      </c>
      <c r="C248" s="3">
        <v>150</v>
      </c>
      <c r="D248" s="2">
        <v>11140</v>
      </c>
      <c r="E248" s="2">
        <f t="shared" si="18"/>
        <v>5492.5</v>
      </c>
      <c r="F248" s="2">
        <v>2380</v>
      </c>
      <c r="G248" s="2">
        <f t="shared" si="19"/>
        <v>991.66666666666674</v>
      </c>
      <c r="H248" s="4">
        <f>VLOOKUP(B248,nodes!A:D,2,0)</f>
        <v>60</v>
      </c>
      <c r="I248" s="4">
        <f>VLOOKUP(B248,nodes!A:D,4,0)</f>
        <v>120</v>
      </c>
      <c r="J248" s="4">
        <f>VLOOKUP(C248,nodes!A:D,2,0)</f>
        <v>60</v>
      </c>
      <c r="K248" s="4">
        <f>VLOOKUP(C248,nodes!A:D,4,0)</f>
        <v>90</v>
      </c>
      <c r="L248" s="4">
        <f t="shared" si="20"/>
        <v>30</v>
      </c>
      <c r="N248" s="12">
        <f t="shared" si="21"/>
        <v>7437500</v>
      </c>
      <c r="O248" s="12">
        <f t="shared" si="22"/>
        <v>42840000</v>
      </c>
      <c r="P248" s="12">
        <f t="shared" si="23"/>
        <v>11900</v>
      </c>
    </row>
    <row r="249" spans="1:16" x14ac:dyDescent="0.25">
      <c r="A249" s="3">
        <v>248</v>
      </c>
      <c r="B249" s="3">
        <v>150</v>
      </c>
      <c r="C249" s="3">
        <v>171</v>
      </c>
      <c r="D249" s="2">
        <v>11140</v>
      </c>
      <c r="E249" s="2">
        <f t="shared" si="18"/>
        <v>5492.5</v>
      </c>
      <c r="F249" s="2">
        <v>2380</v>
      </c>
      <c r="G249" s="2">
        <f t="shared" si="19"/>
        <v>991.66666666666674</v>
      </c>
      <c r="H249" s="4">
        <f>VLOOKUP(B249,nodes!A:D,2,0)</f>
        <v>60</v>
      </c>
      <c r="I249" s="4">
        <f>VLOOKUP(B249,nodes!A:D,4,0)</f>
        <v>90</v>
      </c>
      <c r="J249" s="4">
        <f>VLOOKUP(C249,nodes!A:D,2,0)</f>
        <v>60</v>
      </c>
      <c r="K249" s="4">
        <f>VLOOKUP(C249,nodes!A:D,4,0)</f>
        <v>60</v>
      </c>
      <c r="L249" s="4">
        <f t="shared" si="20"/>
        <v>30</v>
      </c>
      <c r="N249" s="12">
        <f t="shared" si="21"/>
        <v>7437500</v>
      </c>
      <c r="O249" s="12">
        <f t="shared" si="22"/>
        <v>42840000</v>
      </c>
      <c r="P249" s="12">
        <f t="shared" si="23"/>
        <v>11900</v>
      </c>
    </row>
    <row r="250" spans="1:16" x14ac:dyDescent="0.25">
      <c r="A250" s="3">
        <v>249</v>
      </c>
      <c r="B250" s="3">
        <v>171</v>
      </c>
      <c r="C250" s="3">
        <v>192</v>
      </c>
      <c r="D250" s="2">
        <v>11140</v>
      </c>
      <c r="E250" s="2">
        <f t="shared" si="18"/>
        <v>5492.5</v>
      </c>
      <c r="F250" s="2">
        <v>2380</v>
      </c>
      <c r="G250" s="2">
        <f t="shared" si="19"/>
        <v>991.66666666666674</v>
      </c>
      <c r="H250" s="4">
        <f>VLOOKUP(B250,nodes!A:D,2,0)</f>
        <v>60</v>
      </c>
      <c r="I250" s="4">
        <f>VLOOKUP(B250,nodes!A:D,4,0)</f>
        <v>60</v>
      </c>
      <c r="J250" s="4">
        <f>VLOOKUP(C250,nodes!A:D,2,0)</f>
        <v>60</v>
      </c>
      <c r="K250" s="4">
        <f>VLOOKUP(C250,nodes!A:D,4,0)</f>
        <v>30</v>
      </c>
      <c r="L250" s="4">
        <f t="shared" si="20"/>
        <v>30</v>
      </c>
      <c r="N250" s="12">
        <f t="shared" si="21"/>
        <v>7437500</v>
      </c>
      <c r="O250" s="12">
        <f t="shared" si="22"/>
        <v>42840000</v>
      </c>
      <c r="P250" s="12">
        <f t="shared" si="23"/>
        <v>11900</v>
      </c>
    </row>
    <row r="251" spans="1:16" x14ac:dyDescent="0.25">
      <c r="A251" s="3">
        <v>250</v>
      </c>
      <c r="B251" s="3">
        <v>192</v>
      </c>
      <c r="C251" s="3">
        <v>213</v>
      </c>
      <c r="D251" s="2">
        <v>11140</v>
      </c>
      <c r="E251" s="2">
        <f t="shared" si="18"/>
        <v>5492.5</v>
      </c>
      <c r="F251" s="2">
        <v>2380</v>
      </c>
      <c r="G251" s="2">
        <f t="shared" si="19"/>
        <v>991.66666666666674</v>
      </c>
      <c r="H251" s="4">
        <f>VLOOKUP(B251,nodes!A:D,2,0)</f>
        <v>60</v>
      </c>
      <c r="I251" s="4">
        <f>VLOOKUP(B251,nodes!A:D,4,0)</f>
        <v>30</v>
      </c>
      <c r="J251" s="4">
        <f>VLOOKUP(C251,nodes!A:D,2,0)</f>
        <v>60</v>
      </c>
      <c r="K251" s="4">
        <f>VLOOKUP(C251,nodes!A:D,4,0)</f>
        <v>0</v>
      </c>
      <c r="L251" s="4">
        <f t="shared" si="20"/>
        <v>30</v>
      </c>
      <c r="N251" s="12">
        <f t="shared" si="21"/>
        <v>7437500</v>
      </c>
      <c r="O251" s="12">
        <f t="shared" si="22"/>
        <v>42840000</v>
      </c>
      <c r="P251" s="12">
        <f t="shared" si="23"/>
        <v>11900</v>
      </c>
    </row>
    <row r="252" spans="1:16" x14ac:dyDescent="0.25">
      <c r="A252" s="3">
        <v>251</v>
      </c>
      <c r="B252" s="3">
        <v>4</v>
      </c>
      <c r="C252" s="3">
        <v>25</v>
      </c>
      <c r="D252" s="2">
        <v>11140</v>
      </c>
      <c r="E252" s="2">
        <f t="shared" si="18"/>
        <v>5492.5</v>
      </c>
      <c r="F252" s="2">
        <v>2380</v>
      </c>
      <c r="G252" s="2">
        <f t="shared" si="19"/>
        <v>991.66666666666674</v>
      </c>
      <c r="H252" s="4">
        <f>VLOOKUP(B252,nodes!A:D,2,0)</f>
        <v>90</v>
      </c>
      <c r="I252" s="4">
        <f>VLOOKUP(B252,nodes!A:D,4,0)</f>
        <v>300</v>
      </c>
      <c r="J252" s="4">
        <f>VLOOKUP(C252,nodes!A:D,2,0)</f>
        <v>90</v>
      </c>
      <c r="K252" s="4">
        <f>VLOOKUP(C252,nodes!A:D,4,0)</f>
        <v>270</v>
      </c>
      <c r="L252" s="4">
        <f t="shared" si="20"/>
        <v>30</v>
      </c>
      <c r="N252" s="12">
        <f t="shared" si="21"/>
        <v>7437500</v>
      </c>
      <c r="O252" s="12">
        <f t="shared" si="22"/>
        <v>42840000</v>
      </c>
      <c r="P252" s="12">
        <f t="shared" si="23"/>
        <v>11900</v>
      </c>
    </row>
    <row r="253" spans="1:16" x14ac:dyDescent="0.25">
      <c r="A253" s="3">
        <v>252</v>
      </c>
      <c r="B253" s="3">
        <v>25</v>
      </c>
      <c r="C253" s="3">
        <v>46</v>
      </c>
      <c r="D253" s="2">
        <v>11140</v>
      </c>
      <c r="E253" s="2">
        <f t="shared" si="18"/>
        <v>5492.5</v>
      </c>
      <c r="F253" s="2">
        <v>2380</v>
      </c>
      <c r="G253" s="2">
        <f t="shared" si="19"/>
        <v>991.66666666666674</v>
      </c>
      <c r="H253" s="4">
        <f>VLOOKUP(B253,nodes!A:D,2,0)</f>
        <v>90</v>
      </c>
      <c r="I253" s="4">
        <f>VLOOKUP(B253,nodes!A:D,4,0)</f>
        <v>270</v>
      </c>
      <c r="J253" s="4">
        <f>VLOOKUP(C253,nodes!A:D,2,0)</f>
        <v>90</v>
      </c>
      <c r="K253" s="4">
        <f>VLOOKUP(C253,nodes!A:D,4,0)</f>
        <v>240</v>
      </c>
      <c r="L253" s="4">
        <f t="shared" si="20"/>
        <v>30</v>
      </c>
      <c r="N253" s="12">
        <f t="shared" si="21"/>
        <v>7437500</v>
      </c>
      <c r="O253" s="12">
        <f t="shared" si="22"/>
        <v>42840000</v>
      </c>
      <c r="P253" s="12">
        <f t="shared" si="23"/>
        <v>11900</v>
      </c>
    </row>
    <row r="254" spans="1:16" x14ac:dyDescent="0.25">
      <c r="A254" s="3">
        <v>253</v>
      </c>
      <c r="B254" s="3">
        <v>46</v>
      </c>
      <c r="C254" s="3">
        <v>67</v>
      </c>
      <c r="D254" s="2">
        <v>11140</v>
      </c>
      <c r="E254" s="2">
        <f t="shared" si="18"/>
        <v>5492.5</v>
      </c>
      <c r="F254" s="2">
        <v>2380</v>
      </c>
      <c r="G254" s="2">
        <f t="shared" si="19"/>
        <v>991.66666666666674</v>
      </c>
      <c r="H254" s="4">
        <f>VLOOKUP(B254,nodes!A:D,2,0)</f>
        <v>90</v>
      </c>
      <c r="I254" s="4">
        <f>VLOOKUP(B254,nodes!A:D,4,0)</f>
        <v>240</v>
      </c>
      <c r="J254" s="4">
        <f>VLOOKUP(C254,nodes!A:D,2,0)</f>
        <v>90</v>
      </c>
      <c r="K254" s="4">
        <f>VLOOKUP(C254,nodes!A:D,4,0)</f>
        <v>210</v>
      </c>
      <c r="L254" s="4">
        <f t="shared" si="20"/>
        <v>30</v>
      </c>
      <c r="N254" s="12">
        <f t="shared" si="21"/>
        <v>7437500</v>
      </c>
      <c r="O254" s="12">
        <f t="shared" si="22"/>
        <v>42840000</v>
      </c>
      <c r="P254" s="12">
        <f t="shared" si="23"/>
        <v>11900</v>
      </c>
    </row>
    <row r="255" spans="1:16" x14ac:dyDescent="0.25">
      <c r="A255" s="3">
        <v>254</v>
      </c>
      <c r="B255" s="3">
        <v>67</v>
      </c>
      <c r="C255" s="3">
        <v>88</v>
      </c>
      <c r="D255" s="2">
        <v>11140</v>
      </c>
      <c r="E255" s="2">
        <f t="shared" si="18"/>
        <v>5492.5</v>
      </c>
      <c r="F255" s="2">
        <v>2380</v>
      </c>
      <c r="G255" s="2">
        <f t="shared" si="19"/>
        <v>991.66666666666674</v>
      </c>
      <c r="H255" s="4">
        <f>VLOOKUP(B255,nodes!A:D,2,0)</f>
        <v>90</v>
      </c>
      <c r="I255" s="4">
        <f>VLOOKUP(B255,nodes!A:D,4,0)</f>
        <v>210</v>
      </c>
      <c r="J255" s="4">
        <f>VLOOKUP(C255,nodes!A:D,2,0)</f>
        <v>90</v>
      </c>
      <c r="K255" s="4">
        <f>VLOOKUP(C255,nodes!A:D,4,0)</f>
        <v>180</v>
      </c>
      <c r="L255" s="4">
        <f t="shared" si="20"/>
        <v>30</v>
      </c>
      <c r="N255" s="12">
        <f t="shared" si="21"/>
        <v>7437500</v>
      </c>
      <c r="O255" s="12">
        <f t="shared" si="22"/>
        <v>42840000</v>
      </c>
      <c r="P255" s="12">
        <f t="shared" si="23"/>
        <v>11900</v>
      </c>
    </row>
    <row r="256" spans="1:16" x14ac:dyDescent="0.25">
      <c r="A256" s="3">
        <v>255</v>
      </c>
      <c r="B256" s="3">
        <v>88</v>
      </c>
      <c r="C256" s="3">
        <v>109</v>
      </c>
      <c r="D256" s="2">
        <v>11140</v>
      </c>
      <c r="E256" s="2">
        <f t="shared" si="18"/>
        <v>5492.5</v>
      </c>
      <c r="F256" s="2">
        <v>2380</v>
      </c>
      <c r="G256" s="2">
        <f t="shared" si="19"/>
        <v>991.66666666666674</v>
      </c>
      <c r="H256" s="4">
        <f>VLOOKUP(B256,nodes!A:D,2,0)</f>
        <v>90</v>
      </c>
      <c r="I256" s="4">
        <f>VLOOKUP(B256,nodes!A:D,4,0)</f>
        <v>180</v>
      </c>
      <c r="J256" s="4">
        <f>VLOOKUP(C256,nodes!A:D,2,0)</f>
        <v>90</v>
      </c>
      <c r="K256" s="4">
        <f>VLOOKUP(C256,nodes!A:D,4,0)</f>
        <v>150</v>
      </c>
      <c r="L256" s="4">
        <f t="shared" si="20"/>
        <v>30</v>
      </c>
      <c r="N256" s="12">
        <f t="shared" si="21"/>
        <v>7437500</v>
      </c>
      <c r="O256" s="12">
        <f t="shared" si="22"/>
        <v>42840000</v>
      </c>
      <c r="P256" s="12">
        <f t="shared" si="23"/>
        <v>11900</v>
      </c>
    </row>
    <row r="257" spans="1:16" x14ac:dyDescent="0.25">
      <c r="A257" s="3">
        <v>256</v>
      </c>
      <c r="B257" s="3">
        <v>109</v>
      </c>
      <c r="C257" s="3">
        <v>130</v>
      </c>
      <c r="D257" s="2">
        <v>11140</v>
      </c>
      <c r="E257" s="2">
        <f t="shared" si="18"/>
        <v>5492.5</v>
      </c>
      <c r="F257" s="2">
        <v>2380</v>
      </c>
      <c r="G257" s="2">
        <f t="shared" si="19"/>
        <v>991.66666666666674</v>
      </c>
      <c r="H257" s="4">
        <f>VLOOKUP(B257,nodes!A:D,2,0)</f>
        <v>90</v>
      </c>
      <c r="I257" s="4">
        <f>VLOOKUP(B257,nodes!A:D,4,0)</f>
        <v>150</v>
      </c>
      <c r="J257" s="4">
        <f>VLOOKUP(C257,nodes!A:D,2,0)</f>
        <v>90</v>
      </c>
      <c r="K257" s="4">
        <f>VLOOKUP(C257,nodes!A:D,4,0)</f>
        <v>120</v>
      </c>
      <c r="L257" s="4">
        <f t="shared" si="20"/>
        <v>30</v>
      </c>
      <c r="N257" s="12">
        <f t="shared" si="21"/>
        <v>7437500</v>
      </c>
      <c r="O257" s="12">
        <f t="shared" si="22"/>
        <v>42840000</v>
      </c>
      <c r="P257" s="12">
        <f t="shared" si="23"/>
        <v>11900</v>
      </c>
    </row>
    <row r="258" spans="1:16" x14ac:dyDescent="0.25">
      <c r="A258" s="3">
        <v>257</v>
      </c>
      <c r="B258" s="3">
        <v>130</v>
      </c>
      <c r="C258" s="3">
        <v>151</v>
      </c>
      <c r="D258" s="2">
        <v>11140</v>
      </c>
      <c r="E258" s="2">
        <f t="shared" si="18"/>
        <v>5492.5</v>
      </c>
      <c r="F258" s="2">
        <v>2380</v>
      </c>
      <c r="G258" s="2">
        <f t="shared" si="19"/>
        <v>991.66666666666674</v>
      </c>
      <c r="H258" s="4">
        <f>VLOOKUP(B258,nodes!A:D,2,0)</f>
        <v>90</v>
      </c>
      <c r="I258" s="4">
        <f>VLOOKUP(B258,nodes!A:D,4,0)</f>
        <v>120</v>
      </c>
      <c r="J258" s="4">
        <f>VLOOKUP(C258,nodes!A:D,2,0)</f>
        <v>90</v>
      </c>
      <c r="K258" s="4">
        <f>VLOOKUP(C258,nodes!A:D,4,0)</f>
        <v>90</v>
      </c>
      <c r="L258" s="4">
        <f t="shared" si="20"/>
        <v>30</v>
      </c>
      <c r="N258" s="12">
        <f t="shared" si="21"/>
        <v>7437500</v>
      </c>
      <c r="O258" s="12">
        <f t="shared" si="22"/>
        <v>42840000</v>
      </c>
      <c r="P258" s="12">
        <f t="shared" si="23"/>
        <v>11900</v>
      </c>
    </row>
    <row r="259" spans="1:16" x14ac:dyDescent="0.25">
      <c r="A259" s="3">
        <v>258</v>
      </c>
      <c r="B259" s="3">
        <v>151</v>
      </c>
      <c r="C259" s="3">
        <v>172</v>
      </c>
      <c r="D259" s="2">
        <v>11140</v>
      </c>
      <c r="E259" s="2">
        <f t="shared" ref="E259:E322" si="24">(30*13^3)/12</f>
        <v>5492.5</v>
      </c>
      <c r="F259" s="2">
        <v>2380</v>
      </c>
      <c r="G259" s="2">
        <f t="shared" ref="G259:G322" si="25">F259/(2*(1+0.2))</f>
        <v>991.66666666666674</v>
      </c>
      <c r="H259" s="4">
        <f>VLOOKUP(B259,nodes!A:D,2,0)</f>
        <v>90</v>
      </c>
      <c r="I259" s="4">
        <f>VLOOKUP(B259,nodes!A:D,4,0)</f>
        <v>90</v>
      </c>
      <c r="J259" s="4">
        <f>VLOOKUP(C259,nodes!A:D,2,0)</f>
        <v>90</v>
      </c>
      <c r="K259" s="4">
        <f>VLOOKUP(C259,nodes!A:D,4,0)</f>
        <v>60</v>
      </c>
      <c r="L259" s="4">
        <f t="shared" ref="L259:L322" si="26">((J259-H259)^2+(K259-I259)^2)^0.5</f>
        <v>30</v>
      </c>
      <c r="N259" s="12">
        <f t="shared" ref="N259:N322" si="27">12*2380*60*(25^3)/(300*12)</f>
        <v>7437500</v>
      </c>
      <c r="O259" s="12">
        <f t="shared" ref="O259:O322" si="28">12*2380*25*(60^3)/(300*12)</f>
        <v>42840000</v>
      </c>
      <c r="P259" s="12">
        <f t="shared" ref="P259:P322" si="29">2380*25*60/300</f>
        <v>11900</v>
      </c>
    </row>
    <row r="260" spans="1:16" x14ac:dyDescent="0.25">
      <c r="A260" s="3">
        <v>259</v>
      </c>
      <c r="B260" s="3">
        <v>172</v>
      </c>
      <c r="C260" s="3">
        <v>193</v>
      </c>
      <c r="D260" s="2">
        <v>11140</v>
      </c>
      <c r="E260" s="2">
        <f t="shared" si="24"/>
        <v>5492.5</v>
      </c>
      <c r="F260" s="2">
        <v>2380</v>
      </c>
      <c r="G260" s="2">
        <f t="shared" si="25"/>
        <v>991.66666666666674</v>
      </c>
      <c r="H260" s="4">
        <f>VLOOKUP(B260,nodes!A:D,2,0)</f>
        <v>90</v>
      </c>
      <c r="I260" s="4">
        <f>VLOOKUP(B260,nodes!A:D,4,0)</f>
        <v>60</v>
      </c>
      <c r="J260" s="4">
        <f>VLOOKUP(C260,nodes!A:D,2,0)</f>
        <v>90</v>
      </c>
      <c r="K260" s="4">
        <f>VLOOKUP(C260,nodes!A:D,4,0)</f>
        <v>30</v>
      </c>
      <c r="L260" s="4">
        <f t="shared" si="26"/>
        <v>30</v>
      </c>
      <c r="N260" s="12">
        <f t="shared" si="27"/>
        <v>7437500</v>
      </c>
      <c r="O260" s="12">
        <f t="shared" si="28"/>
        <v>42840000</v>
      </c>
      <c r="P260" s="12">
        <f t="shared" si="29"/>
        <v>11900</v>
      </c>
    </row>
    <row r="261" spans="1:16" x14ac:dyDescent="0.25">
      <c r="A261" s="3">
        <v>260</v>
      </c>
      <c r="B261" s="3">
        <v>193</v>
      </c>
      <c r="C261" s="3">
        <v>214</v>
      </c>
      <c r="D261" s="2">
        <v>11140</v>
      </c>
      <c r="E261" s="2">
        <f t="shared" si="24"/>
        <v>5492.5</v>
      </c>
      <c r="F261" s="2">
        <v>2380</v>
      </c>
      <c r="G261" s="2">
        <f t="shared" si="25"/>
        <v>991.66666666666674</v>
      </c>
      <c r="H261" s="4">
        <f>VLOOKUP(B261,nodes!A:D,2,0)</f>
        <v>90</v>
      </c>
      <c r="I261" s="4">
        <f>VLOOKUP(B261,nodes!A:D,4,0)</f>
        <v>30</v>
      </c>
      <c r="J261" s="4">
        <f>VLOOKUP(C261,nodes!A:D,2,0)</f>
        <v>90</v>
      </c>
      <c r="K261" s="4">
        <f>VLOOKUP(C261,nodes!A:D,4,0)</f>
        <v>0</v>
      </c>
      <c r="L261" s="4">
        <f t="shared" si="26"/>
        <v>30</v>
      </c>
      <c r="N261" s="12">
        <f t="shared" si="27"/>
        <v>7437500</v>
      </c>
      <c r="O261" s="12">
        <f t="shared" si="28"/>
        <v>42840000</v>
      </c>
      <c r="P261" s="12">
        <f t="shared" si="29"/>
        <v>11900</v>
      </c>
    </row>
    <row r="262" spans="1:16" x14ac:dyDescent="0.25">
      <c r="A262" s="3">
        <v>261</v>
      </c>
      <c r="B262" s="3">
        <v>5</v>
      </c>
      <c r="C262" s="3">
        <v>26</v>
      </c>
      <c r="D262" s="2">
        <v>11140</v>
      </c>
      <c r="E262" s="2">
        <f t="shared" si="24"/>
        <v>5492.5</v>
      </c>
      <c r="F262" s="2">
        <v>2380</v>
      </c>
      <c r="G262" s="2">
        <f t="shared" si="25"/>
        <v>991.66666666666674</v>
      </c>
      <c r="H262" s="4">
        <f>VLOOKUP(B262,nodes!A:D,2,0)</f>
        <v>120</v>
      </c>
      <c r="I262" s="4">
        <f>VLOOKUP(B262,nodes!A:D,4,0)</f>
        <v>300</v>
      </c>
      <c r="J262" s="4">
        <f>VLOOKUP(C262,nodes!A:D,2,0)</f>
        <v>120</v>
      </c>
      <c r="K262" s="4">
        <f>VLOOKUP(C262,nodes!A:D,4,0)</f>
        <v>270</v>
      </c>
      <c r="L262" s="4">
        <f t="shared" si="26"/>
        <v>30</v>
      </c>
      <c r="N262" s="12">
        <f t="shared" si="27"/>
        <v>7437500</v>
      </c>
      <c r="O262" s="12">
        <f t="shared" si="28"/>
        <v>42840000</v>
      </c>
      <c r="P262" s="12">
        <f t="shared" si="29"/>
        <v>11900</v>
      </c>
    </row>
    <row r="263" spans="1:16" x14ac:dyDescent="0.25">
      <c r="A263" s="3">
        <v>262</v>
      </c>
      <c r="B263" s="3">
        <v>26</v>
      </c>
      <c r="C263" s="3">
        <v>47</v>
      </c>
      <c r="D263" s="2">
        <v>11140</v>
      </c>
      <c r="E263" s="2">
        <f t="shared" si="24"/>
        <v>5492.5</v>
      </c>
      <c r="F263" s="2">
        <v>2380</v>
      </c>
      <c r="G263" s="2">
        <f t="shared" si="25"/>
        <v>991.66666666666674</v>
      </c>
      <c r="H263" s="4">
        <f>VLOOKUP(B263,nodes!A:D,2,0)</f>
        <v>120</v>
      </c>
      <c r="I263" s="4">
        <f>VLOOKUP(B263,nodes!A:D,4,0)</f>
        <v>270</v>
      </c>
      <c r="J263" s="4">
        <f>VLOOKUP(C263,nodes!A:D,2,0)</f>
        <v>120</v>
      </c>
      <c r="K263" s="4">
        <f>VLOOKUP(C263,nodes!A:D,4,0)</f>
        <v>240</v>
      </c>
      <c r="L263" s="4">
        <f t="shared" si="26"/>
        <v>30</v>
      </c>
      <c r="N263" s="12">
        <f t="shared" si="27"/>
        <v>7437500</v>
      </c>
      <c r="O263" s="12">
        <f t="shared" si="28"/>
        <v>42840000</v>
      </c>
      <c r="P263" s="12">
        <f t="shared" si="29"/>
        <v>11900</v>
      </c>
    </row>
    <row r="264" spans="1:16" x14ac:dyDescent="0.25">
      <c r="A264" s="3">
        <v>263</v>
      </c>
      <c r="B264" s="3">
        <v>47</v>
      </c>
      <c r="C264" s="3">
        <v>68</v>
      </c>
      <c r="D264" s="2">
        <v>11140</v>
      </c>
      <c r="E264" s="2">
        <f t="shared" si="24"/>
        <v>5492.5</v>
      </c>
      <c r="F264" s="2">
        <v>2380</v>
      </c>
      <c r="G264" s="2">
        <f t="shared" si="25"/>
        <v>991.66666666666674</v>
      </c>
      <c r="H264" s="4">
        <f>VLOOKUP(B264,nodes!A:D,2,0)</f>
        <v>120</v>
      </c>
      <c r="I264" s="4">
        <f>VLOOKUP(B264,nodes!A:D,4,0)</f>
        <v>240</v>
      </c>
      <c r="J264" s="4">
        <f>VLOOKUP(C264,nodes!A:D,2,0)</f>
        <v>120</v>
      </c>
      <c r="K264" s="4">
        <f>VLOOKUP(C264,nodes!A:D,4,0)</f>
        <v>210</v>
      </c>
      <c r="L264" s="4">
        <f t="shared" si="26"/>
        <v>30</v>
      </c>
      <c r="N264" s="12">
        <f t="shared" si="27"/>
        <v>7437500</v>
      </c>
      <c r="O264" s="12">
        <f t="shared" si="28"/>
        <v>42840000</v>
      </c>
      <c r="P264" s="12">
        <f t="shared" si="29"/>
        <v>11900</v>
      </c>
    </row>
    <row r="265" spans="1:16" x14ac:dyDescent="0.25">
      <c r="A265" s="3">
        <v>264</v>
      </c>
      <c r="B265" s="3">
        <v>68</v>
      </c>
      <c r="C265" s="3">
        <v>89</v>
      </c>
      <c r="D265" s="2">
        <v>11140</v>
      </c>
      <c r="E265" s="2">
        <f t="shared" si="24"/>
        <v>5492.5</v>
      </c>
      <c r="F265" s="2">
        <v>2380</v>
      </c>
      <c r="G265" s="2">
        <f t="shared" si="25"/>
        <v>991.66666666666674</v>
      </c>
      <c r="H265" s="4">
        <f>VLOOKUP(B265,nodes!A:D,2,0)</f>
        <v>120</v>
      </c>
      <c r="I265" s="4">
        <f>VLOOKUP(B265,nodes!A:D,4,0)</f>
        <v>210</v>
      </c>
      <c r="J265" s="4">
        <f>VLOOKUP(C265,nodes!A:D,2,0)</f>
        <v>120</v>
      </c>
      <c r="K265" s="4">
        <f>VLOOKUP(C265,nodes!A:D,4,0)</f>
        <v>180</v>
      </c>
      <c r="L265" s="4">
        <f t="shared" si="26"/>
        <v>30</v>
      </c>
      <c r="N265" s="12">
        <f t="shared" si="27"/>
        <v>7437500</v>
      </c>
      <c r="O265" s="12">
        <f t="shared" si="28"/>
        <v>42840000</v>
      </c>
      <c r="P265" s="12">
        <f t="shared" si="29"/>
        <v>11900</v>
      </c>
    </row>
    <row r="266" spans="1:16" x14ac:dyDescent="0.25">
      <c r="A266" s="3">
        <v>265</v>
      </c>
      <c r="B266" s="3">
        <v>89</v>
      </c>
      <c r="C266" s="3">
        <v>110</v>
      </c>
      <c r="D266" s="2">
        <v>11140</v>
      </c>
      <c r="E266" s="2">
        <f t="shared" si="24"/>
        <v>5492.5</v>
      </c>
      <c r="F266" s="2">
        <v>2380</v>
      </c>
      <c r="G266" s="2">
        <f t="shared" si="25"/>
        <v>991.66666666666674</v>
      </c>
      <c r="H266" s="4">
        <f>VLOOKUP(B266,nodes!A:D,2,0)</f>
        <v>120</v>
      </c>
      <c r="I266" s="4">
        <f>VLOOKUP(B266,nodes!A:D,4,0)</f>
        <v>180</v>
      </c>
      <c r="J266" s="4">
        <f>VLOOKUP(C266,nodes!A:D,2,0)</f>
        <v>120</v>
      </c>
      <c r="K266" s="4">
        <f>VLOOKUP(C266,nodes!A:D,4,0)</f>
        <v>150</v>
      </c>
      <c r="L266" s="4">
        <f t="shared" si="26"/>
        <v>30</v>
      </c>
      <c r="N266" s="12">
        <f t="shared" si="27"/>
        <v>7437500</v>
      </c>
      <c r="O266" s="12">
        <f t="shared" si="28"/>
        <v>42840000</v>
      </c>
      <c r="P266" s="12">
        <f t="shared" si="29"/>
        <v>11900</v>
      </c>
    </row>
    <row r="267" spans="1:16" x14ac:dyDescent="0.25">
      <c r="A267" s="3">
        <v>266</v>
      </c>
      <c r="B267" s="3">
        <v>110</v>
      </c>
      <c r="C267" s="3">
        <v>131</v>
      </c>
      <c r="D267" s="2">
        <v>11140</v>
      </c>
      <c r="E267" s="2">
        <f t="shared" si="24"/>
        <v>5492.5</v>
      </c>
      <c r="F267" s="2">
        <v>2380</v>
      </c>
      <c r="G267" s="2">
        <f t="shared" si="25"/>
        <v>991.66666666666674</v>
      </c>
      <c r="H267" s="4">
        <f>VLOOKUP(B267,nodes!A:D,2,0)</f>
        <v>120</v>
      </c>
      <c r="I267" s="4">
        <f>VLOOKUP(B267,nodes!A:D,4,0)</f>
        <v>150</v>
      </c>
      <c r="J267" s="4">
        <f>VLOOKUP(C267,nodes!A:D,2,0)</f>
        <v>120</v>
      </c>
      <c r="K267" s="4">
        <f>VLOOKUP(C267,nodes!A:D,4,0)</f>
        <v>120</v>
      </c>
      <c r="L267" s="4">
        <f t="shared" si="26"/>
        <v>30</v>
      </c>
      <c r="N267" s="12">
        <f t="shared" si="27"/>
        <v>7437500</v>
      </c>
      <c r="O267" s="12">
        <f t="shared" si="28"/>
        <v>42840000</v>
      </c>
      <c r="P267" s="12">
        <f t="shared" si="29"/>
        <v>11900</v>
      </c>
    </row>
    <row r="268" spans="1:16" x14ac:dyDescent="0.25">
      <c r="A268" s="3">
        <v>267</v>
      </c>
      <c r="B268" s="3">
        <v>131</v>
      </c>
      <c r="C268" s="3">
        <v>152</v>
      </c>
      <c r="D268" s="2">
        <v>11140</v>
      </c>
      <c r="E268" s="2">
        <f t="shared" si="24"/>
        <v>5492.5</v>
      </c>
      <c r="F268" s="2">
        <v>2380</v>
      </c>
      <c r="G268" s="2">
        <f t="shared" si="25"/>
        <v>991.66666666666674</v>
      </c>
      <c r="H268" s="4">
        <f>VLOOKUP(B268,nodes!A:D,2,0)</f>
        <v>120</v>
      </c>
      <c r="I268" s="4">
        <f>VLOOKUP(B268,nodes!A:D,4,0)</f>
        <v>120</v>
      </c>
      <c r="J268" s="4">
        <f>VLOOKUP(C268,nodes!A:D,2,0)</f>
        <v>120</v>
      </c>
      <c r="K268" s="4">
        <f>VLOOKUP(C268,nodes!A:D,4,0)</f>
        <v>90</v>
      </c>
      <c r="L268" s="4">
        <f t="shared" si="26"/>
        <v>30</v>
      </c>
      <c r="N268" s="12">
        <f t="shared" si="27"/>
        <v>7437500</v>
      </c>
      <c r="O268" s="12">
        <f t="shared" si="28"/>
        <v>42840000</v>
      </c>
      <c r="P268" s="12">
        <f t="shared" si="29"/>
        <v>11900</v>
      </c>
    </row>
    <row r="269" spans="1:16" x14ac:dyDescent="0.25">
      <c r="A269" s="3">
        <v>268</v>
      </c>
      <c r="B269" s="3">
        <v>152</v>
      </c>
      <c r="C269" s="3">
        <v>173</v>
      </c>
      <c r="D269" s="2">
        <v>11140</v>
      </c>
      <c r="E269" s="2">
        <f t="shared" si="24"/>
        <v>5492.5</v>
      </c>
      <c r="F269" s="2">
        <v>2380</v>
      </c>
      <c r="G269" s="2">
        <f t="shared" si="25"/>
        <v>991.66666666666674</v>
      </c>
      <c r="H269" s="4">
        <f>VLOOKUP(B269,nodes!A:D,2,0)</f>
        <v>120</v>
      </c>
      <c r="I269" s="4">
        <f>VLOOKUP(B269,nodes!A:D,4,0)</f>
        <v>90</v>
      </c>
      <c r="J269" s="4">
        <f>VLOOKUP(C269,nodes!A:D,2,0)</f>
        <v>120</v>
      </c>
      <c r="K269" s="4">
        <f>VLOOKUP(C269,nodes!A:D,4,0)</f>
        <v>60</v>
      </c>
      <c r="L269" s="4">
        <f t="shared" si="26"/>
        <v>30</v>
      </c>
      <c r="N269" s="12">
        <f t="shared" si="27"/>
        <v>7437500</v>
      </c>
      <c r="O269" s="12">
        <f t="shared" si="28"/>
        <v>42840000</v>
      </c>
      <c r="P269" s="12">
        <f t="shared" si="29"/>
        <v>11900</v>
      </c>
    </row>
    <row r="270" spans="1:16" x14ac:dyDescent="0.25">
      <c r="A270" s="3">
        <v>269</v>
      </c>
      <c r="B270" s="3">
        <v>173</v>
      </c>
      <c r="C270" s="3">
        <v>194</v>
      </c>
      <c r="D270" s="2">
        <v>11140</v>
      </c>
      <c r="E270" s="2">
        <f t="shared" si="24"/>
        <v>5492.5</v>
      </c>
      <c r="F270" s="2">
        <v>2380</v>
      </c>
      <c r="G270" s="2">
        <f t="shared" si="25"/>
        <v>991.66666666666674</v>
      </c>
      <c r="H270" s="4">
        <f>VLOOKUP(B270,nodes!A:D,2,0)</f>
        <v>120</v>
      </c>
      <c r="I270" s="4">
        <f>VLOOKUP(B270,nodes!A:D,4,0)</f>
        <v>60</v>
      </c>
      <c r="J270" s="4">
        <f>VLOOKUP(C270,nodes!A:D,2,0)</f>
        <v>120</v>
      </c>
      <c r="K270" s="4">
        <f>VLOOKUP(C270,nodes!A:D,4,0)</f>
        <v>30</v>
      </c>
      <c r="L270" s="4">
        <f t="shared" si="26"/>
        <v>30</v>
      </c>
      <c r="N270" s="12">
        <f t="shared" si="27"/>
        <v>7437500</v>
      </c>
      <c r="O270" s="12">
        <f t="shared" si="28"/>
        <v>42840000</v>
      </c>
      <c r="P270" s="12">
        <f t="shared" si="29"/>
        <v>11900</v>
      </c>
    </row>
    <row r="271" spans="1:16" x14ac:dyDescent="0.25">
      <c r="A271" s="3">
        <v>270</v>
      </c>
      <c r="B271" s="3">
        <v>194</v>
      </c>
      <c r="C271" s="3">
        <v>215</v>
      </c>
      <c r="D271" s="2">
        <v>11140</v>
      </c>
      <c r="E271" s="2">
        <f t="shared" si="24"/>
        <v>5492.5</v>
      </c>
      <c r="F271" s="2">
        <v>2380</v>
      </c>
      <c r="G271" s="2">
        <f t="shared" si="25"/>
        <v>991.66666666666674</v>
      </c>
      <c r="H271" s="4">
        <f>VLOOKUP(B271,nodes!A:D,2,0)</f>
        <v>120</v>
      </c>
      <c r="I271" s="4">
        <f>VLOOKUP(B271,nodes!A:D,4,0)</f>
        <v>30</v>
      </c>
      <c r="J271" s="4">
        <f>VLOOKUP(C271,nodes!A:D,2,0)</f>
        <v>120</v>
      </c>
      <c r="K271" s="4">
        <f>VLOOKUP(C271,nodes!A:D,4,0)</f>
        <v>0</v>
      </c>
      <c r="L271" s="4">
        <f t="shared" si="26"/>
        <v>30</v>
      </c>
      <c r="N271" s="12">
        <f t="shared" si="27"/>
        <v>7437500</v>
      </c>
      <c r="O271" s="12">
        <f t="shared" si="28"/>
        <v>42840000</v>
      </c>
      <c r="P271" s="12">
        <f t="shared" si="29"/>
        <v>11900</v>
      </c>
    </row>
    <row r="272" spans="1:16" x14ac:dyDescent="0.25">
      <c r="A272" s="3">
        <v>271</v>
      </c>
      <c r="B272" s="3">
        <v>6</v>
      </c>
      <c r="C272" s="3">
        <v>27</v>
      </c>
      <c r="D272" s="2">
        <v>11140</v>
      </c>
      <c r="E272" s="2">
        <f t="shared" si="24"/>
        <v>5492.5</v>
      </c>
      <c r="F272" s="2">
        <v>2380</v>
      </c>
      <c r="G272" s="2">
        <f t="shared" si="25"/>
        <v>991.66666666666674</v>
      </c>
      <c r="H272" s="4">
        <f>VLOOKUP(B272,nodes!A:D,2,0)</f>
        <v>150</v>
      </c>
      <c r="I272" s="4">
        <f>VLOOKUP(B272,nodes!A:D,4,0)</f>
        <v>300</v>
      </c>
      <c r="J272" s="4">
        <f>VLOOKUP(C272,nodes!A:D,2,0)</f>
        <v>150</v>
      </c>
      <c r="K272" s="4">
        <f>VLOOKUP(C272,nodes!A:D,4,0)</f>
        <v>270</v>
      </c>
      <c r="L272" s="4">
        <f t="shared" si="26"/>
        <v>30</v>
      </c>
      <c r="N272" s="12">
        <f t="shared" si="27"/>
        <v>7437500</v>
      </c>
      <c r="O272" s="12">
        <f t="shared" si="28"/>
        <v>42840000</v>
      </c>
      <c r="P272" s="12">
        <f t="shared" si="29"/>
        <v>11900</v>
      </c>
    </row>
    <row r="273" spans="1:16" x14ac:dyDescent="0.25">
      <c r="A273" s="3">
        <v>272</v>
      </c>
      <c r="B273" s="3">
        <v>27</v>
      </c>
      <c r="C273" s="3">
        <v>48</v>
      </c>
      <c r="D273" s="2">
        <v>11140</v>
      </c>
      <c r="E273" s="2">
        <f t="shared" si="24"/>
        <v>5492.5</v>
      </c>
      <c r="F273" s="2">
        <v>2380</v>
      </c>
      <c r="G273" s="2">
        <f t="shared" si="25"/>
        <v>991.66666666666674</v>
      </c>
      <c r="H273" s="4">
        <f>VLOOKUP(B273,nodes!A:D,2,0)</f>
        <v>150</v>
      </c>
      <c r="I273" s="4">
        <f>VLOOKUP(B273,nodes!A:D,4,0)</f>
        <v>270</v>
      </c>
      <c r="J273" s="4">
        <f>VLOOKUP(C273,nodes!A:D,2,0)</f>
        <v>150</v>
      </c>
      <c r="K273" s="4">
        <f>VLOOKUP(C273,nodes!A:D,4,0)</f>
        <v>240</v>
      </c>
      <c r="L273" s="4">
        <f t="shared" si="26"/>
        <v>30</v>
      </c>
      <c r="N273" s="12">
        <f t="shared" si="27"/>
        <v>7437500</v>
      </c>
      <c r="O273" s="12">
        <f t="shared" si="28"/>
        <v>42840000</v>
      </c>
      <c r="P273" s="12">
        <f t="shared" si="29"/>
        <v>11900</v>
      </c>
    </row>
    <row r="274" spans="1:16" x14ac:dyDescent="0.25">
      <c r="A274" s="3">
        <v>273</v>
      </c>
      <c r="B274" s="3">
        <v>48</v>
      </c>
      <c r="C274" s="3">
        <v>69</v>
      </c>
      <c r="D274" s="2">
        <v>11140</v>
      </c>
      <c r="E274" s="2">
        <f t="shared" si="24"/>
        <v>5492.5</v>
      </c>
      <c r="F274" s="2">
        <v>2380</v>
      </c>
      <c r="G274" s="2">
        <f t="shared" si="25"/>
        <v>991.66666666666674</v>
      </c>
      <c r="H274" s="4">
        <f>VLOOKUP(B274,nodes!A:D,2,0)</f>
        <v>150</v>
      </c>
      <c r="I274" s="4">
        <f>VLOOKUP(B274,nodes!A:D,4,0)</f>
        <v>240</v>
      </c>
      <c r="J274" s="4">
        <f>VLOOKUP(C274,nodes!A:D,2,0)</f>
        <v>150</v>
      </c>
      <c r="K274" s="4">
        <f>VLOOKUP(C274,nodes!A:D,4,0)</f>
        <v>210</v>
      </c>
      <c r="L274" s="4">
        <f t="shared" si="26"/>
        <v>30</v>
      </c>
      <c r="N274" s="12">
        <f t="shared" si="27"/>
        <v>7437500</v>
      </c>
      <c r="O274" s="12">
        <f t="shared" si="28"/>
        <v>42840000</v>
      </c>
      <c r="P274" s="12">
        <f t="shared" si="29"/>
        <v>11900</v>
      </c>
    </row>
    <row r="275" spans="1:16" x14ac:dyDescent="0.25">
      <c r="A275" s="3">
        <v>274</v>
      </c>
      <c r="B275" s="3">
        <v>69</v>
      </c>
      <c r="C275" s="3">
        <v>90</v>
      </c>
      <c r="D275" s="2">
        <v>11140</v>
      </c>
      <c r="E275" s="2">
        <f t="shared" si="24"/>
        <v>5492.5</v>
      </c>
      <c r="F275" s="2">
        <v>2380</v>
      </c>
      <c r="G275" s="2">
        <f t="shared" si="25"/>
        <v>991.66666666666674</v>
      </c>
      <c r="H275" s="4">
        <f>VLOOKUP(B275,nodes!A:D,2,0)</f>
        <v>150</v>
      </c>
      <c r="I275" s="4">
        <f>VLOOKUP(B275,nodes!A:D,4,0)</f>
        <v>210</v>
      </c>
      <c r="J275" s="4">
        <f>VLOOKUP(C275,nodes!A:D,2,0)</f>
        <v>150</v>
      </c>
      <c r="K275" s="4">
        <f>VLOOKUP(C275,nodes!A:D,4,0)</f>
        <v>180</v>
      </c>
      <c r="L275" s="4">
        <f t="shared" si="26"/>
        <v>30</v>
      </c>
      <c r="N275" s="12">
        <f t="shared" si="27"/>
        <v>7437500</v>
      </c>
      <c r="O275" s="12">
        <f t="shared" si="28"/>
        <v>42840000</v>
      </c>
      <c r="P275" s="12">
        <f t="shared" si="29"/>
        <v>11900</v>
      </c>
    </row>
    <row r="276" spans="1:16" x14ac:dyDescent="0.25">
      <c r="A276" s="3">
        <v>275</v>
      </c>
      <c r="B276" s="3">
        <v>90</v>
      </c>
      <c r="C276" s="3">
        <v>111</v>
      </c>
      <c r="D276" s="2">
        <v>11140</v>
      </c>
      <c r="E276" s="2">
        <f t="shared" si="24"/>
        <v>5492.5</v>
      </c>
      <c r="F276" s="2">
        <v>2380</v>
      </c>
      <c r="G276" s="2">
        <f t="shared" si="25"/>
        <v>991.66666666666674</v>
      </c>
      <c r="H276" s="4">
        <f>VLOOKUP(B276,nodes!A:D,2,0)</f>
        <v>150</v>
      </c>
      <c r="I276" s="4">
        <f>VLOOKUP(B276,nodes!A:D,4,0)</f>
        <v>180</v>
      </c>
      <c r="J276" s="4">
        <f>VLOOKUP(C276,nodes!A:D,2,0)</f>
        <v>150</v>
      </c>
      <c r="K276" s="4">
        <f>VLOOKUP(C276,nodes!A:D,4,0)</f>
        <v>150</v>
      </c>
      <c r="L276" s="4">
        <f t="shared" si="26"/>
        <v>30</v>
      </c>
      <c r="N276" s="12">
        <f t="shared" si="27"/>
        <v>7437500</v>
      </c>
      <c r="O276" s="12">
        <f t="shared" si="28"/>
        <v>42840000</v>
      </c>
      <c r="P276" s="12">
        <f t="shared" si="29"/>
        <v>11900</v>
      </c>
    </row>
    <row r="277" spans="1:16" x14ac:dyDescent="0.25">
      <c r="A277" s="3">
        <v>276</v>
      </c>
      <c r="B277" s="3">
        <v>111</v>
      </c>
      <c r="C277" s="3">
        <v>132</v>
      </c>
      <c r="D277" s="2">
        <v>11140</v>
      </c>
      <c r="E277" s="2">
        <f t="shared" si="24"/>
        <v>5492.5</v>
      </c>
      <c r="F277" s="2">
        <v>2380</v>
      </c>
      <c r="G277" s="2">
        <f t="shared" si="25"/>
        <v>991.66666666666674</v>
      </c>
      <c r="H277" s="4">
        <f>VLOOKUP(B277,nodes!A:D,2,0)</f>
        <v>150</v>
      </c>
      <c r="I277" s="4">
        <f>VLOOKUP(B277,nodes!A:D,4,0)</f>
        <v>150</v>
      </c>
      <c r="J277" s="4">
        <f>VLOOKUP(C277,nodes!A:D,2,0)</f>
        <v>150</v>
      </c>
      <c r="K277" s="4">
        <f>VLOOKUP(C277,nodes!A:D,4,0)</f>
        <v>120</v>
      </c>
      <c r="L277" s="4">
        <f t="shared" si="26"/>
        <v>30</v>
      </c>
      <c r="N277" s="12">
        <f t="shared" si="27"/>
        <v>7437500</v>
      </c>
      <c r="O277" s="12">
        <f t="shared" si="28"/>
        <v>42840000</v>
      </c>
      <c r="P277" s="12">
        <f t="shared" si="29"/>
        <v>11900</v>
      </c>
    </row>
    <row r="278" spans="1:16" x14ac:dyDescent="0.25">
      <c r="A278" s="3">
        <v>277</v>
      </c>
      <c r="B278" s="3">
        <v>132</v>
      </c>
      <c r="C278" s="3">
        <v>153</v>
      </c>
      <c r="D278" s="2">
        <v>11140</v>
      </c>
      <c r="E278" s="2">
        <f t="shared" si="24"/>
        <v>5492.5</v>
      </c>
      <c r="F278" s="2">
        <v>2380</v>
      </c>
      <c r="G278" s="2">
        <f t="shared" si="25"/>
        <v>991.66666666666674</v>
      </c>
      <c r="H278" s="4">
        <f>VLOOKUP(B278,nodes!A:D,2,0)</f>
        <v>150</v>
      </c>
      <c r="I278" s="4">
        <f>VLOOKUP(B278,nodes!A:D,4,0)</f>
        <v>120</v>
      </c>
      <c r="J278" s="4">
        <f>VLOOKUP(C278,nodes!A:D,2,0)</f>
        <v>150</v>
      </c>
      <c r="K278" s="4">
        <f>VLOOKUP(C278,nodes!A:D,4,0)</f>
        <v>90</v>
      </c>
      <c r="L278" s="4">
        <f t="shared" si="26"/>
        <v>30</v>
      </c>
      <c r="N278" s="12">
        <f t="shared" si="27"/>
        <v>7437500</v>
      </c>
      <c r="O278" s="12">
        <f t="shared" si="28"/>
        <v>42840000</v>
      </c>
      <c r="P278" s="12">
        <f t="shared" si="29"/>
        <v>11900</v>
      </c>
    </row>
    <row r="279" spans="1:16" x14ac:dyDescent="0.25">
      <c r="A279" s="3">
        <v>278</v>
      </c>
      <c r="B279" s="3">
        <v>153</v>
      </c>
      <c r="C279" s="3">
        <v>174</v>
      </c>
      <c r="D279" s="2">
        <v>11140</v>
      </c>
      <c r="E279" s="2">
        <f t="shared" si="24"/>
        <v>5492.5</v>
      </c>
      <c r="F279" s="2">
        <v>2380</v>
      </c>
      <c r="G279" s="2">
        <f t="shared" si="25"/>
        <v>991.66666666666674</v>
      </c>
      <c r="H279" s="4">
        <f>VLOOKUP(B279,nodes!A:D,2,0)</f>
        <v>150</v>
      </c>
      <c r="I279" s="4">
        <f>VLOOKUP(B279,nodes!A:D,4,0)</f>
        <v>90</v>
      </c>
      <c r="J279" s="4">
        <f>VLOOKUP(C279,nodes!A:D,2,0)</f>
        <v>150</v>
      </c>
      <c r="K279" s="4">
        <f>VLOOKUP(C279,nodes!A:D,4,0)</f>
        <v>60</v>
      </c>
      <c r="L279" s="4">
        <f t="shared" si="26"/>
        <v>30</v>
      </c>
      <c r="N279" s="12">
        <f t="shared" si="27"/>
        <v>7437500</v>
      </c>
      <c r="O279" s="12">
        <f t="shared" si="28"/>
        <v>42840000</v>
      </c>
      <c r="P279" s="12">
        <f t="shared" si="29"/>
        <v>11900</v>
      </c>
    </row>
    <row r="280" spans="1:16" x14ac:dyDescent="0.25">
      <c r="A280" s="3">
        <v>279</v>
      </c>
      <c r="B280" s="3">
        <v>174</v>
      </c>
      <c r="C280" s="3">
        <v>195</v>
      </c>
      <c r="D280" s="2">
        <v>11140</v>
      </c>
      <c r="E280" s="2">
        <f t="shared" si="24"/>
        <v>5492.5</v>
      </c>
      <c r="F280" s="2">
        <v>2380</v>
      </c>
      <c r="G280" s="2">
        <f t="shared" si="25"/>
        <v>991.66666666666674</v>
      </c>
      <c r="H280" s="4">
        <f>VLOOKUP(B280,nodes!A:D,2,0)</f>
        <v>150</v>
      </c>
      <c r="I280" s="4">
        <f>VLOOKUP(B280,nodes!A:D,4,0)</f>
        <v>60</v>
      </c>
      <c r="J280" s="4">
        <f>VLOOKUP(C280,nodes!A:D,2,0)</f>
        <v>150</v>
      </c>
      <c r="K280" s="4">
        <f>VLOOKUP(C280,nodes!A:D,4,0)</f>
        <v>30</v>
      </c>
      <c r="L280" s="4">
        <f t="shared" si="26"/>
        <v>30</v>
      </c>
      <c r="N280" s="12">
        <f t="shared" si="27"/>
        <v>7437500</v>
      </c>
      <c r="O280" s="12">
        <f t="shared" si="28"/>
        <v>42840000</v>
      </c>
      <c r="P280" s="12">
        <f t="shared" si="29"/>
        <v>11900</v>
      </c>
    </row>
    <row r="281" spans="1:16" x14ac:dyDescent="0.25">
      <c r="A281" s="3">
        <v>280</v>
      </c>
      <c r="B281" s="3">
        <v>195</v>
      </c>
      <c r="C281" s="3">
        <v>216</v>
      </c>
      <c r="D281" s="2">
        <v>11140</v>
      </c>
      <c r="E281" s="2">
        <f t="shared" si="24"/>
        <v>5492.5</v>
      </c>
      <c r="F281" s="2">
        <v>2380</v>
      </c>
      <c r="G281" s="2">
        <f t="shared" si="25"/>
        <v>991.66666666666674</v>
      </c>
      <c r="H281" s="4">
        <f>VLOOKUP(B281,nodes!A:D,2,0)</f>
        <v>150</v>
      </c>
      <c r="I281" s="4">
        <f>VLOOKUP(B281,nodes!A:D,4,0)</f>
        <v>30</v>
      </c>
      <c r="J281" s="4">
        <f>VLOOKUP(C281,nodes!A:D,2,0)</f>
        <v>150</v>
      </c>
      <c r="K281" s="4">
        <f>VLOOKUP(C281,nodes!A:D,4,0)</f>
        <v>0</v>
      </c>
      <c r="L281" s="4">
        <f t="shared" si="26"/>
        <v>30</v>
      </c>
      <c r="N281" s="12">
        <f t="shared" si="27"/>
        <v>7437500</v>
      </c>
      <c r="O281" s="12">
        <f t="shared" si="28"/>
        <v>42840000</v>
      </c>
      <c r="P281" s="12">
        <f t="shared" si="29"/>
        <v>11900</v>
      </c>
    </row>
    <row r="282" spans="1:16" x14ac:dyDescent="0.25">
      <c r="A282" s="3">
        <v>281</v>
      </c>
      <c r="B282" s="3">
        <v>7</v>
      </c>
      <c r="C282" s="3">
        <v>28</v>
      </c>
      <c r="D282" s="2">
        <v>11140</v>
      </c>
      <c r="E282" s="2">
        <f t="shared" si="24"/>
        <v>5492.5</v>
      </c>
      <c r="F282" s="2">
        <v>2380</v>
      </c>
      <c r="G282" s="2">
        <f t="shared" si="25"/>
        <v>991.66666666666674</v>
      </c>
      <c r="H282" s="4">
        <f>VLOOKUP(B282,nodes!A:D,2,0)</f>
        <v>180</v>
      </c>
      <c r="I282" s="4">
        <f>VLOOKUP(B282,nodes!A:D,4,0)</f>
        <v>300</v>
      </c>
      <c r="J282" s="4">
        <f>VLOOKUP(C282,nodes!A:D,2,0)</f>
        <v>180</v>
      </c>
      <c r="K282" s="4">
        <f>VLOOKUP(C282,nodes!A:D,4,0)</f>
        <v>270</v>
      </c>
      <c r="L282" s="4">
        <f t="shared" si="26"/>
        <v>30</v>
      </c>
      <c r="N282" s="12">
        <f t="shared" si="27"/>
        <v>7437500</v>
      </c>
      <c r="O282" s="12">
        <f t="shared" si="28"/>
        <v>42840000</v>
      </c>
      <c r="P282" s="12">
        <f t="shared" si="29"/>
        <v>11900</v>
      </c>
    </row>
    <row r="283" spans="1:16" x14ac:dyDescent="0.25">
      <c r="A283" s="3">
        <v>282</v>
      </c>
      <c r="B283" s="3">
        <v>28</v>
      </c>
      <c r="C283" s="3">
        <v>49</v>
      </c>
      <c r="D283" s="2">
        <v>11140</v>
      </c>
      <c r="E283" s="2">
        <f t="shared" si="24"/>
        <v>5492.5</v>
      </c>
      <c r="F283" s="2">
        <v>2380</v>
      </c>
      <c r="G283" s="2">
        <f t="shared" si="25"/>
        <v>991.66666666666674</v>
      </c>
      <c r="H283" s="4">
        <f>VLOOKUP(B283,nodes!A:D,2,0)</f>
        <v>180</v>
      </c>
      <c r="I283" s="4">
        <f>VLOOKUP(B283,nodes!A:D,4,0)</f>
        <v>270</v>
      </c>
      <c r="J283" s="4">
        <f>VLOOKUP(C283,nodes!A:D,2,0)</f>
        <v>180</v>
      </c>
      <c r="K283" s="4">
        <f>VLOOKUP(C283,nodes!A:D,4,0)</f>
        <v>240</v>
      </c>
      <c r="L283" s="4">
        <f t="shared" si="26"/>
        <v>30</v>
      </c>
      <c r="N283" s="12">
        <f t="shared" si="27"/>
        <v>7437500</v>
      </c>
      <c r="O283" s="12">
        <f t="shared" si="28"/>
        <v>42840000</v>
      </c>
      <c r="P283" s="12">
        <f t="shared" si="29"/>
        <v>11900</v>
      </c>
    </row>
    <row r="284" spans="1:16" x14ac:dyDescent="0.25">
      <c r="A284" s="3">
        <v>283</v>
      </c>
      <c r="B284" s="3">
        <v>49</v>
      </c>
      <c r="C284" s="3">
        <v>70</v>
      </c>
      <c r="D284" s="2">
        <v>11140</v>
      </c>
      <c r="E284" s="2">
        <f t="shared" si="24"/>
        <v>5492.5</v>
      </c>
      <c r="F284" s="2">
        <v>2380</v>
      </c>
      <c r="G284" s="2">
        <f t="shared" si="25"/>
        <v>991.66666666666674</v>
      </c>
      <c r="H284" s="4">
        <f>VLOOKUP(B284,nodes!A:D,2,0)</f>
        <v>180</v>
      </c>
      <c r="I284" s="4">
        <f>VLOOKUP(B284,nodes!A:D,4,0)</f>
        <v>240</v>
      </c>
      <c r="J284" s="4">
        <f>VLOOKUP(C284,nodes!A:D,2,0)</f>
        <v>180</v>
      </c>
      <c r="K284" s="4">
        <f>VLOOKUP(C284,nodes!A:D,4,0)</f>
        <v>210</v>
      </c>
      <c r="L284" s="4">
        <f t="shared" si="26"/>
        <v>30</v>
      </c>
      <c r="N284" s="12">
        <f t="shared" si="27"/>
        <v>7437500</v>
      </c>
      <c r="O284" s="12">
        <f t="shared" si="28"/>
        <v>42840000</v>
      </c>
      <c r="P284" s="12">
        <f t="shared" si="29"/>
        <v>11900</v>
      </c>
    </row>
    <row r="285" spans="1:16" x14ac:dyDescent="0.25">
      <c r="A285" s="3">
        <v>284</v>
      </c>
      <c r="B285" s="3">
        <v>70</v>
      </c>
      <c r="C285" s="3">
        <v>91</v>
      </c>
      <c r="D285" s="2">
        <v>11140</v>
      </c>
      <c r="E285" s="2">
        <f t="shared" si="24"/>
        <v>5492.5</v>
      </c>
      <c r="F285" s="2">
        <v>2380</v>
      </c>
      <c r="G285" s="2">
        <f t="shared" si="25"/>
        <v>991.66666666666674</v>
      </c>
      <c r="H285" s="4">
        <f>VLOOKUP(B285,nodes!A:D,2,0)</f>
        <v>180</v>
      </c>
      <c r="I285" s="4">
        <f>VLOOKUP(B285,nodes!A:D,4,0)</f>
        <v>210</v>
      </c>
      <c r="J285" s="4">
        <f>VLOOKUP(C285,nodes!A:D,2,0)</f>
        <v>180</v>
      </c>
      <c r="K285" s="4">
        <f>VLOOKUP(C285,nodes!A:D,4,0)</f>
        <v>180</v>
      </c>
      <c r="L285" s="4">
        <f t="shared" si="26"/>
        <v>30</v>
      </c>
      <c r="N285" s="12">
        <f t="shared" si="27"/>
        <v>7437500</v>
      </c>
      <c r="O285" s="12">
        <f t="shared" si="28"/>
        <v>42840000</v>
      </c>
      <c r="P285" s="12">
        <f t="shared" si="29"/>
        <v>11900</v>
      </c>
    </row>
    <row r="286" spans="1:16" x14ac:dyDescent="0.25">
      <c r="A286" s="3">
        <v>285</v>
      </c>
      <c r="B286" s="3">
        <v>91</v>
      </c>
      <c r="C286" s="3">
        <v>112</v>
      </c>
      <c r="D286" s="2">
        <v>11140</v>
      </c>
      <c r="E286" s="2">
        <f t="shared" si="24"/>
        <v>5492.5</v>
      </c>
      <c r="F286" s="2">
        <v>2380</v>
      </c>
      <c r="G286" s="2">
        <f t="shared" si="25"/>
        <v>991.66666666666674</v>
      </c>
      <c r="H286" s="4">
        <f>VLOOKUP(B286,nodes!A:D,2,0)</f>
        <v>180</v>
      </c>
      <c r="I286" s="4">
        <f>VLOOKUP(B286,nodes!A:D,4,0)</f>
        <v>180</v>
      </c>
      <c r="J286" s="4">
        <f>VLOOKUP(C286,nodes!A:D,2,0)</f>
        <v>180</v>
      </c>
      <c r="K286" s="4">
        <f>VLOOKUP(C286,nodes!A:D,4,0)</f>
        <v>150</v>
      </c>
      <c r="L286" s="4">
        <f t="shared" si="26"/>
        <v>30</v>
      </c>
      <c r="N286" s="12">
        <f t="shared" si="27"/>
        <v>7437500</v>
      </c>
      <c r="O286" s="12">
        <f t="shared" si="28"/>
        <v>42840000</v>
      </c>
      <c r="P286" s="12">
        <f t="shared" si="29"/>
        <v>11900</v>
      </c>
    </row>
    <row r="287" spans="1:16" x14ac:dyDescent="0.25">
      <c r="A287" s="3">
        <v>286</v>
      </c>
      <c r="B287" s="3">
        <v>112</v>
      </c>
      <c r="C287" s="3">
        <v>133</v>
      </c>
      <c r="D287" s="2">
        <v>11140</v>
      </c>
      <c r="E287" s="2">
        <f t="shared" si="24"/>
        <v>5492.5</v>
      </c>
      <c r="F287" s="2">
        <v>2380</v>
      </c>
      <c r="G287" s="2">
        <f t="shared" si="25"/>
        <v>991.66666666666674</v>
      </c>
      <c r="H287" s="4">
        <f>VLOOKUP(B287,nodes!A:D,2,0)</f>
        <v>180</v>
      </c>
      <c r="I287" s="4">
        <f>VLOOKUP(B287,nodes!A:D,4,0)</f>
        <v>150</v>
      </c>
      <c r="J287" s="4">
        <f>VLOOKUP(C287,nodes!A:D,2,0)</f>
        <v>180</v>
      </c>
      <c r="K287" s="4">
        <f>VLOOKUP(C287,nodes!A:D,4,0)</f>
        <v>120</v>
      </c>
      <c r="L287" s="4">
        <f t="shared" si="26"/>
        <v>30</v>
      </c>
      <c r="N287" s="12">
        <f t="shared" si="27"/>
        <v>7437500</v>
      </c>
      <c r="O287" s="12">
        <f t="shared" si="28"/>
        <v>42840000</v>
      </c>
      <c r="P287" s="12">
        <f t="shared" si="29"/>
        <v>11900</v>
      </c>
    </row>
    <row r="288" spans="1:16" x14ac:dyDescent="0.25">
      <c r="A288" s="3">
        <v>287</v>
      </c>
      <c r="B288" s="3">
        <v>133</v>
      </c>
      <c r="C288" s="3">
        <v>154</v>
      </c>
      <c r="D288" s="2">
        <v>11140</v>
      </c>
      <c r="E288" s="2">
        <f t="shared" si="24"/>
        <v>5492.5</v>
      </c>
      <c r="F288" s="2">
        <v>2380</v>
      </c>
      <c r="G288" s="2">
        <f t="shared" si="25"/>
        <v>991.66666666666674</v>
      </c>
      <c r="H288" s="4">
        <f>VLOOKUP(B288,nodes!A:D,2,0)</f>
        <v>180</v>
      </c>
      <c r="I288" s="4">
        <f>VLOOKUP(B288,nodes!A:D,4,0)</f>
        <v>120</v>
      </c>
      <c r="J288" s="4">
        <f>VLOOKUP(C288,nodes!A:D,2,0)</f>
        <v>180</v>
      </c>
      <c r="K288" s="4">
        <f>VLOOKUP(C288,nodes!A:D,4,0)</f>
        <v>90</v>
      </c>
      <c r="L288" s="4">
        <f t="shared" si="26"/>
        <v>30</v>
      </c>
      <c r="N288" s="12">
        <f t="shared" si="27"/>
        <v>7437500</v>
      </c>
      <c r="O288" s="12">
        <f t="shared" si="28"/>
        <v>42840000</v>
      </c>
      <c r="P288" s="12">
        <f t="shared" si="29"/>
        <v>11900</v>
      </c>
    </row>
    <row r="289" spans="1:16" x14ac:dyDescent="0.25">
      <c r="A289" s="3">
        <v>288</v>
      </c>
      <c r="B289" s="3">
        <v>154</v>
      </c>
      <c r="C289" s="3">
        <v>175</v>
      </c>
      <c r="D289" s="2">
        <v>11140</v>
      </c>
      <c r="E289" s="2">
        <f t="shared" si="24"/>
        <v>5492.5</v>
      </c>
      <c r="F289" s="2">
        <v>2380</v>
      </c>
      <c r="G289" s="2">
        <f t="shared" si="25"/>
        <v>991.66666666666674</v>
      </c>
      <c r="H289" s="4">
        <f>VLOOKUP(B289,nodes!A:D,2,0)</f>
        <v>180</v>
      </c>
      <c r="I289" s="4">
        <f>VLOOKUP(B289,nodes!A:D,4,0)</f>
        <v>90</v>
      </c>
      <c r="J289" s="4">
        <f>VLOOKUP(C289,nodes!A:D,2,0)</f>
        <v>180</v>
      </c>
      <c r="K289" s="4">
        <f>VLOOKUP(C289,nodes!A:D,4,0)</f>
        <v>60</v>
      </c>
      <c r="L289" s="4">
        <f t="shared" si="26"/>
        <v>30</v>
      </c>
      <c r="N289" s="12">
        <f t="shared" si="27"/>
        <v>7437500</v>
      </c>
      <c r="O289" s="12">
        <f t="shared" si="28"/>
        <v>42840000</v>
      </c>
      <c r="P289" s="12">
        <f t="shared" si="29"/>
        <v>11900</v>
      </c>
    </row>
    <row r="290" spans="1:16" x14ac:dyDescent="0.25">
      <c r="A290" s="3">
        <v>289</v>
      </c>
      <c r="B290" s="3">
        <v>175</v>
      </c>
      <c r="C290" s="3">
        <v>196</v>
      </c>
      <c r="D290" s="2">
        <v>11140</v>
      </c>
      <c r="E290" s="2">
        <f t="shared" si="24"/>
        <v>5492.5</v>
      </c>
      <c r="F290" s="2">
        <v>2380</v>
      </c>
      <c r="G290" s="2">
        <f t="shared" si="25"/>
        <v>991.66666666666674</v>
      </c>
      <c r="H290" s="4">
        <f>VLOOKUP(B290,nodes!A:D,2,0)</f>
        <v>180</v>
      </c>
      <c r="I290" s="4">
        <f>VLOOKUP(B290,nodes!A:D,4,0)</f>
        <v>60</v>
      </c>
      <c r="J290" s="4">
        <f>VLOOKUP(C290,nodes!A:D,2,0)</f>
        <v>180</v>
      </c>
      <c r="K290" s="4">
        <f>VLOOKUP(C290,nodes!A:D,4,0)</f>
        <v>30</v>
      </c>
      <c r="L290" s="4">
        <f t="shared" si="26"/>
        <v>30</v>
      </c>
      <c r="N290" s="12">
        <f t="shared" si="27"/>
        <v>7437500</v>
      </c>
      <c r="O290" s="12">
        <f t="shared" si="28"/>
        <v>42840000</v>
      </c>
      <c r="P290" s="12">
        <f t="shared" si="29"/>
        <v>11900</v>
      </c>
    </row>
    <row r="291" spans="1:16" x14ac:dyDescent="0.25">
      <c r="A291" s="3">
        <v>290</v>
      </c>
      <c r="B291" s="3">
        <v>196</v>
      </c>
      <c r="C291" s="3">
        <v>217</v>
      </c>
      <c r="D291" s="2">
        <v>11140</v>
      </c>
      <c r="E291" s="2">
        <f t="shared" si="24"/>
        <v>5492.5</v>
      </c>
      <c r="F291" s="2">
        <v>2380</v>
      </c>
      <c r="G291" s="2">
        <f t="shared" si="25"/>
        <v>991.66666666666674</v>
      </c>
      <c r="H291" s="4">
        <f>VLOOKUP(B291,nodes!A:D,2,0)</f>
        <v>180</v>
      </c>
      <c r="I291" s="4">
        <f>VLOOKUP(B291,nodes!A:D,4,0)</f>
        <v>30</v>
      </c>
      <c r="J291" s="4">
        <f>VLOOKUP(C291,nodes!A:D,2,0)</f>
        <v>180</v>
      </c>
      <c r="K291" s="4">
        <f>VLOOKUP(C291,nodes!A:D,4,0)</f>
        <v>0</v>
      </c>
      <c r="L291" s="4">
        <f t="shared" si="26"/>
        <v>30</v>
      </c>
      <c r="N291" s="12">
        <f t="shared" si="27"/>
        <v>7437500</v>
      </c>
      <c r="O291" s="12">
        <f t="shared" si="28"/>
        <v>42840000</v>
      </c>
      <c r="P291" s="12">
        <f t="shared" si="29"/>
        <v>11900</v>
      </c>
    </row>
    <row r="292" spans="1:16" x14ac:dyDescent="0.25">
      <c r="A292" s="3">
        <v>291</v>
      </c>
      <c r="B292" s="3">
        <v>8</v>
      </c>
      <c r="C292" s="3">
        <v>29</v>
      </c>
      <c r="D292" s="2">
        <v>11140</v>
      </c>
      <c r="E292" s="2">
        <f t="shared" si="24"/>
        <v>5492.5</v>
      </c>
      <c r="F292" s="2">
        <v>2380</v>
      </c>
      <c r="G292" s="2">
        <f t="shared" si="25"/>
        <v>991.66666666666674</v>
      </c>
      <c r="H292" s="4">
        <f>VLOOKUP(B292,nodes!A:D,2,0)</f>
        <v>210</v>
      </c>
      <c r="I292" s="4">
        <f>VLOOKUP(B292,nodes!A:D,4,0)</f>
        <v>300</v>
      </c>
      <c r="J292" s="4">
        <f>VLOOKUP(C292,nodes!A:D,2,0)</f>
        <v>210</v>
      </c>
      <c r="K292" s="4">
        <f>VLOOKUP(C292,nodes!A:D,4,0)</f>
        <v>270</v>
      </c>
      <c r="L292" s="4">
        <f t="shared" si="26"/>
        <v>30</v>
      </c>
      <c r="N292" s="12">
        <f t="shared" si="27"/>
        <v>7437500</v>
      </c>
      <c r="O292" s="12">
        <f t="shared" si="28"/>
        <v>42840000</v>
      </c>
      <c r="P292" s="12">
        <f t="shared" si="29"/>
        <v>11900</v>
      </c>
    </row>
    <row r="293" spans="1:16" x14ac:dyDescent="0.25">
      <c r="A293" s="3">
        <v>292</v>
      </c>
      <c r="B293" s="3">
        <v>29</v>
      </c>
      <c r="C293" s="3">
        <v>50</v>
      </c>
      <c r="D293" s="2">
        <v>11140</v>
      </c>
      <c r="E293" s="2">
        <f t="shared" si="24"/>
        <v>5492.5</v>
      </c>
      <c r="F293" s="2">
        <v>2380</v>
      </c>
      <c r="G293" s="2">
        <f t="shared" si="25"/>
        <v>991.66666666666674</v>
      </c>
      <c r="H293" s="4">
        <f>VLOOKUP(B293,nodes!A:D,2,0)</f>
        <v>210</v>
      </c>
      <c r="I293" s="4">
        <f>VLOOKUP(B293,nodes!A:D,4,0)</f>
        <v>270</v>
      </c>
      <c r="J293" s="4">
        <f>VLOOKUP(C293,nodes!A:D,2,0)</f>
        <v>210</v>
      </c>
      <c r="K293" s="4">
        <f>VLOOKUP(C293,nodes!A:D,4,0)</f>
        <v>240</v>
      </c>
      <c r="L293" s="4">
        <f t="shared" si="26"/>
        <v>30</v>
      </c>
      <c r="N293" s="12">
        <f t="shared" si="27"/>
        <v>7437500</v>
      </c>
      <c r="O293" s="12">
        <f t="shared" si="28"/>
        <v>42840000</v>
      </c>
      <c r="P293" s="12">
        <f t="shared" si="29"/>
        <v>11900</v>
      </c>
    </row>
    <row r="294" spans="1:16" x14ac:dyDescent="0.25">
      <c r="A294" s="3">
        <v>293</v>
      </c>
      <c r="B294" s="3">
        <v>50</v>
      </c>
      <c r="C294" s="3">
        <v>71</v>
      </c>
      <c r="D294" s="2">
        <v>11140</v>
      </c>
      <c r="E294" s="2">
        <f t="shared" si="24"/>
        <v>5492.5</v>
      </c>
      <c r="F294" s="2">
        <v>2380</v>
      </c>
      <c r="G294" s="2">
        <f t="shared" si="25"/>
        <v>991.66666666666674</v>
      </c>
      <c r="H294" s="4">
        <f>VLOOKUP(B294,nodes!A:D,2,0)</f>
        <v>210</v>
      </c>
      <c r="I294" s="4">
        <f>VLOOKUP(B294,nodes!A:D,4,0)</f>
        <v>240</v>
      </c>
      <c r="J294" s="4">
        <f>VLOOKUP(C294,nodes!A:D,2,0)</f>
        <v>210</v>
      </c>
      <c r="K294" s="4">
        <f>VLOOKUP(C294,nodes!A:D,4,0)</f>
        <v>210</v>
      </c>
      <c r="L294" s="4">
        <f t="shared" si="26"/>
        <v>30</v>
      </c>
      <c r="N294" s="12">
        <f t="shared" si="27"/>
        <v>7437500</v>
      </c>
      <c r="O294" s="12">
        <f t="shared" si="28"/>
        <v>42840000</v>
      </c>
      <c r="P294" s="12">
        <f t="shared" si="29"/>
        <v>11900</v>
      </c>
    </row>
    <row r="295" spans="1:16" x14ac:dyDescent="0.25">
      <c r="A295" s="3">
        <v>294</v>
      </c>
      <c r="B295" s="3">
        <v>71</v>
      </c>
      <c r="C295" s="3">
        <v>92</v>
      </c>
      <c r="D295" s="2">
        <v>11140</v>
      </c>
      <c r="E295" s="2">
        <f t="shared" si="24"/>
        <v>5492.5</v>
      </c>
      <c r="F295" s="2">
        <v>2380</v>
      </c>
      <c r="G295" s="2">
        <f t="shared" si="25"/>
        <v>991.66666666666674</v>
      </c>
      <c r="H295" s="4">
        <f>VLOOKUP(B295,nodes!A:D,2,0)</f>
        <v>210</v>
      </c>
      <c r="I295" s="4">
        <f>VLOOKUP(B295,nodes!A:D,4,0)</f>
        <v>210</v>
      </c>
      <c r="J295" s="4">
        <f>VLOOKUP(C295,nodes!A:D,2,0)</f>
        <v>210</v>
      </c>
      <c r="K295" s="4">
        <f>VLOOKUP(C295,nodes!A:D,4,0)</f>
        <v>180</v>
      </c>
      <c r="L295" s="4">
        <f t="shared" si="26"/>
        <v>30</v>
      </c>
      <c r="N295" s="12">
        <f t="shared" si="27"/>
        <v>7437500</v>
      </c>
      <c r="O295" s="12">
        <f t="shared" si="28"/>
        <v>42840000</v>
      </c>
      <c r="P295" s="12">
        <f t="shared" si="29"/>
        <v>11900</v>
      </c>
    </row>
    <row r="296" spans="1:16" x14ac:dyDescent="0.25">
      <c r="A296" s="3">
        <v>295</v>
      </c>
      <c r="B296" s="3">
        <v>92</v>
      </c>
      <c r="C296" s="3">
        <v>113</v>
      </c>
      <c r="D296" s="2">
        <v>11140</v>
      </c>
      <c r="E296" s="2">
        <f t="shared" si="24"/>
        <v>5492.5</v>
      </c>
      <c r="F296" s="2">
        <v>2380</v>
      </c>
      <c r="G296" s="2">
        <f t="shared" si="25"/>
        <v>991.66666666666674</v>
      </c>
      <c r="H296" s="4">
        <f>VLOOKUP(B296,nodes!A:D,2,0)</f>
        <v>210</v>
      </c>
      <c r="I296" s="4">
        <f>VLOOKUP(B296,nodes!A:D,4,0)</f>
        <v>180</v>
      </c>
      <c r="J296" s="4">
        <f>VLOOKUP(C296,nodes!A:D,2,0)</f>
        <v>210</v>
      </c>
      <c r="K296" s="4">
        <f>VLOOKUP(C296,nodes!A:D,4,0)</f>
        <v>150</v>
      </c>
      <c r="L296" s="4">
        <f t="shared" si="26"/>
        <v>30</v>
      </c>
      <c r="N296" s="12">
        <f t="shared" si="27"/>
        <v>7437500</v>
      </c>
      <c r="O296" s="12">
        <f t="shared" si="28"/>
        <v>42840000</v>
      </c>
      <c r="P296" s="12">
        <f t="shared" si="29"/>
        <v>11900</v>
      </c>
    </row>
    <row r="297" spans="1:16" x14ac:dyDescent="0.25">
      <c r="A297" s="3">
        <v>296</v>
      </c>
      <c r="B297" s="3">
        <v>113</v>
      </c>
      <c r="C297" s="3">
        <v>134</v>
      </c>
      <c r="D297" s="2">
        <v>11140</v>
      </c>
      <c r="E297" s="2">
        <f t="shared" si="24"/>
        <v>5492.5</v>
      </c>
      <c r="F297" s="2">
        <v>2380</v>
      </c>
      <c r="G297" s="2">
        <f t="shared" si="25"/>
        <v>991.66666666666674</v>
      </c>
      <c r="H297" s="4">
        <f>VLOOKUP(B297,nodes!A:D,2,0)</f>
        <v>210</v>
      </c>
      <c r="I297" s="4">
        <f>VLOOKUP(B297,nodes!A:D,4,0)</f>
        <v>150</v>
      </c>
      <c r="J297" s="4">
        <f>VLOOKUP(C297,nodes!A:D,2,0)</f>
        <v>210</v>
      </c>
      <c r="K297" s="4">
        <f>VLOOKUP(C297,nodes!A:D,4,0)</f>
        <v>120</v>
      </c>
      <c r="L297" s="4">
        <f t="shared" si="26"/>
        <v>30</v>
      </c>
      <c r="N297" s="12">
        <f t="shared" si="27"/>
        <v>7437500</v>
      </c>
      <c r="O297" s="12">
        <f t="shared" si="28"/>
        <v>42840000</v>
      </c>
      <c r="P297" s="12">
        <f t="shared" si="29"/>
        <v>11900</v>
      </c>
    </row>
    <row r="298" spans="1:16" x14ac:dyDescent="0.25">
      <c r="A298" s="3">
        <v>297</v>
      </c>
      <c r="B298" s="3">
        <v>134</v>
      </c>
      <c r="C298" s="3">
        <v>155</v>
      </c>
      <c r="D298" s="2">
        <v>11140</v>
      </c>
      <c r="E298" s="2">
        <f t="shared" si="24"/>
        <v>5492.5</v>
      </c>
      <c r="F298" s="2">
        <v>2380</v>
      </c>
      <c r="G298" s="2">
        <f t="shared" si="25"/>
        <v>991.66666666666674</v>
      </c>
      <c r="H298" s="4">
        <f>VLOOKUP(B298,nodes!A:D,2,0)</f>
        <v>210</v>
      </c>
      <c r="I298" s="4">
        <f>VLOOKUP(B298,nodes!A:D,4,0)</f>
        <v>120</v>
      </c>
      <c r="J298" s="4">
        <f>VLOOKUP(C298,nodes!A:D,2,0)</f>
        <v>210</v>
      </c>
      <c r="K298" s="4">
        <f>VLOOKUP(C298,nodes!A:D,4,0)</f>
        <v>90</v>
      </c>
      <c r="L298" s="4">
        <f t="shared" si="26"/>
        <v>30</v>
      </c>
      <c r="N298" s="12">
        <f t="shared" si="27"/>
        <v>7437500</v>
      </c>
      <c r="O298" s="12">
        <f t="shared" si="28"/>
        <v>42840000</v>
      </c>
      <c r="P298" s="12">
        <f t="shared" si="29"/>
        <v>11900</v>
      </c>
    </row>
    <row r="299" spans="1:16" x14ac:dyDescent="0.25">
      <c r="A299" s="3">
        <v>298</v>
      </c>
      <c r="B299" s="3">
        <v>155</v>
      </c>
      <c r="C299" s="3">
        <v>176</v>
      </c>
      <c r="D299" s="2">
        <v>11140</v>
      </c>
      <c r="E299" s="2">
        <f t="shared" si="24"/>
        <v>5492.5</v>
      </c>
      <c r="F299" s="2">
        <v>2380</v>
      </c>
      <c r="G299" s="2">
        <f t="shared" si="25"/>
        <v>991.66666666666674</v>
      </c>
      <c r="H299" s="4">
        <f>VLOOKUP(B299,nodes!A:D,2,0)</f>
        <v>210</v>
      </c>
      <c r="I299" s="4">
        <f>VLOOKUP(B299,nodes!A:D,4,0)</f>
        <v>90</v>
      </c>
      <c r="J299" s="4">
        <f>VLOOKUP(C299,nodes!A:D,2,0)</f>
        <v>210</v>
      </c>
      <c r="K299" s="4">
        <f>VLOOKUP(C299,nodes!A:D,4,0)</f>
        <v>60</v>
      </c>
      <c r="L299" s="4">
        <f t="shared" si="26"/>
        <v>30</v>
      </c>
      <c r="N299" s="12">
        <f t="shared" si="27"/>
        <v>7437500</v>
      </c>
      <c r="O299" s="12">
        <f t="shared" si="28"/>
        <v>42840000</v>
      </c>
      <c r="P299" s="12">
        <f t="shared" si="29"/>
        <v>11900</v>
      </c>
    </row>
    <row r="300" spans="1:16" x14ac:dyDescent="0.25">
      <c r="A300" s="3">
        <v>299</v>
      </c>
      <c r="B300" s="3">
        <v>176</v>
      </c>
      <c r="C300" s="3">
        <v>197</v>
      </c>
      <c r="D300" s="2">
        <v>11140</v>
      </c>
      <c r="E300" s="2">
        <f t="shared" si="24"/>
        <v>5492.5</v>
      </c>
      <c r="F300" s="2">
        <v>2380</v>
      </c>
      <c r="G300" s="2">
        <f t="shared" si="25"/>
        <v>991.66666666666674</v>
      </c>
      <c r="H300" s="4">
        <f>VLOOKUP(B300,nodes!A:D,2,0)</f>
        <v>210</v>
      </c>
      <c r="I300" s="4">
        <f>VLOOKUP(B300,nodes!A:D,4,0)</f>
        <v>60</v>
      </c>
      <c r="J300" s="4">
        <f>VLOOKUP(C300,nodes!A:D,2,0)</f>
        <v>210</v>
      </c>
      <c r="K300" s="4">
        <f>VLOOKUP(C300,nodes!A:D,4,0)</f>
        <v>30</v>
      </c>
      <c r="L300" s="4">
        <f t="shared" si="26"/>
        <v>30</v>
      </c>
      <c r="N300" s="12">
        <f t="shared" si="27"/>
        <v>7437500</v>
      </c>
      <c r="O300" s="12">
        <f t="shared" si="28"/>
        <v>42840000</v>
      </c>
      <c r="P300" s="12">
        <f t="shared" si="29"/>
        <v>11900</v>
      </c>
    </row>
    <row r="301" spans="1:16" x14ac:dyDescent="0.25">
      <c r="A301" s="3">
        <v>300</v>
      </c>
      <c r="B301" s="3">
        <v>197</v>
      </c>
      <c r="C301" s="3">
        <v>218</v>
      </c>
      <c r="D301" s="2">
        <v>11140</v>
      </c>
      <c r="E301" s="2">
        <f t="shared" si="24"/>
        <v>5492.5</v>
      </c>
      <c r="F301" s="2">
        <v>2380</v>
      </c>
      <c r="G301" s="2">
        <f t="shared" si="25"/>
        <v>991.66666666666674</v>
      </c>
      <c r="H301" s="4">
        <f>VLOOKUP(B301,nodes!A:D,2,0)</f>
        <v>210</v>
      </c>
      <c r="I301" s="4">
        <f>VLOOKUP(B301,nodes!A:D,4,0)</f>
        <v>30</v>
      </c>
      <c r="J301" s="4">
        <f>VLOOKUP(C301,nodes!A:D,2,0)</f>
        <v>210</v>
      </c>
      <c r="K301" s="4">
        <f>VLOOKUP(C301,nodes!A:D,4,0)</f>
        <v>0</v>
      </c>
      <c r="L301" s="4">
        <f t="shared" si="26"/>
        <v>30</v>
      </c>
      <c r="N301" s="12">
        <f t="shared" si="27"/>
        <v>7437500</v>
      </c>
      <c r="O301" s="12">
        <f t="shared" si="28"/>
        <v>42840000</v>
      </c>
      <c r="P301" s="12">
        <f t="shared" si="29"/>
        <v>11900</v>
      </c>
    </row>
    <row r="302" spans="1:16" x14ac:dyDescent="0.25">
      <c r="A302" s="3">
        <v>301</v>
      </c>
      <c r="B302" s="3">
        <v>9</v>
      </c>
      <c r="C302" s="3">
        <v>30</v>
      </c>
      <c r="D302" s="2">
        <v>11140</v>
      </c>
      <c r="E302" s="2">
        <f t="shared" si="24"/>
        <v>5492.5</v>
      </c>
      <c r="F302" s="2">
        <v>2380</v>
      </c>
      <c r="G302" s="2">
        <f t="shared" si="25"/>
        <v>991.66666666666674</v>
      </c>
      <c r="H302" s="4">
        <f>VLOOKUP(B302,nodes!A:D,2,0)</f>
        <v>240</v>
      </c>
      <c r="I302" s="4">
        <f>VLOOKUP(B302,nodes!A:D,4,0)</f>
        <v>300</v>
      </c>
      <c r="J302" s="4">
        <f>VLOOKUP(C302,nodes!A:D,2,0)</f>
        <v>240</v>
      </c>
      <c r="K302" s="4">
        <f>VLOOKUP(C302,nodes!A:D,4,0)</f>
        <v>270</v>
      </c>
      <c r="L302" s="4">
        <f t="shared" si="26"/>
        <v>30</v>
      </c>
      <c r="N302" s="12">
        <f t="shared" si="27"/>
        <v>7437500</v>
      </c>
      <c r="O302" s="12">
        <f t="shared" si="28"/>
        <v>42840000</v>
      </c>
      <c r="P302" s="12">
        <f t="shared" si="29"/>
        <v>11900</v>
      </c>
    </row>
    <row r="303" spans="1:16" x14ac:dyDescent="0.25">
      <c r="A303" s="3">
        <v>302</v>
      </c>
      <c r="B303" s="3">
        <v>30</v>
      </c>
      <c r="C303" s="3">
        <v>51</v>
      </c>
      <c r="D303" s="2">
        <v>11140</v>
      </c>
      <c r="E303" s="2">
        <f t="shared" si="24"/>
        <v>5492.5</v>
      </c>
      <c r="F303" s="2">
        <v>2380</v>
      </c>
      <c r="G303" s="2">
        <f t="shared" si="25"/>
        <v>991.66666666666674</v>
      </c>
      <c r="H303" s="4">
        <f>VLOOKUP(B303,nodes!A:D,2,0)</f>
        <v>240</v>
      </c>
      <c r="I303" s="4">
        <f>VLOOKUP(B303,nodes!A:D,4,0)</f>
        <v>270</v>
      </c>
      <c r="J303" s="4">
        <f>VLOOKUP(C303,nodes!A:D,2,0)</f>
        <v>240</v>
      </c>
      <c r="K303" s="4">
        <f>VLOOKUP(C303,nodes!A:D,4,0)</f>
        <v>240</v>
      </c>
      <c r="L303" s="4">
        <f t="shared" si="26"/>
        <v>30</v>
      </c>
      <c r="N303" s="12">
        <f t="shared" si="27"/>
        <v>7437500</v>
      </c>
      <c r="O303" s="12">
        <f t="shared" si="28"/>
        <v>42840000</v>
      </c>
      <c r="P303" s="12">
        <f t="shared" si="29"/>
        <v>11900</v>
      </c>
    </row>
    <row r="304" spans="1:16" x14ac:dyDescent="0.25">
      <c r="A304" s="3">
        <v>303</v>
      </c>
      <c r="B304" s="3">
        <v>51</v>
      </c>
      <c r="C304" s="3">
        <v>72</v>
      </c>
      <c r="D304" s="2">
        <v>11140</v>
      </c>
      <c r="E304" s="2">
        <f t="shared" si="24"/>
        <v>5492.5</v>
      </c>
      <c r="F304" s="2">
        <v>2380</v>
      </c>
      <c r="G304" s="2">
        <f t="shared" si="25"/>
        <v>991.66666666666674</v>
      </c>
      <c r="H304" s="4">
        <f>VLOOKUP(B304,nodes!A:D,2,0)</f>
        <v>240</v>
      </c>
      <c r="I304" s="4">
        <f>VLOOKUP(B304,nodes!A:D,4,0)</f>
        <v>240</v>
      </c>
      <c r="J304" s="4">
        <f>VLOOKUP(C304,nodes!A:D,2,0)</f>
        <v>240</v>
      </c>
      <c r="K304" s="4">
        <f>VLOOKUP(C304,nodes!A:D,4,0)</f>
        <v>210</v>
      </c>
      <c r="L304" s="4">
        <f t="shared" si="26"/>
        <v>30</v>
      </c>
      <c r="N304" s="12">
        <f t="shared" si="27"/>
        <v>7437500</v>
      </c>
      <c r="O304" s="12">
        <f t="shared" si="28"/>
        <v>42840000</v>
      </c>
      <c r="P304" s="12">
        <f t="shared" si="29"/>
        <v>11900</v>
      </c>
    </row>
    <row r="305" spans="1:16" x14ac:dyDescent="0.25">
      <c r="A305" s="3">
        <v>304</v>
      </c>
      <c r="B305" s="3">
        <v>72</v>
      </c>
      <c r="C305" s="3">
        <v>93</v>
      </c>
      <c r="D305" s="2">
        <v>11140</v>
      </c>
      <c r="E305" s="2">
        <f t="shared" si="24"/>
        <v>5492.5</v>
      </c>
      <c r="F305" s="2">
        <v>2380</v>
      </c>
      <c r="G305" s="2">
        <f t="shared" si="25"/>
        <v>991.66666666666674</v>
      </c>
      <c r="H305" s="4">
        <f>VLOOKUP(B305,nodes!A:D,2,0)</f>
        <v>240</v>
      </c>
      <c r="I305" s="4">
        <f>VLOOKUP(B305,nodes!A:D,4,0)</f>
        <v>210</v>
      </c>
      <c r="J305" s="4">
        <f>VLOOKUP(C305,nodes!A:D,2,0)</f>
        <v>240</v>
      </c>
      <c r="K305" s="4">
        <f>VLOOKUP(C305,nodes!A:D,4,0)</f>
        <v>180</v>
      </c>
      <c r="L305" s="4">
        <f t="shared" si="26"/>
        <v>30</v>
      </c>
      <c r="N305" s="12">
        <f t="shared" si="27"/>
        <v>7437500</v>
      </c>
      <c r="O305" s="12">
        <f t="shared" si="28"/>
        <v>42840000</v>
      </c>
      <c r="P305" s="12">
        <f t="shared" si="29"/>
        <v>11900</v>
      </c>
    </row>
    <row r="306" spans="1:16" x14ac:dyDescent="0.25">
      <c r="A306" s="3">
        <v>305</v>
      </c>
      <c r="B306" s="3">
        <v>93</v>
      </c>
      <c r="C306" s="3">
        <v>114</v>
      </c>
      <c r="D306" s="2">
        <v>11140</v>
      </c>
      <c r="E306" s="2">
        <f t="shared" si="24"/>
        <v>5492.5</v>
      </c>
      <c r="F306" s="2">
        <v>2380</v>
      </c>
      <c r="G306" s="2">
        <f t="shared" si="25"/>
        <v>991.66666666666674</v>
      </c>
      <c r="H306" s="4">
        <f>VLOOKUP(B306,nodes!A:D,2,0)</f>
        <v>240</v>
      </c>
      <c r="I306" s="4">
        <f>VLOOKUP(B306,nodes!A:D,4,0)</f>
        <v>180</v>
      </c>
      <c r="J306" s="4">
        <f>VLOOKUP(C306,nodes!A:D,2,0)</f>
        <v>240</v>
      </c>
      <c r="K306" s="4">
        <f>VLOOKUP(C306,nodes!A:D,4,0)</f>
        <v>150</v>
      </c>
      <c r="L306" s="4">
        <f t="shared" si="26"/>
        <v>30</v>
      </c>
      <c r="N306" s="12">
        <f t="shared" si="27"/>
        <v>7437500</v>
      </c>
      <c r="O306" s="12">
        <f t="shared" si="28"/>
        <v>42840000</v>
      </c>
      <c r="P306" s="12">
        <f t="shared" si="29"/>
        <v>11900</v>
      </c>
    </row>
    <row r="307" spans="1:16" x14ac:dyDescent="0.25">
      <c r="A307" s="3">
        <v>306</v>
      </c>
      <c r="B307" s="3">
        <v>114</v>
      </c>
      <c r="C307" s="3">
        <v>135</v>
      </c>
      <c r="D307" s="2">
        <v>11140</v>
      </c>
      <c r="E307" s="2">
        <f t="shared" si="24"/>
        <v>5492.5</v>
      </c>
      <c r="F307" s="2">
        <v>2380</v>
      </c>
      <c r="G307" s="2">
        <f t="shared" si="25"/>
        <v>991.66666666666674</v>
      </c>
      <c r="H307" s="4">
        <f>VLOOKUP(B307,nodes!A:D,2,0)</f>
        <v>240</v>
      </c>
      <c r="I307" s="4">
        <f>VLOOKUP(B307,nodes!A:D,4,0)</f>
        <v>150</v>
      </c>
      <c r="J307" s="4">
        <f>VLOOKUP(C307,nodes!A:D,2,0)</f>
        <v>240</v>
      </c>
      <c r="K307" s="4">
        <f>VLOOKUP(C307,nodes!A:D,4,0)</f>
        <v>120</v>
      </c>
      <c r="L307" s="4">
        <f t="shared" si="26"/>
        <v>30</v>
      </c>
      <c r="N307" s="12">
        <f t="shared" si="27"/>
        <v>7437500</v>
      </c>
      <c r="O307" s="12">
        <f t="shared" si="28"/>
        <v>42840000</v>
      </c>
      <c r="P307" s="12">
        <f t="shared" si="29"/>
        <v>11900</v>
      </c>
    </row>
    <row r="308" spans="1:16" x14ac:dyDescent="0.25">
      <c r="A308" s="3">
        <v>307</v>
      </c>
      <c r="B308" s="3">
        <v>135</v>
      </c>
      <c r="C308" s="3">
        <v>156</v>
      </c>
      <c r="D308" s="2">
        <v>11140</v>
      </c>
      <c r="E308" s="2">
        <f t="shared" si="24"/>
        <v>5492.5</v>
      </c>
      <c r="F308" s="2">
        <v>2380</v>
      </c>
      <c r="G308" s="2">
        <f t="shared" si="25"/>
        <v>991.66666666666674</v>
      </c>
      <c r="H308" s="4">
        <f>VLOOKUP(B308,nodes!A:D,2,0)</f>
        <v>240</v>
      </c>
      <c r="I308" s="4">
        <f>VLOOKUP(B308,nodes!A:D,4,0)</f>
        <v>120</v>
      </c>
      <c r="J308" s="4">
        <f>VLOOKUP(C308,nodes!A:D,2,0)</f>
        <v>240</v>
      </c>
      <c r="K308" s="4">
        <f>VLOOKUP(C308,nodes!A:D,4,0)</f>
        <v>90</v>
      </c>
      <c r="L308" s="4">
        <f t="shared" si="26"/>
        <v>30</v>
      </c>
      <c r="N308" s="12">
        <f t="shared" si="27"/>
        <v>7437500</v>
      </c>
      <c r="O308" s="12">
        <f t="shared" si="28"/>
        <v>42840000</v>
      </c>
      <c r="P308" s="12">
        <f t="shared" si="29"/>
        <v>11900</v>
      </c>
    </row>
    <row r="309" spans="1:16" x14ac:dyDescent="0.25">
      <c r="A309" s="3">
        <v>308</v>
      </c>
      <c r="B309" s="3">
        <v>156</v>
      </c>
      <c r="C309" s="3">
        <v>177</v>
      </c>
      <c r="D309" s="2">
        <v>11140</v>
      </c>
      <c r="E309" s="2">
        <f t="shared" si="24"/>
        <v>5492.5</v>
      </c>
      <c r="F309" s="2">
        <v>2380</v>
      </c>
      <c r="G309" s="2">
        <f t="shared" si="25"/>
        <v>991.66666666666674</v>
      </c>
      <c r="H309" s="4">
        <f>VLOOKUP(B309,nodes!A:D,2,0)</f>
        <v>240</v>
      </c>
      <c r="I309" s="4">
        <f>VLOOKUP(B309,nodes!A:D,4,0)</f>
        <v>90</v>
      </c>
      <c r="J309" s="4">
        <f>VLOOKUP(C309,nodes!A:D,2,0)</f>
        <v>240</v>
      </c>
      <c r="K309" s="4">
        <f>VLOOKUP(C309,nodes!A:D,4,0)</f>
        <v>60</v>
      </c>
      <c r="L309" s="4">
        <f t="shared" si="26"/>
        <v>30</v>
      </c>
      <c r="N309" s="12">
        <f t="shared" si="27"/>
        <v>7437500</v>
      </c>
      <c r="O309" s="12">
        <f t="shared" si="28"/>
        <v>42840000</v>
      </c>
      <c r="P309" s="12">
        <f t="shared" si="29"/>
        <v>11900</v>
      </c>
    </row>
    <row r="310" spans="1:16" x14ac:dyDescent="0.25">
      <c r="A310" s="3">
        <v>309</v>
      </c>
      <c r="B310" s="3">
        <v>177</v>
      </c>
      <c r="C310" s="3">
        <v>198</v>
      </c>
      <c r="D310" s="2">
        <v>11140</v>
      </c>
      <c r="E310" s="2">
        <f t="shared" si="24"/>
        <v>5492.5</v>
      </c>
      <c r="F310" s="2">
        <v>2380</v>
      </c>
      <c r="G310" s="2">
        <f t="shared" si="25"/>
        <v>991.66666666666674</v>
      </c>
      <c r="H310" s="4">
        <f>VLOOKUP(B310,nodes!A:D,2,0)</f>
        <v>240</v>
      </c>
      <c r="I310" s="4">
        <f>VLOOKUP(B310,nodes!A:D,4,0)</f>
        <v>60</v>
      </c>
      <c r="J310" s="4">
        <f>VLOOKUP(C310,nodes!A:D,2,0)</f>
        <v>240</v>
      </c>
      <c r="K310" s="4">
        <f>VLOOKUP(C310,nodes!A:D,4,0)</f>
        <v>30</v>
      </c>
      <c r="L310" s="4">
        <f t="shared" si="26"/>
        <v>30</v>
      </c>
      <c r="N310" s="12">
        <f t="shared" si="27"/>
        <v>7437500</v>
      </c>
      <c r="O310" s="12">
        <f t="shared" si="28"/>
        <v>42840000</v>
      </c>
      <c r="P310" s="12">
        <f t="shared" si="29"/>
        <v>11900</v>
      </c>
    </row>
    <row r="311" spans="1:16" x14ac:dyDescent="0.25">
      <c r="A311" s="3">
        <v>310</v>
      </c>
      <c r="B311" s="3">
        <v>198</v>
      </c>
      <c r="C311" s="3">
        <v>219</v>
      </c>
      <c r="D311" s="2">
        <v>11140</v>
      </c>
      <c r="E311" s="2">
        <f t="shared" si="24"/>
        <v>5492.5</v>
      </c>
      <c r="F311" s="2">
        <v>2380</v>
      </c>
      <c r="G311" s="2">
        <f t="shared" si="25"/>
        <v>991.66666666666674</v>
      </c>
      <c r="H311" s="4">
        <f>VLOOKUP(B311,nodes!A:D,2,0)</f>
        <v>240</v>
      </c>
      <c r="I311" s="4">
        <f>VLOOKUP(B311,nodes!A:D,4,0)</f>
        <v>30</v>
      </c>
      <c r="J311" s="4">
        <f>VLOOKUP(C311,nodes!A:D,2,0)</f>
        <v>240</v>
      </c>
      <c r="K311" s="4">
        <f>VLOOKUP(C311,nodes!A:D,4,0)</f>
        <v>0</v>
      </c>
      <c r="L311" s="4">
        <f t="shared" si="26"/>
        <v>30</v>
      </c>
      <c r="N311" s="12">
        <f t="shared" si="27"/>
        <v>7437500</v>
      </c>
      <c r="O311" s="12">
        <f t="shared" si="28"/>
        <v>42840000</v>
      </c>
      <c r="P311" s="12">
        <f t="shared" si="29"/>
        <v>11900</v>
      </c>
    </row>
    <row r="312" spans="1:16" x14ac:dyDescent="0.25">
      <c r="A312" s="3">
        <v>311</v>
      </c>
      <c r="B312" s="3">
        <v>10</v>
      </c>
      <c r="C312" s="3">
        <v>31</v>
      </c>
      <c r="D312" s="2">
        <v>11140</v>
      </c>
      <c r="E312" s="2">
        <f t="shared" si="24"/>
        <v>5492.5</v>
      </c>
      <c r="F312" s="2">
        <v>2380</v>
      </c>
      <c r="G312" s="2">
        <f t="shared" si="25"/>
        <v>991.66666666666674</v>
      </c>
      <c r="H312" s="4">
        <f>VLOOKUP(B312,nodes!A:D,2,0)</f>
        <v>270</v>
      </c>
      <c r="I312" s="4">
        <f>VLOOKUP(B312,nodes!A:D,4,0)</f>
        <v>300</v>
      </c>
      <c r="J312" s="4">
        <f>VLOOKUP(C312,nodes!A:D,2,0)</f>
        <v>270</v>
      </c>
      <c r="K312" s="4">
        <f>VLOOKUP(C312,nodes!A:D,4,0)</f>
        <v>270</v>
      </c>
      <c r="L312" s="4">
        <f t="shared" si="26"/>
        <v>30</v>
      </c>
      <c r="N312" s="12">
        <f t="shared" si="27"/>
        <v>7437500</v>
      </c>
      <c r="O312" s="12">
        <f t="shared" si="28"/>
        <v>42840000</v>
      </c>
      <c r="P312" s="12">
        <f t="shared" si="29"/>
        <v>11900</v>
      </c>
    </row>
    <row r="313" spans="1:16" x14ac:dyDescent="0.25">
      <c r="A313" s="3">
        <v>312</v>
      </c>
      <c r="B313" s="3">
        <v>31</v>
      </c>
      <c r="C313" s="3">
        <v>52</v>
      </c>
      <c r="D313" s="2">
        <v>11140</v>
      </c>
      <c r="E313" s="2">
        <f t="shared" si="24"/>
        <v>5492.5</v>
      </c>
      <c r="F313" s="2">
        <v>2380</v>
      </c>
      <c r="G313" s="2">
        <f t="shared" si="25"/>
        <v>991.66666666666674</v>
      </c>
      <c r="H313" s="4">
        <f>VLOOKUP(B313,nodes!A:D,2,0)</f>
        <v>270</v>
      </c>
      <c r="I313" s="4">
        <f>VLOOKUP(B313,nodes!A:D,4,0)</f>
        <v>270</v>
      </c>
      <c r="J313" s="4">
        <f>VLOOKUP(C313,nodes!A:D,2,0)</f>
        <v>270</v>
      </c>
      <c r="K313" s="4">
        <f>VLOOKUP(C313,nodes!A:D,4,0)</f>
        <v>240</v>
      </c>
      <c r="L313" s="4">
        <f t="shared" si="26"/>
        <v>30</v>
      </c>
      <c r="N313" s="12">
        <f t="shared" si="27"/>
        <v>7437500</v>
      </c>
      <c r="O313" s="12">
        <f t="shared" si="28"/>
        <v>42840000</v>
      </c>
      <c r="P313" s="12">
        <f t="shared" si="29"/>
        <v>11900</v>
      </c>
    </row>
    <row r="314" spans="1:16" x14ac:dyDescent="0.25">
      <c r="A314" s="3">
        <v>313</v>
      </c>
      <c r="B314" s="3">
        <v>52</v>
      </c>
      <c r="C314" s="3">
        <v>73</v>
      </c>
      <c r="D314" s="2">
        <v>11140</v>
      </c>
      <c r="E314" s="2">
        <f t="shared" si="24"/>
        <v>5492.5</v>
      </c>
      <c r="F314" s="2">
        <v>2380</v>
      </c>
      <c r="G314" s="2">
        <f t="shared" si="25"/>
        <v>991.66666666666674</v>
      </c>
      <c r="H314" s="4">
        <f>VLOOKUP(B314,nodes!A:D,2,0)</f>
        <v>270</v>
      </c>
      <c r="I314" s="4">
        <f>VLOOKUP(B314,nodes!A:D,4,0)</f>
        <v>240</v>
      </c>
      <c r="J314" s="4">
        <f>VLOOKUP(C314,nodes!A:D,2,0)</f>
        <v>270</v>
      </c>
      <c r="K314" s="4">
        <f>VLOOKUP(C314,nodes!A:D,4,0)</f>
        <v>210</v>
      </c>
      <c r="L314" s="4">
        <f t="shared" si="26"/>
        <v>30</v>
      </c>
      <c r="N314" s="12">
        <f t="shared" si="27"/>
        <v>7437500</v>
      </c>
      <c r="O314" s="12">
        <f t="shared" si="28"/>
        <v>42840000</v>
      </c>
      <c r="P314" s="12">
        <f t="shared" si="29"/>
        <v>11900</v>
      </c>
    </row>
    <row r="315" spans="1:16" x14ac:dyDescent="0.25">
      <c r="A315" s="3">
        <v>314</v>
      </c>
      <c r="B315" s="3">
        <v>73</v>
      </c>
      <c r="C315" s="3">
        <v>94</v>
      </c>
      <c r="D315" s="2">
        <v>11140</v>
      </c>
      <c r="E315" s="2">
        <f t="shared" si="24"/>
        <v>5492.5</v>
      </c>
      <c r="F315" s="2">
        <v>2380</v>
      </c>
      <c r="G315" s="2">
        <f t="shared" si="25"/>
        <v>991.66666666666674</v>
      </c>
      <c r="H315" s="4">
        <f>VLOOKUP(B315,nodes!A:D,2,0)</f>
        <v>270</v>
      </c>
      <c r="I315" s="4">
        <f>VLOOKUP(B315,nodes!A:D,4,0)</f>
        <v>210</v>
      </c>
      <c r="J315" s="4">
        <f>VLOOKUP(C315,nodes!A:D,2,0)</f>
        <v>270</v>
      </c>
      <c r="K315" s="4">
        <f>VLOOKUP(C315,nodes!A:D,4,0)</f>
        <v>180</v>
      </c>
      <c r="L315" s="4">
        <f t="shared" si="26"/>
        <v>30</v>
      </c>
      <c r="N315" s="12">
        <f t="shared" si="27"/>
        <v>7437500</v>
      </c>
      <c r="O315" s="12">
        <f t="shared" si="28"/>
        <v>42840000</v>
      </c>
      <c r="P315" s="12">
        <f t="shared" si="29"/>
        <v>11900</v>
      </c>
    </row>
    <row r="316" spans="1:16" x14ac:dyDescent="0.25">
      <c r="A316" s="3">
        <v>315</v>
      </c>
      <c r="B316" s="3">
        <v>94</v>
      </c>
      <c r="C316" s="3">
        <v>115</v>
      </c>
      <c r="D316" s="2">
        <v>11140</v>
      </c>
      <c r="E316" s="2">
        <f t="shared" si="24"/>
        <v>5492.5</v>
      </c>
      <c r="F316" s="2">
        <v>2380</v>
      </c>
      <c r="G316" s="2">
        <f t="shared" si="25"/>
        <v>991.66666666666674</v>
      </c>
      <c r="H316" s="4">
        <f>VLOOKUP(B316,nodes!A:D,2,0)</f>
        <v>270</v>
      </c>
      <c r="I316" s="4">
        <f>VLOOKUP(B316,nodes!A:D,4,0)</f>
        <v>180</v>
      </c>
      <c r="J316" s="4">
        <f>VLOOKUP(C316,nodes!A:D,2,0)</f>
        <v>270</v>
      </c>
      <c r="K316" s="4">
        <f>VLOOKUP(C316,nodes!A:D,4,0)</f>
        <v>150</v>
      </c>
      <c r="L316" s="4">
        <f t="shared" si="26"/>
        <v>30</v>
      </c>
      <c r="N316" s="12">
        <f t="shared" si="27"/>
        <v>7437500</v>
      </c>
      <c r="O316" s="12">
        <f t="shared" si="28"/>
        <v>42840000</v>
      </c>
      <c r="P316" s="12">
        <f t="shared" si="29"/>
        <v>11900</v>
      </c>
    </row>
    <row r="317" spans="1:16" x14ac:dyDescent="0.25">
      <c r="A317" s="3">
        <v>316</v>
      </c>
      <c r="B317" s="3">
        <v>115</v>
      </c>
      <c r="C317" s="3">
        <v>136</v>
      </c>
      <c r="D317" s="2">
        <v>11140</v>
      </c>
      <c r="E317" s="2">
        <f t="shared" si="24"/>
        <v>5492.5</v>
      </c>
      <c r="F317" s="2">
        <v>2380</v>
      </c>
      <c r="G317" s="2">
        <f t="shared" si="25"/>
        <v>991.66666666666674</v>
      </c>
      <c r="H317" s="4">
        <f>VLOOKUP(B317,nodes!A:D,2,0)</f>
        <v>270</v>
      </c>
      <c r="I317" s="4">
        <f>VLOOKUP(B317,nodes!A:D,4,0)</f>
        <v>150</v>
      </c>
      <c r="J317" s="4">
        <f>VLOOKUP(C317,nodes!A:D,2,0)</f>
        <v>270</v>
      </c>
      <c r="K317" s="4">
        <f>VLOOKUP(C317,nodes!A:D,4,0)</f>
        <v>120</v>
      </c>
      <c r="L317" s="4">
        <f t="shared" si="26"/>
        <v>30</v>
      </c>
      <c r="N317" s="12">
        <f t="shared" si="27"/>
        <v>7437500</v>
      </c>
      <c r="O317" s="12">
        <f t="shared" si="28"/>
        <v>42840000</v>
      </c>
      <c r="P317" s="12">
        <f t="shared" si="29"/>
        <v>11900</v>
      </c>
    </row>
    <row r="318" spans="1:16" x14ac:dyDescent="0.25">
      <c r="A318" s="3">
        <v>317</v>
      </c>
      <c r="B318" s="3">
        <v>136</v>
      </c>
      <c r="C318" s="3">
        <v>157</v>
      </c>
      <c r="D318" s="2">
        <v>11140</v>
      </c>
      <c r="E318" s="2">
        <f t="shared" si="24"/>
        <v>5492.5</v>
      </c>
      <c r="F318" s="2">
        <v>2380</v>
      </c>
      <c r="G318" s="2">
        <f t="shared" si="25"/>
        <v>991.66666666666674</v>
      </c>
      <c r="H318" s="4">
        <f>VLOOKUP(B318,nodes!A:D,2,0)</f>
        <v>270</v>
      </c>
      <c r="I318" s="4">
        <f>VLOOKUP(B318,nodes!A:D,4,0)</f>
        <v>120</v>
      </c>
      <c r="J318" s="4">
        <f>VLOOKUP(C318,nodes!A:D,2,0)</f>
        <v>270</v>
      </c>
      <c r="K318" s="4">
        <f>VLOOKUP(C318,nodes!A:D,4,0)</f>
        <v>90</v>
      </c>
      <c r="L318" s="4">
        <f t="shared" si="26"/>
        <v>30</v>
      </c>
      <c r="N318" s="12">
        <f t="shared" si="27"/>
        <v>7437500</v>
      </c>
      <c r="O318" s="12">
        <f t="shared" si="28"/>
        <v>42840000</v>
      </c>
      <c r="P318" s="12">
        <f t="shared" si="29"/>
        <v>11900</v>
      </c>
    </row>
    <row r="319" spans="1:16" x14ac:dyDescent="0.25">
      <c r="A319" s="3">
        <v>318</v>
      </c>
      <c r="B319" s="3">
        <v>157</v>
      </c>
      <c r="C319" s="3">
        <v>178</v>
      </c>
      <c r="D319" s="2">
        <v>11140</v>
      </c>
      <c r="E319" s="2">
        <f t="shared" si="24"/>
        <v>5492.5</v>
      </c>
      <c r="F319" s="2">
        <v>2380</v>
      </c>
      <c r="G319" s="2">
        <f t="shared" si="25"/>
        <v>991.66666666666674</v>
      </c>
      <c r="H319" s="4">
        <f>VLOOKUP(B319,nodes!A:D,2,0)</f>
        <v>270</v>
      </c>
      <c r="I319" s="4">
        <f>VLOOKUP(B319,nodes!A:D,4,0)</f>
        <v>90</v>
      </c>
      <c r="J319" s="4">
        <f>VLOOKUP(C319,nodes!A:D,2,0)</f>
        <v>270</v>
      </c>
      <c r="K319" s="4">
        <f>VLOOKUP(C319,nodes!A:D,4,0)</f>
        <v>60</v>
      </c>
      <c r="L319" s="4">
        <f t="shared" si="26"/>
        <v>30</v>
      </c>
      <c r="N319" s="12">
        <f t="shared" si="27"/>
        <v>7437500</v>
      </c>
      <c r="O319" s="12">
        <f t="shared" si="28"/>
        <v>42840000</v>
      </c>
      <c r="P319" s="12">
        <f t="shared" si="29"/>
        <v>11900</v>
      </c>
    </row>
    <row r="320" spans="1:16" x14ac:dyDescent="0.25">
      <c r="A320" s="3">
        <v>319</v>
      </c>
      <c r="B320" s="3">
        <v>178</v>
      </c>
      <c r="C320" s="3">
        <v>199</v>
      </c>
      <c r="D320" s="2">
        <v>11140</v>
      </c>
      <c r="E320" s="2">
        <f t="shared" si="24"/>
        <v>5492.5</v>
      </c>
      <c r="F320" s="2">
        <v>2380</v>
      </c>
      <c r="G320" s="2">
        <f t="shared" si="25"/>
        <v>991.66666666666674</v>
      </c>
      <c r="H320" s="4">
        <f>VLOOKUP(B320,nodes!A:D,2,0)</f>
        <v>270</v>
      </c>
      <c r="I320" s="4">
        <f>VLOOKUP(B320,nodes!A:D,4,0)</f>
        <v>60</v>
      </c>
      <c r="J320" s="4">
        <f>VLOOKUP(C320,nodes!A:D,2,0)</f>
        <v>270</v>
      </c>
      <c r="K320" s="4">
        <f>VLOOKUP(C320,nodes!A:D,4,0)</f>
        <v>30</v>
      </c>
      <c r="L320" s="4">
        <f t="shared" si="26"/>
        <v>30</v>
      </c>
      <c r="N320" s="12">
        <f t="shared" si="27"/>
        <v>7437500</v>
      </c>
      <c r="O320" s="12">
        <f t="shared" si="28"/>
        <v>42840000</v>
      </c>
      <c r="P320" s="12">
        <f t="shared" si="29"/>
        <v>11900</v>
      </c>
    </row>
    <row r="321" spans="1:16" x14ac:dyDescent="0.25">
      <c r="A321" s="3">
        <v>320</v>
      </c>
      <c r="B321" s="3">
        <v>199</v>
      </c>
      <c r="C321" s="3">
        <v>220</v>
      </c>
      <c r="D321" s="2">
        <v>11140</v>
      </c>
      <c r="E321" s="2">
        <f t="shared" si="24"/>
        <v>5492.5</v>
      </c>
      <c r="F321" s="2">
        <v>2380</v>
      </c>
      <c r="G321" s="2">
        <f t="shared" si="25"/>
        <v>991.66666666666674</v>
      </c>
      <c r="H321" s="4">
        <f>VLOOKUP(B321,nodes!A:D,2,0)</f>
        <v>270</v>
      </c>
      <c r="I321" s="4">
        <f>VLOOKUP(B321,nodes!A:D,4,0)</f>
        <v>30</v>
      </c>
      <c r="J321" s="4">
        <f>VLOOKUP(C321,nodes!A:D,2,0)</f>
        <v>270</v>
      </c>
      <c r="K321" s="4">
        <f>VLOOKUP(C321,nodes!A:D,4,0)</f>
        <v>0</v>
      </c>
      <c r="L321" s="4">
        <f t="shared" si="26"/>
        <v>30</v>
      </c>
      <c r="N321" s="12">
        <f t="shared" si="27"/>
        <v>7437500</v>
      </c>
      <c r="O321" s="12">
        <f t="shared" si="28"/>
        <v>42840000</v>
      </c>
      <c r="P321" s="12">
        <f t="shared" si="29"/>
        <v>11900</v>
      </c>
    </row>
    <row r="322" spans="1:16" x14ac:dyDescent="0.25">
      <c r="A322" s="3">
        <v>321</v>
      </c>
      <c r="B322" s="3">
        <v>11</v>
      </c>
      <c r="C322" s="3">
        <v>32</v>
      </c>
      <c r="D322" s="2">
        <v>11140</v>
      </c>
      <c r="E322" s="2">
        <f t="shared" si="24"/>
        <v>5492.5</v>
      </c>
      <c r="F322" s="2">
        <v>2380</v>
      </c>
      <c r="G322" s="2">
        <f t="shared" si="25"/>
        <v>991.66666666666674</v>
      </c>
      <c r="H322" s="4">
        <f>VLOOKUP(B322,nodes!A:D,2,0)</f>
        <v>300</v>
      </c>
      <c r="I322" s="4">
        <f>VLOOKUP(B322,nodes!A:D,4,0)</f>
        <v>300</v>
      </c>
      <c r="J322" s="4">
        <f>VLOOKUP(C322,nodes!A:D,2,0)</f>
        <v>300</v>
      </c>
      <c r="K322" s="4">
        <f>VLOOKUP(C322,nodes!A:D,4,0)</f>
        <v>270</v>
      </c>
      <c r="L322" s="4">
        <f t="shared" si="26"/>
        <v>30</v>
      </c>
      <c r="N322" s="12">
        <f t="shared" si="27"/>
        <v>7437500</v>
      </c>
      <c r="O322" s="12">
        <f t="shared" si="28"/>
        <v>42840000</v>
      </c>
      <c r="P322" s="12">
        <f t="shared" si="29"/>
        <v>11900</v>
      </c>
    </row>
    <row r="323" spans="1:16" x14ac:dyDescent="0.25">
      <c r="A323" s="3">
        <v>322</v>
      </c>
      <c r="B323" s="3">
        <v>32</v>
      </c>
      <c r="C323" s="3">
        <v>53</v>
      </c>
      <c r="D323" s="2">
        <v>11140</v>
      </c>
      <c r="E323" s="2">
        <f t="shared" ref="E323:E386" si="30">(30*13^3)/12</f>
        <v>5492.5</v>
      </c>
      <c r="F323" s="2">
        <v>2380</v>
      </c>
      <c r="G323" s="2">
        <f t="shared" ref="G323:G386" si="31">F323/(2*(1+0.2))</f>
        <v>991.66666666666674</v>
      </c>
      <c r="H323" s="4">
        <f>VLOOKUP(B323,nodes!A:D,2,0)</f>
        <v>300</v>
      </c>
      <c r="I323" s="4">
        <f>VLOOKUP(B323,nodes!A:D,4,0)</f>
        <v>270</v>
      </c>
      <c r="J323" s="4">
        <f>VLOOKUP(C323,nodes!A:D,2,0)</f>
        <v>300</v>
      </c>
      <c r="K323" s="4">
        <f>VLOOKUP(C323,nodes!A:D,4,0)</f>
        <v>240</v>
      </c>
      <c r="L323" s="4">
        <f t="shared" ref="L323:L386" si="32">((J323-H323)^2+(K323-I323)^2)^0.5</f>
        <v>30</v>
      </c>
      <c r="N323" s="12">
        <f t="shared" ref="N323:N386" si="33">12*2380*60*(25^3)/(300*12)</f>
        <v>7437500</v>
      </c>
      <c r="O323" s="12">
        <f t="shared" ref="O323:O386" si="34">12*2380*25*(60^3)/(300*12)</f>
        <v>42840000</v>
      </c>
      <c r="P323" s="12">
        <f t="shared" ref="P323:P386" si="35">2380*25*60/300</f>
        <v>11900</v>
      </c>
    </row>
    <row r="324" spans="1:16" x14ac:dyDescent="0.25">
      <c r="A324" s="3">
        <v>323</v>
      </c>
      <c r="B324" s="3">
        <v>53</v>
      </c>
      <c r="C324" s="3">
        <v>74</v>
      </c>
      <c r="D324" s="2">
        <v>11140</v>
      </c>
      <c r="E324" s="2">
        <f t="shared" si="30"/>
        <v>5492.5</v>
      </c>
      <c r="F324" s="2">
        <v>2380</v>
      </c>
      <c r="G324" s="2">
        <f t="shared" si="31"/>
        <v>991.66666666666674</v>
      </c>
      <c r="H324" s="4">
        <f>VLOOKUP(B324,nodes!A:D,2,0)</f>
        <v>300</v>
      </c>
      <c r="I324" s="4">
        <f>VLOOKUP(B324,nodes!A:D,4,0)</f>
        <v>240</v>
      </c>
      <c r="J324" s="4">
        <f>VLOOKUP(C324,nodes!A:D,2,0)</f>
        <v>300</v>
      </c>
      <c r="K324" s="4">
        <f>VLOOKUP(C324,nodes!A:D,4,0)</f>
        <v>210</v>
      </c>
      <c r="L324" s="4">
        <f t="shared" si="32"/>
        <v>30</v>
      </c>
      <c r="N324" s="12">
        <f t="shared" si="33"/>
        <v>7437500</v>
      </c>
      <c r="O324" s="12">
        <f t="shared" si="34"/>
        <v>42840000</v>
      </c>
      <c r="P324" s="12">
        <f t="shared" si="35"/>
        <v>11900</v>
      </c>
    </row>
    <row r="325" spans="1:16" x14ac:dyDescent="0.25">
      <c r="A325" s="3">
        <v>324</v>
      </c>
      <c r="B325" s="3">
        <v>74</v>
      </c>
      <c r="C325" s="3">
        <v>95</v>
      </c>
      <c r="D325" s="2">
        <v>11140</v>
      </c>
      <c r="E325" s="2">
        <f t="shared" si="30"/>
        <v>5492.5</v>
      </c>
      <c r="F325" s="2">
        <v>2380</v>
      </c>
      <c r="G325" s="2">
        <f t="shared" si="31"/>
        <v>991.66666666666674</v>
      </c>
      <c r="H325" s="4">
        <f>VLOOKUP(B325,nodes!A:D,2,0)</f>
        <v>300</v>
      </c>
      <c r="I325" s="4">
        <f>VLOOKUP(B325,nodes!A:D,4,0)</f>
        <v>210</v>
      </c>
      <c r="J325" s="4">
        <f>VLOOKUP(C325,nodes!A:D,2,0)</f>
        <v>300</v>
      </c>
      <c r="K325" s="4">
        <f>VLOOKUP(C325,nodes!A:D,4,0)</f>
        <v>180</v>
      </c>
      <c r="L325" s="4">
        <f t="shared" si="32"/>
        <v>30</v>
      </c>
      <c r="N325" s="12">
        <f t="shared" si="33"/>
        <v>7437500</v>
      </c>
      <c r="O325" s="12">
        <f t="shared" si="34"/>
        <v>42840000</v>
      </c>
      <c r="P325" s="12">
        <f t="shared" si="35"/>
        <v>11900</v>
      </c>
    </row>
    <row r="326" spans="1:16" x14ac:dyDescent="0.25">
      <c r="A326" s="3">
        <v>325</v>
      </c>
      <c r="B326" s="3">
        <v>95</v>
      </c>
      <c r="C326" s="3">
        <v>116</v>
      </c>
      <c r="D326" s="2">
        <v>11140</v>
      </c>
      <c r="E326" s="2">
        <f t="shared" si="30"/>
        <v>5492.5</v>
      </c>
      <c r="F326" s="2">
        <v>2380</v>
      </c>
      <c r="G326" s="2">
        <f t="shared" si="31"/>
        <v>991.66666666666674</v>
      </c>
      <c r="H326" s="4">
        <f>VLOOKUP(B326,nodes!A:D,2,0)</f>
        <v>300</v>
      </c>
      <c r="I326" s="4">
        <f>VLOOKUP(B326,nodes!A:D,4,0)</f>
        <v>180</v>
      </c>
      <c r="J326" s="4">
        <f>VLOOKUP(C326,nodes!A:D,2,0)</f>
        <v>300</v>
      </c>
      <c r="K326" s="4">
        <f>VLOOKUP(C326,nodes!A:D,4,0)</f>
        <v>150</v>
      </c>
      <c r="L326" s="4">
        <f t="shared" si="32"/>
        <v>30</v>
      </c>
      <c r="N326" s="12">
        <f t="shared" si="33"/>
        <v>7437500</v>
      </c>
      <c r="O326" s="12">
        <f t="shared" si="34"/>
        <v>42840000</v>
      </c>
      <c r="P326" s="12">
        <f t="shared" si="35"/>
        <v>11900</v>
      </c>
    </row>
    <row r="327" spans="1:16" x14ac:dyDescent="0.25">
      <c r="A327" s="3">
        <v>326</v>
      </c>
      <c r="B327" s="3">
        <v>116</v>
      </c>
      <c r="C327" s="3">
        <v>137</v>
      </c>
      <c r="D327" s="2">
        <v>11140</v>
      </c>
      <c r="E327" s="2">
        <f t="shared" si="30"/>
        <v>5492.5</v>
      </c>
      <c r="F327" s="2">
        <v>2380</v>
      </c>
      <c r="G327" s="2">
        <f t="shared" si="31"/>
        <v>991.66666666666674</v>
      </c>
      <c r="H327" s="4">
        <f>VLOOKUP(B327,nodes!A:D,2,0)</f>
        <v>300</v>
      </c>
      <c r="I327" s="4">
        <f>VLOOKUP(B327,nodes!A:D,4,0)</f>
        <v>150</v>
      </c>
      <c r="J327" s="4">
        <f>VLOOKUP(C327,nodes!A:D,2,0)</f>
        <v>300</v>
      </c>
      <c r="K327" s="4">
        <f>VLOOKUP(C327,nodes!A:D,4,0)</f>
        <v>120</v>
      </c>
      <c r="L327" s="4">
        <f t="shared" si="32"/>
        <v>30</v>
      </c>
      <c r="N327" s="12">
        <f t="shared" si="33"/>
        <v>7437500</v>
      </c>
      <c r="O327" s="12">
        <f t="shared" si="34"/>
        <v>42840000</v>
      </c>
      <c r="P327" s="12">
        <f t="shared" si="35"/>
        <v>11900</v>
      </c>
    </row>
    <row r="328" spans="1:16" x14ac:dyDescent="0.25">
      <c r="A328" s="3">
        <v>327</v>
      </c>
      <c r="B328" s="3">
        <v>137</v>
      </c>
      <c r="C328" s="3">
        <v>158</v>
      </c>
      <c r="D328" s="2">
        <v>11140</v>
      </c>
      <c r="E328" s="2">
        <f t="shared" si="30"/>
        <v>5492.5</v>
      </c>
      <c r="F328" s="2">
        <v>2380</v>
      </c>
      <c r="G328" s="2">
        <f t="shared" si="31"/>
        <v>991.66666666666674</v>
      </c>
      <c r="H328" s="4">
        <f>VLOOKUP(B328,nodes!A:D,2,0)</f>
        <v>300</v>
      </c>
      <c r="I328" s="4">
        <f>VLOOKUP(B328,nodes!A:D,4,0)</f>
        <v>120</v>
      </c>
      <c r="J328" s="4">
        <f>VLOOKUP(C328,nodes!A:D,2,0)</f>
        <v>300</v>
      </c>
      <c r="K328" s="4">
        <f>VLOOKUP(C328,nodes!A:D,4,0)</f>
        <v>90</v>
      </c>
      <c r="L328" s="4">
        <f t="shared" si="32"/>
        <v>30</v>
      </c>
      <c r="N328" s="12">
        <f t="shared" si="33"/>
        <v>7437500</v>
      </c>
      <c r="O328" s="12">
        <f t="shared" si="34"/>
        <v>42840000</v>
      </c>
      <c r="P328" s="12">
        <f t="shared" si="35"/>
        <v>11900</v>
      </c>
    </row>
    <row r="329" spans="1:16" x14ac:dyDescent="0.25">
      <c r="A329" s="3">
        <v>328</v>
      </c>
      <c r="B329" s="3">
        <v>158</v>
      </c>
      <c r="C329" s="3">
        <v>179</v>
      </c>
      <c r="D329" s="2">
        <v>11140</v>
      </c>
      <c r="E329" s="2">
        <f t="shared" si="30"/>
        <v>5492.5</v>
      </c>
      <c r="F329" s="2">
        <v>2380</v>
      </c>
      <c r="G329" s="2">
        <f t="shared" si="31"/>
        <v>991.66666666666674</v>
      </c>
      <c r="H329" s="4">
        <f>VLOOKUP(B329,nodes!A:D,2,0)</f>
        <v>300</v>
      </c>
      <c r="I329" s="4">
        <f>VLOOKUP(B329,nodes!A:D,4,0)</f>
        <v>90</v>
      </c>
      <c r="J329" s="4">
        <f>VLOOKUP(C329,nodes!A:D,2,0)</f>
        <v>300</v>
      </c>
      <c r="K329" s="4">
        <f>VLOOKUP(C329,nodes!A:D,4,0)</f>
        <v>60</v>
      </c>
      <c r="L329" s="4">
        <f t="shared" si="32"/>
        <v>30</v>
      </c>
      <c r="N329" s="12">
        <f t="shared" si="33"/>
        <v>7437500</v>
      </c>
      <c r="O329" s="12">
        <f t="shared" si="34"/>
        <v>42840000</v>
      </c>
      <c r="P329" s="12">
        <f t="shared" si="35"/>
        <v>11900</v>
      </c>
    </row>
    <row r="330" spans="1:16" x14ac:dyDescent="0.25">
      <c r="A330" s="3">
        <v>329</v>
      </c>
      <c r="B330" s="3">
        <v>179</v>
      </c>
      <c r="C330" s="3">
        <v>200</v>
      </c>
      <c r="D330" s="2">
        <v>11140</v>
      </c>
      <c r="E330" s="2">
        <f t="shared" si="30"/>
        <v>5492.5</v>
      </c>
      <c r="F330" s="2">
        <v>2380</v>
      </c>
      <c r="G330" s="2">
        <f t="shared" si="31"/>
        <v>991.66666666666674</v>
      </c>
      <c r="H330" s="4">
        <f>VLOOKUP(B330,nodes!A:D,2,0)</f>
        <v>300</v>
      </c>
      <c r="I330" s="4">
        <f>VLOOKUP(B330,nodes!A:D,4,0)</f>
        <v>60</v>
      </c>
      <c r="J330" s="4">
        <f>VLOOKUP(C330,nodes!A:D,2,0)</f>
        <v>300</v>
      </c>
      <c r="K330" s="4">
        <f>VLOOKUP(C330,nodes!A:D,4,0)</f>
        <v>30</v>
      </c>
      <c r="L330" s="4">
        <f t="shared" si="32"/>
        <v>30</v>
      </c>
      <c r="N330" s="12">
        <f t="shared" si="33"/>
        <v>7437500</v>
      </c>
      <c r="O330" s="12">
        <f t="shared" si="34"/>
        <v>42840000</v>
      </c>
      <c r="P330" s="12">
        <f t="shared" si="35"/>
        <v>11900</v>
      </c>
    </row>
    <row r="331" spans="1:16" x14ac:dyDescent="0.25">
      <c r="A331" s="3">
        <v>330</v>
      </c>
      <c r="B331" s="3">
        <v>200</v>
      </c>
      <c r="C331" s="3">
        <v>221</v>
      </c>
      <c r="D331" s="2">
        <v>11140</v>
      </c>
      <c r="E331" s="2">
        <f t="shared" si="30"/>
        <v>5492.5</v>
      </c>
      <c r="F331" s="2">
        <v>2380</v>
      </c>
      <c r="G331" s="2">
        <f t="shared" si="31"/>
        <v>991.66666666666674</v>
      </c>
      <c r="H331" s="4">
        <f>VLOOKUP(B331,nodes!A:D,2,0)</f>
        <v>300</v>
      </c>
      <c r="I331" s="4">
        <f>VLOOKUP(B331,nodes!A:D,4,0)</f>
        <v>30</v>
      </c>
      <c r="J331" s="4">
        <f>VLOOKUP(C331,nodes!A:D,2,0)</f>
        <v>300</v>
      </c>
      <c r="K331" s="4">
        <f>VLOOKUP(C331,nodes!A:D,4,0)</f>
        <v>0</v>
      </c>
      <c r="L331" s="4">
        <f t="shared" si="32"/>
        <v>30</v>
      </c>
      <c r="N331" s="12">
        <f t="shared" si="33"/>
        <v>7437500</v>
      </c>
      <c r="O331" s="12">
        <f t="shared" si="34"/>
        <v>42840000</v>
      </c>
      <c r="P331" s="12">
        <f t="shared" si="35"/>
        <v>11900</v>
      </c>
    </row>
    <row r="332" spans="1:16" x14ac:dyDescent="0.25">
      <c r="A332" s="3">
        <v>331</v>
      </c>
      <c r="B332" s="3">
        <v>12</v>
      </c>
      <c r="C332" s="3">
        <v>33</v>
      </c>
      <c r="D332" s="2">
        <v>11140</v>
      </c>
      <c r="E332" s="2">
        <f t="shared" si="30"/>
        <v>5492.5</v>
      </c>
      <c r="F332" s="2">
        <v>2380</v>
      </c>
      <c r="G332" s="2">
        <f t="shared" si="31"/>
        <v>991.66666666666674</v>
      </c>
      <c r="H332" s="4">
        <f>VLOOKUP(B332,nodes!A:D,2,0)</f>
        <v>330</v>
      </c>
      <c r="I332" s="4">
        <f>VLOOKUP(B332,nodes!A:D,4,0)</f>
        <v>300</v>
      </c>
      <c r="J332" s="4">
        <f>VLOOKUP(C332,nodes!A:D,2,0)</f>
        <v>330</v>
      </c>
      <c r="K332" s="4">
        <f>VLOOKUP(C332,nodes!A:D,4,0)</f>
        <v>270</v>
      </c>
      <c r="L332" s="4">
        <f t="shared" si="32"/>
        <v>30</v>
      </c>
      <c r="N332" s="12">
        <f t="shared" si="33"/>
        <v>7437500</v>
      </c>
      <c r="O332" s="12">
        <f t="shared" si="34"/>
        <v>42840000</v>
      </c>
      <c r="P332" s="12">
        <f t="shared" si="35"/>
        <v>11900</v>
      </c>
    </row>
    <row r="333" spans="1:16" x14ac:dyDescent="0.25">
      <c r="A333" s="3">
        <v>332</v>
      </c>
      <c r="B333" s="3">
        <v>33</v>
      </c>
      <c r="C333" s="3">
        <v>54</v>
      </c>
      <c r="D333" s="2">
        <v>11140</v>
      </c>
      <c r="E333" s="2">
        <f t="shared" si="30"/>
        <v>5492.5</v>
      </c>
      <c r="F333" s="2">
        <v>2380</v>
      </c>
      <c r="G333" s="2">
        <f t="shared" si="31"/>
        <v>991.66666666666674</v>
      </c>
      <c r="H333" s="4">
        <f>VLOOKUP(B333,nodes!A:D,2,0)</f>
        <v>330</v>
      </c>
      <c r="I333" s="4">
        <f>VLOOKUP(B333,nodes!A:D,4,0)</f>
        <v>270</v>
      </c>
      <c r="J333" s="4">
        <f>VLOOKUP(C333,nodes!A:D,2,0)</f>
        <v>330</v>
      </c>
      <c r="K333" s="4">
        <f>VLOOKUP(C333,nodes!A:D,4,0)</f>
        <v>240</v>
      </c>
      <c r="L333" s="4">
        <f t="shared" si="32"/>
        <v>30</v>
      </c>
      <c r="N333" s="12">
        <f t="shared" si="33"/>
        <v>7437500</v>
      </c>
      <c r="O333" s="12">
        <f t="shared" si="34"/>
        <v>42840000</v>
      </c>
      <c r="P333" s="12">
        <f t="shared" si="35"/>
        <v>11900</v>
      </c>
    </row>
    <row r="334" spans="1:16" x14ac:dyDescent="0.25">
      <c r="A334" s="3">
        <v>333</v>
      </c>
      <c r="B334" s="3">
        <v>54</v>
      </c>
      <c r="C334" s="3">
        <v>75</v>
      </c>
      <c r="D334" s="2">
        <v>11140</v>
      </c>
      <c r="E334" s="2">
        <f t="shared" si="30"/>
        <v>5492.5</v>
      </c>
      <c r="F334" s="2">
        <v>2380</v>
      </c>
      <c r="G334" s="2">
        <f t="shared" si="31"/>
        <v>991.66666666666674</v>
      </c>
      <c r="H334" s="4">
        <f>VLOOKUP(B334,nodes!A:D,2,0)</f>
        <v>330</v>
      </c>
      <c r="I334" s="4">
        <f>VLOOKUP(B334,nodes!A:D,4,0)</f>
        <v>240</v>
      </c>
      <c r="J334" s="4">
        <f>VLOOKUP(C334,nodes!A:D,2,0)</f>
        <v>330</v>
      </c>
      <c r="K334" s="4">
        <f>VLOOKUP(C334,nodes!A:D,4,0)</f>
        <v>210</v>
      </c>
      <c r="L334" s="4">
        <f t="shared" si="32"/>
        <v>30</v>
      </c>
      <c r="N334" s="12">
        <f t="shared" si="33"/>
        <v>7437500</v>
      </c>
      <c r="O334" s="12">
        <f t="shared" si="34"/>
        <v>42840000</v>
      </c>
      <c r="P334" s="12">
        <f t="shared" si="35"/>
        <v>11900</v>
      </c>
    </row>
    <row r="335" spans="1:16" x14ac:dyDescent="0.25">
      <c r="A335" s="3">
        <v>334</v>
      </c>
      <c r="B335" s="3">
        <v>75</v>
      </c>
      <c r="C335" s="3">
        <v>96</v>
      </c>
      <c r="D335" s="2">
        <v>11140</v>
      </c>
      <c r="E335" s="2">
        <f t="shared" si="30"/>
        <v>5492.5</v>
      </c>
      <c r="F335" s="2">
        <v>2380</v>
      </c>
      <c r="G335" s="2">
        <f t="shared" si="31"/>
        <v>991.66666666666674</v>
      </c>
      <c r="H335" s="4">
        <f>VLOOKUP(B335,nodes!A:D,2,0)</f>
        <v>330</v>
      </c>
      <c r="I335" s="4">
        <f>VLOOKUP(B335,nodes!A:D,4,0)</f>
        <v>210</v>
      </c>
      <c r="J335" s="4">
        <f>VLOOKUP(C335,nodes!A:D,2,0)</f>
        <v>330</v>
      </c>
      <c r="K335" s="4">
        <f>VLOOKUP(C335,nodes!A:D,4,0)</f>
        <v>180</v>
      </c>
      <c r="L335" s="4">
        <f t="shared" si="32"/>
        <v>30</v>
      </c>
      <c r="N335" s="12">
        <f t="shared" si="33"/>
        <v>7437500</v>
      </c>
      <c r="O335" s="12">
        <f t="shared" si="34"/>
        <v>42840000</v>
      </c>
      <c r="P335" s="12">
        <f t="shared" si="35"/>
        <v>11900</v>
      </c>
    </row>
    <row r="336" spans="1:16" x14ac:dyDescent="0.25">
      <c r="A336" s="3">
        <v>335</v>
      </c>
      <c r="B336" s="3">
        <v>96</v>
      </c>
      <c r="C336" s="3">
        <v>117</v>
      </c>
      <c r="D336" s="2">
        <v>11140</v>
      </c>
      <c r="E336" s="2">
        <f t="shared" si="30"/>
        <v>5492.5</v>
      </c>
      <c r="F336" s="2">
        <v>2380</v>
      </c>
      <c r="G336" s="2">
        <f t="shared" si="31"/>
        <v>991.66666666666674</v>
      </c>
      <c r="H336" s="4">
        <f>VLOOKUP(B336,nodes!A:D,2,0)</f>
        <v>330</v>
      </c>
      <c r="I336" s="4">
        <f>VLOOKUP(B336,nodes!A:D,4,0)</f>
        <v>180</v>
      </c>
      <c r="J336" s="4">
        <f>VLOOKUP(C336,nodes!A:D,2,0)</f>
        <v>330</v>
      </c>
      <c r="K336" s="4">
        <f>VLOOKUP(C336,nodes!A:D,4,0)</f>
        <v>150</v>
      </c>
      <c r="L336" s="4">
        <f t="shared" si="32"/>
        <v>30</v>
      </c>
      <c r="N336" s="12">
        <f t="shared" si="33"/>
        <v>7437500</v>
      </c>
      <c r="O336" s="12">
        <f t="shared" si="34"/>
        <v>42840000</v>
      </c>
      <c r="P336" s="12">
        <f t="shared" si="35"/>
        <v>11900</v>
      </c>
    </row>
    <row r="337" spans="1:16" x14ac:dyDescent="0.25">
      <c r="A337" s="3">
        <v>336</v>
      </c>
      <c r="B337" s="3">
        <v>117</v>
      </c>
      <c r="C337" s="3">
        <v>138</v>
      </c>
      <c r="D337" s="2">
        <v>11140</v>
      </c>
      <c r="E337" s="2">
        <f t="shared" si="30"/>
        <v>5492.5</v>
      </c>
      <c r="F337" s="2">
        <v>2380</v>
      </c>
      <c r="G337" s="2">
        <f t="shared" si="31"/>
        <v>991.66666666666674</v>
      </c>
      <c r="H337" s="4">
        <f>VLOOKUP(B337,nodes!A:D,2,0)</f>
        <v>330</v>
      </c>
      <c r="I337" s="4">
        <f>VLOOKUP(B337,nodes!A:D,4,0)</f>
        <v>150</v>
      </c>
      <c r="J337" s="4">
        <f>VLOOKUP(C337,nodes!A:D,2,0)</f>
        <v>330</v>
      </c>
      <c r="K337" s="4">
        <f>VLOOKUP(C337,nodes!A:D,4,0)</f>
        <v>120</v>
      </c>
      <c r="L337" s="4">
        <f t="shared" si="32"/>
        <v>30</v>
      </c>
      <c r="N337" s="12">
        <f t="shared" si="33"/>
        <v>7437500</v>
      </c>
      <c r="O337" s="12">
        <f t="shared" si="34"/>
        <v>42840000</v>
      </c>
      <c r="P337" s="12">
        <f t="shared" si="35"/>
        <v>11900</v>
      </c>
    </row>
    <row r="338" spans="1:16" x14ac:dyDescent="0.25">
      <c r="A338" s="3">
        <v>337</v>
      </c>
      <c r="B338" s="3">
        <v>138</v>
      </c>
      <c r="C338" s="3">
        <v>159</v>
      </c>
      <c r="D338" s="2">
        <v>11140</v>
      </c>
      <c r="E338" s="2">
        <f t="shared" si="30"/>
        <v>5492.5</v>
      </c>
      <c r="F338" s="2">
        <v>2380</v>
      </c>
      <c r="G338" s="2">
        <f t="shared" si="31"/>
        <v>991.66666666666674</v>
      </c>
      <c r="H338" s="4">
        <f>VLOOKUP(B338,nodes!A:D,2,0)</f>
        <v>330</v>
      </c>
      <c r="I338" s="4">
        <f>VLOOKUP(B338,nodes!A:D,4,0)</f>
        <v>120</v>
      </c>
      <c r="J338" s="4">
        <f>VLOOKUP(C338,nodes!A:D,2,0)</f>
        <v>330</v>
      </c>
      <c r="K338" s="4">
        <f>VLOOKUP(C338,nodes!A:D,4,0)</f>
        <v>90</v>
      </c>
      <c r="L338" s="4">
        <f t="shared" si="32"/>
        <v>30</v>
      </c>
      <c r="N338" s="12">
        <f t="shared" si="33"/>
        <v>7437500</v>
      </c>
      <c r="O338" s="12">
        <f t="shared" si="34"/>
        <v>42840000</v>
      </c>
      <c r="P338" s="12">
        <f t="shared" si="35"/>
        <v>11900</v>
      </c>
    </row>
    <row r="339" spans="1:16" x14ac:dyDescent="0.25">
      <c r="A339" s="3">
        <v>338</v>
      </c>
      <c r="B339" s="3">
        <v>159</v>
      </c>
      <c r="C339" s="3">
        <v>180</v>
      </c>
      <c r="D339" s="2">
        <v>11140</v>
      </c>
      <c r="E339" s="2">
        <f t="shared" si="30"/>
        <v>5492.5</v>
      </c>
      <c r="F339" s="2">
        <v>2380</v>
      </c>
      <c r="G339" s="2">
        <f t="shared" si="31"/>
        <v>991.66666666666674</v>
      </c>
      <c r="H339" s="4">
        <f>VLOOKUP(B339,nodes!A:D,2,0)</f>
        <v>330</v>
      </c>
      <c r="I339" s="4">
        <f>VLOOKUP(B339,nodes!A:D,4,0)</f>
        <v>90</v>
      </c>
      <c r="J339" s="4">
        <f>VLOOKUP(C339,nodes!A:D,2,0)</f>
        <v>330</v>
      </c>
      <c r="K339" s="4">
        <f>VLOOKUP(C339,nodes!A:D,4,0)</f>
        <v>60</v>
      </c>
      <c r="L339" s="4">
        <f t="shared" si="32"/>
        <v>30</v>
      </c>
      <c r="N339" s="12">
        <f t="shared" si="33"/>
        <v>7437500</v>
      </c>
      <c r="O339" s="12">
        <f t="shared" si="34"/>
        <v>42840000</v>
      </c>
      <c r="P339" s="12">
        <f t="shared" si="35"/>
        <v>11900</v>
      </c>
    </row>
    <row r="340" spans="1:16" x14ac:dyDescent="0.25">
      <c r="A340" s="3">
        <v>339</v>
      </c>
      <c r="B340" s="3">
        <v>180</v>
      </c>
      <c r="C340" s="3">
        <v>201</v>
      </c>
      <c r="D340" s="2">
        <v>11140</v>
      </c>
      <c r="E340" s="2">
        <f t="shared" si="30"/>
        <v>5492.5</v>
      </c>
      <c r="F340" s="2">
        <v>2380</v>
      </c>
      <c r="G340" s="2">
        <f t="shared" si="31"/>
        <v>991.66666666666674</v>
      </c>
      <c r="H340" s="4">
        <f>VLOOKUP(B340,nodes!A:D,2,0)</f>
        <v>330</v>
      </c>
      <c r="I340" s="4">
        <f>VLOOKUP(B340,nodes!A:D,4,0)</f>
        <v>60</v>
      </c>
      <c r="J340" s="4">
        <f>VLOOKUP(C340,nodes!A:D,2,0)</f>
        <v>330</v>
      </c>
      <c r="K340" s="4">
        <f>VLOOKUP(C340,nodes!A:D,4,0)</f>
        <v>30</v>
      </c>
      <c r="L340" s="4">
        <f t="shared" si="32"/>
        <v>30</v>
      </c>
      <c r="N340" s="12">
        <f t="shared" si="33"/>
        <v>7437500</v>
      </c>
      <c r="O340" s="12">
        <f t="shared" si="34"/>
        <v>42840000</v>
      </c>
      <c r="P340" s="12">
        <f t="shared" si="35"/>
        <v>11900</v>
      </c>
    </row>
    <row r="341" spans="1:16" x14ac:dyDescent="0.25">
      <c r="A341" s="3">
        <v>340</v>
      </c>
      <c r="B341" s="3">
        <v>201</v>
      </c>
      <c r="C341" s="3">
        <v>222</v>
      </c>
      <c r="D341" s="2">
        <v>11140</v>
      </c>
      <c r="E341" s="2">
        <f t="shared" si="30"/>
        <v>5492.5</v>
      </c>
      <c r="F341" s="2">
        <v>2380</v>
      </c>
      <c r="G341" s="2">
        <f t="shared" si="31"/>
        <v>991.66666666666674</v>
      </c>
      <c r="H341" s="4">
        <f>VLOOKUP(B341,nodes!A:D,2,0)</f>
        <v>330</v>
      </c>
      <c r="I341" s="4">
        <f>VLOOKUP(B341,nodes!A:D,4,0)</f>
        <v>30</v>
      </c>
      <c r="J341" s="4">
        <f>VLOOKUP(C341,nodes!A:D,2,0)</f>
        <v>330</v>
      </c>
      <c r="K341" s="4">
        <f>VLOOKUP(C341,nodes!A:D,4,0)</f>
        <v>0</v>
      </c>
      <c r="L341" s="4">
        <f t="shared" si="32"/>
        <v>30</v>
      </c>
      <c r="N341" s="12">
        <f t="shared" si="33"/>
        <v>7437500</v>
      </c>
      <c r="O341" s="12">
        <f t="shared" si="34"/>
        <v>42840000</v>
      </c>
      <c r="P341" s="12">
        <f t="shared" si="35"/>
        <v>11900</v>
      </c>
    </row>
    <row r="342" spans="1:16" x14ac:dyDescent="0.25">
      <c r="A342" s="3">
        <v>341</v>
      </c>
      <c r="B342" s="3">
        <v>13</v>
      </c>
      <c r="C342" s="3">
        <v>34</v>
      </c>
      <c r="D342" s="2">
        <v>11140</v>
      </c>
      <c r="E342" s="2">
        <f t="shared" si="30"/>
        <v>5492.5</v>
      </c>
      <c r="F342" s="2">
        <v>2380</v>
      </c>
      <c r="G342" s="2">
        <f t="shared" si="31"/>
        <v>991.66666666666674</v>
      </c>
      <c r="H342" s="4">
        <f>VLOOKUP(B342,nodes!A:D,2,0)</f>
        <v>360</v>
      </c>
      <c r="I342" s="4">
        <f>VLOOKUP(B342,nodes!A:D,4,0)</f>
        <v>300</v>
      </c>
      <c r="J342" s="4">
        <f>VLOOKUP(C342,nodes!A:D,2,0)</f>
        <v>360</v>
      </c>
      <c r="K342" s="4">
        <f>VLOOKUP(C342,nodes!A:D,4,0)</f>
        <v>270</v>
      </c>
      <c r="L342" s="4">
        <f t="shared" si="32"/>
        <v>30</v>
      </c>
      <c r="N342" s="12">
        <f t="shared" si="33"/>
        <v>7437500</v>
      </c>
      <c r="O342" s="12">
        <f t="shared" si="34"/>
        <v>42840000</v>
      </c>
      <c r="P342" s="12">
        <f t="shared" si="35"/>
        <v>11900</v>
      </c>
    </row>
    <row r="343" spans="1:16" x14ac:dyDescent="0.25">
      <c r="A343" s="3">
        <v>342</v>
      </c>
      <c r="B343" s="3">
        <v>34</v>
      </c>
      <c r="C343" s="3">
        <v>55</v>
      </c>
      <c r="D343" s="2">
        <v>11140</v>
      </c>
      <c r="E343" s="2">
        <f t="shared" si="30"/>
        <v>5492.5</v>
      </c>
      <c r="F343" s="2">
        <v>2380</v>
      </c>
      <c r="G343" s="2">
        <f t="shared" si="31"/>
        <v>991.66666666666674</v>
      </c>
      <c r="H343" s="4">
        <f>VLOOKUP(B343,nodes!A:D,2,0)</f>
        <v>360</v>
      </c>
      <c r="I343" s="4">
        <f>VLOOKUP(B343,nodes!A:D,4,0)</f>
        <v>270</v>
      </c>
      <c r="J343" s="4">
        <f>VLOOKUP(C343,nodes!A:D,2,0)</f>
        <v>360</v>
      </c>
      <c r="K343" s="4">
        <f>VLOOKUP(C343,nodes!A:D,4,0)</f>
        <v>240</v>
      </c>
      <c r="L343" s="4">
        <f t="shared" si="32"/>
        <v>30</v>
      </c>
      <c r="N343" s="12">
        <f t="shared" si="33"/>
        <v>7437500</v>
      </c>
      <c r="O343" s="12">
        <f t="shared" si="34"/>
        <v>42840000</v>
      </c>
      <c r="P343" s="12">
        <f t="shared" si="35"/>
        <v>11900</v>
      </c>
    </row>
    <row r="344" spans="1:16" x14ac:dyDescent="0.25">
      <c r="A344" s="3">
        <v>343</v>
      </c>
      <c r="B344" s="3">
        <v>55</v>
      </c>
      <c r="C344" s="3">
        <v>76</v>
      </c>
      <c r="D344" s="2">
        <v>11140</v>
      </c>
      <c r="E344" s="2">
        <f t="shared" si="30"/>
        <v>5492.5</v>
      </c>
      <c r="F344" s="2">
        <v>2380</v>
      </c>
      <c r="G344" s="2">
        <f t="shared" si="31"/>
        <v>991.66666666666674</v>
      </c>
      <c r="H344" s="4">
        <f>VLOOKUP(B344,nodes!A:D,2,0)</f>
        <v>360</v>
      </c>
      <c r="I344" s="4">
        <f>VLOOKUP(B344,nodes!A:D,4,0)</f>
        <v>240</v>
      </c>
      <c r="J344" s="4">
        <f>VLOOKUP(C344,nodes!A:D,2,0)</f>
        <v>360</v>
      </c>
      <c r="K344" s="4">
        <f>VLOOKUP(C344,nodes!A:D,4,0)</f>
        <v>210</v>
      </c>
      <c r="L344" s="4">
        <f t="shared" si="32"/>
        <v>30</v>
      </c>
      <c r="N344" s="12">
        <f t="shared" si="33"/>
        <v>7437500</v>
      </c>
      <c r="O344" s="12">
        <f t="shared" si="34"/>
        <v>42840000</v>
      </c>
      <c r="P344" s="12">
        <f t="shared" si="35"/>
        <v>11900</v>
      </c>
    </row>
    <row r="345" spans="1:16" x14ac:dyDescent="0.25">
      <c r="A345" s="3">
        <v>344</v>
      </c>
      <c r="B345" s="3">
        <v>76</v>
      </c>
      <c r="C345" s="3">
        <v>97</v>
      </c>
      <c r="D345" s="2">
        <v>11140</v>
      </c>
      <c r="E345" s="2">
        <f t="shared" si="30"/>
        <v>5492.5</v>
      </c>
      <c r="F345" s="2">
        <v>2380</v>
      </c>
      <c r="G345" s="2">
        <f t="shared" si="31"/>
        <v>991.66666666666674</v>
      </c>
      <c r="H345" s="4">
        <f>VLOOKUP(B345,nodes!A:D,2,0)</f>
        <v>360</v>
      </c>
      <c r="I345" s="4">
        <f>VLOOKUP(B345,nodes!A:D,4,0)</f>
        <v>210</v>
      </c>
      <c r="J345" s="4">
        <f>VLOOKUP(C345,nodes!A:D,2,0)</f>
        <v>360</v>
      </c>
      <c r="K345" s="4">
        <f>VLOOKUP(C345,nodes!A:D,4,0)</f>
        <v>180</v>
      </c>
      <c r="L345" s="4">
        <f t="shared" si="32"/>
        <v>30</v>
      </c>
      <c r="N345" s="12">
        <f t="shared" si="33"/>
        <v>7437500</v>
      </c>
      <c r="O345" s="12">
        <f t="shared" si="34"/>
        <v>42840000</v>
      </c>
      <c r="P345" s="12">
        <f t="shared" si="35"/>
        <v>11900</v>
      </c>
    </row>
    <row r="346" spans="1:16" x14ac:dyDescent="0.25">
      <c r="A346" s="3">
        <v>345</v>
      </c>
      <c r="B346" s="3">
        <v>97</v>
      </c>
      <c r="C346" s="3">
        <v>118</v>
      </c>
      <c r="D346" s="2">
        <v>11140</v>
      </c>
      <c r="E346" s="2">
        <f t="shared" si="30"/>
        <v>5492.5</v>
      </c>
      <c r="F346" s="2">
        <v>2380</v>
      </c>
      <c r="G346" s="2">
        <f t="shared" si="31"/>
        <v>991.66666666666674</v>
      </c>
      <c r="H346" s="4">
        <f>VLOOKUP(B346,nodes!A:D,2,0)</f>
        <v>360</v>
      </c>
      <c r="I346" s="4">
        <f>VLOOKUP(B346,nodes!A:D,4,0)</f>
        <v>180</v>
      </c>
      <c r="J346" s="4">
        <f>VLOOKUP(C346,nodes!A:D,2,0)</f>
        <v>360</v>
      </c>
      <c r="K346" s="4">
        <f>VLOOKUP(C346,nodes!A:D,4,0)</f>
        <v>150</v>
      </c>
      <c r="L346" s="4">
        <f t="shared" si="32"/>
        <v>30</v>
      </c>
      <c r="N346" s="12">
        <f t="shared" si="33"/>
        <v>7437500</v>
      </c>
      <c r="O346" s="12">
        <f t="shared" si="34"/>
        <v>42840000</v>
      </c>
      <c r="P346" s="12">
        <f t="shared" si="35"/>
        <v>11900</v>
      </c>
    </row>
    <row r="347" spans="1:16" x14ac:dyDescent="0.25">
      <c r="A347" s="3">
        <v>346</v>
      </c>
      <c r="B347" s="3">
        <v>118</v>
      </c>
      <c r="C347" s="3">
        <v>139</v>
      </c>
      <c r="D347" s="2">
        <v>11140</v>
      </c>
      <c r="E347" s="2">
        <f t="shared" si="30"/>
        <v>5492.5</v>
      </c>
      <c r="F347" s="2">
        <v>2380</v>
      </c>
      <c r="G347" s="2">
        <f t="shared" si="31"/>
        <v>991.66666666666674</v>
      </c>
      <c r="H347" s="4">
        <f>VLOOKUP(B347,nodes!A:D,2,0)</f>
        <v>360</v>
      </c>
      <c r="I347" s="4">
        <f>VLOOKUP(B347,nodes!A:D,4,0)</f>
        <v>150</v>
      </c>
      <c r="J347" s="4">
        <f>VLOOKUP(C347,nodes!A:D,2,0)</f>
        <v>360</v>
      </c>
      <c r="K347" s="4">
        <f>VLOOKUP(C347,nodes!A:D,4,0)</f>
        <v>120</v>
      </c>
      <c r="L347" s="4">
        <f t="shared" si="32"/>
        <v>30</v>
      </c>
      <c r="N347" s="12">
        <f t="shared" si="33"/>
        <v>7437500</v>
      </c>
      <c r="O347" s="12">
        <f t="shared" si="34"/>
        <v>42840000</v>
      </c>
      <c r="P347" s="12">
        <f t="shared" si="35"/>
        <v>11900</v>
      </c>
    </row>
    <row r="348" spans="1:16" x14ac:dyDescent="0.25">
      <c r="A348" s="3">
        <v>347</v>
      </c>
      <c r="B348" s="3">
        <v>139</v>
      </c>
      <c r="C348" s="3">
        <v>160</v>
      </c>
      <c r="D348" s="2">
        <v>11140</v>
      </c>
      <c r="E348" s="2">
        <f t="shared" si="30"/>
        <v>5492.5</v>
      </c>
      <c r="F348" s="2">
        <v>2380</v>
      </c>
      <c r="G348" s="2">
        <f t="shared" si="31"/>
        <v>991.66666666666674</v>
      </c>
      <c r="H348" s="4">
        <f>VLOOKUP(B348,nodes!A:D,2,0)</f>
        <v>360</v>
      </c>
      <c r="I348" s="4">
        <f>VLOOKUP(B348,nodes!A:D,4,0)</f>
        <v>120</v>
      </c>
      <c r="J348" s="4">
        <f>VLOOKUP(C348,nodes!A:D,2,0)</f>
        <v>360</v>
      </c>
      <c r="K348" s="4">
        <f>VLOOKUP(C348,nodes!A:D,4,0)</f>
        <v>90</v>
      </c>
      <c r="L348" s="4">
        <f t="shared" si="32"/>
        <v>30</v>
      </c>
      <c r="N348" s="12">
        <f t="shared" si="33"/>
        <v>7437500</v>
      </c>
      <c r="O348" s="12">
        <f t="shared" si="34"/>
        <v>42840000</v>
      </c>
      <c r="P348" s="12">
        <f t="shared" si="35"/>
        <v>11900</v>
      </c>
    </row>
    <row r="349" spans="1:16" x14ac:dyDescent="0.25">
      <c r="A349" s="3">
        <v>348</v>
      </c>
      <c r="B349" s="3">
        <v>160</v>
      </c>
      <c r="C349" s="3">
        <v>181</v>
      </c>
      <c r="D349" s="2">
        <v>11140</v>
      </c>
      <c r="E349" s="2">
        <f t="shared" si="30"/>
        <v>5492.5</v>
      </c>
      <c r="F349" s="2">
        <v>2380</v>
      </c>
      <c r="G349" s="2">
        <f t="shared" si="31"/>
        <v>991.66666666666674</v>
      </c>
      <c r="H349" s="4">
        <f>VLOOKUP(B349,nodes!A:D,2,0)</f>
        <v>360</v>
      </c>
      <c r="I349" s="4">
        <f>VLOOKUP(B349,nodes!A:D,4,0)</f>
        <v>90</v>
      </c>
      <c r="J349" s="4">
        <f>VLOOKUP(C349,nodes!A:D,2,0)</f>
        <v>360</v>
      </c>
      <c r="K349" s="4">
        <f>VLOOKUP(C349,nodes!A:D,4,0)</f>
        <v>60</v>
      </c>
      <c r="L349" s="4">
        <f t="shared" si="32"/>
        <v>30</v>
      </c>
      <c r="N349" s="12">
        <f t="shared" si="33"/>
        <v>7437500</v>
      </c>
      <c r="O349" s="12">
        <f t="shared" si="34"/>
        <v>42840000</v>
      </c>
      <c r="P349" s="12">
        <f t="shared" si="35"/>
        <v>11900</v>
      </c>
    </row>
    <row r="350" spans="1:16" x14ac:dyDescent="0.25">
      <c r="A350" s="3">
        <v>349</v>
      </c>
      <c r="B350" s="3">
        <v>181</v>
      </c>
      <c r="C350" s="3">
        <v>202</v>
      </c>
      <c r="D350" s="2">
        <v>11140</v>
      </c>
      <c r="E350" s="2">
        <f t="shared" si="30"/>
        <v>5492.5</v>
      </c>
      <c r="F350" s="2">
        <v>2380</v>
      </c>
      <c r="G350" s="2">
        <f t="shared" si="31"/>
        <v>991.66666666666674</v>
      </c>
      <c r="H350" s="4">
        <f>VLOOKUP(B350,nodes!A:D,2,0)</f>
        <v>360</v>
      </c>
      <c r="I350" s="4">
        <f>VLOOKUP(B350,nodes!A:D,4,0)</f>
        <v>60</v>
      </c>
      <c r="J350" s="4">
        <f>VLOOKUP(C350,nodes!A:D,2,0)</f>
        <v>360</v>
      </c>
      <c r="K350" s="4">
        <f>VLOOKUP(C350,nodes!A:D,4,0)</f>
        <v>30</v>
      </c>
      <c r="L350" s="4">
        <f t="shared" si="32"/>
        <v>30</v>
      </c>
      <c r="N350" s="12">
        <f t="shared" si="33"/>
        <v>7437500</v>
      </c>
      <c r="O350" s="12">
        <f t="shared" si="34"/>
        <v>42840000</v>
      </c>
      <c r="P350" s="12">
        <f t="shared" si="35"/>
        <v>11900</v>
      </c>
    </row>
    <row r="351" spans="1:16" x14ac:dyDescent="0.25">
      <c r="A351" s="3">
        <v>350</v>
      </c>
      <c r="B351" s="3">
        <v>202</v>
      </c>
      <c r="C351" s="3">
        <v>223</v>
      </c>
      <c r="D351" s="2">
        <v>11140</v>
      </c>
      <c r="E351" s="2">
        <f t="shared" si="30"/>
        <v>5492.5</v>
      </c>
      <c r="F351" s="2">
        <v>2380</v>
      </c>
      <c r="G351" s="2">
        <f t="shared" si="31"/>
        <v>991.66666666666674</v>
      </c>
      <c r="H351" s="4">
        <f>VLOOKUP(B351,nodes!A:D,2,0)</f>
        <v>360</v>
      </c>
      <c r="I351" s="4">
        <f>VLOOKUP(B351,nodes!A:D,4,0)</f>
        <v>30</v>
      </c>
      <c r="J351" s="4">
        <f>VLOOKUP(C351,nodes!A:D,2,0)</f>
        <v>360</v>
      </c>
      <c r="K351" s="4">
        <f>VLOOKUP(C351,nodes!A:D,4,0)</f>
        <v>0</v>
      </c>
      <c r="L351" s="4">
        <f t="shared" si="32"/>
        <v>30</v>
      </c>
      <c r="N351" s="12">
        <f t="shared" si="33"/>
        <v>7437500</v>
      </c>
      <c r="O351" s="12">
        <f t="shared" si="34"/>
        <v>42840000</v>
      </c>
      <c r="P351" s="12">
        <f t="shared" si="35"/>
        <v>11900</v>
      </c>
    </row>
    <row r="352" spans="1:16" x14ac:dyDescent="0.25">
      <c r="A352" s="3">
        <v>351</v>
      </c>
      <c r="B352" s="3">
        <v>14</v>
      </c>
      <c r="C352" s="3">
        <v>35</v>
      </c>
      <c r="D352" s="2">
        <v>11140</v>
      </c>
      <c r="E352" s="2">
        <f t="shared" si="30"/>
        <v>5492.5</v>
      </c>
      <c r="F352" s="2">
        <v>2380</v>
      </c>
      <c r="G352" s="2">
        <f t="shared" si="31"/>
        <v>991.66666666666674</v>
      </c>
      <c r="H352" s="4">
        <f>VLOOKUP(B352,nodes!A:D,2,0)</f>
        <v>390</v>
      </c>
      <c r="I352" s="4">
        <f>VLOOKUP(B352,nodes!A:D,4,0)</f>
        <v>300</v>
      </c>
      <c r="J352" s="4">
        <f>VLOOKUP(C352,nodes!A:D,2,0)</f>
        <v>390</v>
      </c>
      <c r="K352" s="4">
        <f>VLOOKUP(C352,nodes!A:D,4,0)</f>
        <v>270</v>
      </c>
      <c r="L352" s="4">
        <f t="shared" si="32"/>
        <v>30</v>
      </c>
      <c r="N352" s="12">
        <f t="shared" si="33"/>
        <v>7437500</v>
      </c>
      <c r="O352" s="12">
        <f t="shared" si="34"/>
        <v>42840000</v>
      </c>
      <c r="P352" s="12">
        <f t="shared" si="35"/>
        <v>11900</v>
      </c>
    </row>
    <row r="353" spans="1:16" x14ac:dyDescent="0.25">
      <c r="A353" s="3">
        <v>352</v>
      </c>
      <c r="B353" s="3">
        <v>35</v>
      </c>
      <c r="C353" s="3">
        <v>56</v>
      </c>
      <c r="D353" s="2">
        <v>11140</v>
      </c>
      <c r="E353" s="2">
        <f t="shared" si="30"/>
        <v>5492.5</v>
      </c>
      <c r="F353" s="2">
        <v>2380</v>
      </c>
      <c r="G353" s="2">
        <f t="shared" si="31"/>
        <v>991.66666666666674</v>
      </c>
      <c r="H353" s="4">
        <f>VLOOKUP(B353,nodes!A:D,2,0)</f>
        <v>390</v>
      </c>
      <c r="I353" s="4">
        <f>VLOOKUP(B353,nodes!A:D,4,0)</f>
        <v>270</v>
      </c>
      <c r="J353" s="4">
        <f>VLOOKUP(C353,nodes!A:D,2,0)</f>
        <v>390</v>
      </c>
      <c r="K353" s="4">
        <f>VLOOKUP(C353,nodes!A:D,4,0)</f>
        <v>240</v>
      </c>
      <c r="L353" s="4">
        <f t="shared" si="32"/>
        <v>30</v>
      </c>
      <c r="N353" s="12">
        <f t="shared" si="33"/>
        <v>7437500</v>
      </c>
      <c r="O353" s="12">
        <f t="shared" si="34"/>
        <v>42840000</v>
      </c>
      <c r="P353" s="12">
        <f t="shared" si="35"/>
        <v>11900</v>
      </c>
    </row>
    <row r="354" spans="1:16" x14ac:dyDescent="0.25">
      <c r="A354" s="3">
        <v>353</v>
      </c>
      <c r="B354" s="3">
        <v>56</v>
      </c>
      <c r="C354" s="3">
        <v>77</v>
      </c>
      <c r="D354" s="2">
        <v>11140</v>
      </c>
      <c r="E354" s="2">
        <f t="shared" si="30"/>
        <v>5492.5</v>
      </c>
      <c r="F354" s="2">
        <v>2380</v>
      </c>
      <c r="G354" s="2">
        <f t="shared" si="31"/>
        <v>991.66666666666674</v>
      </c>
      <c r="H354" s="4">
        <f>VLOOKUP(B354,nodes!A:D,2,0)</f>
        <v>390</v>
      </c>
      <c r="I354" s="4">
        <f>VLOOKUP(B354,nodes!A:D,4,0)</f>
        <v>240</v>
      </c>
      <c r="J354" s="4">
        <f>VLOOKUP(C354,nodes!A:D,2,0)</f>
        <v>390</v>
      </c>
      <c r="K354" s="4">
        <f>VLOOKUP(C354,nodes!A:D,4,0)</f>
        <v>210</v>
      </c>
      <c r="L354" s="4">
        <f t="shared" si="32"/>
        <v>30</v>
      </c>
      <c r="N354" s="12">
        <f t="shared" si="33"/>
        <v>7437500</v>
      </c>
      <c r="O354" s="12">
        <f t="shared" si="34"/>
        <v>42840000</v>
      </c>
      <c r="P354" s="12">
        <f t="shared" si="35"/>
        <v>11900</v>
      </c>
    </row>
    <row r="355" spans="1:16" x14ac:dyDescent="0.25">
      <c r="A355" s="3">
        <v>354</v>
      </c>
      <c r="B355" s="3">
        <v>77</v>
      </c>
      <c r="C355" s="3">
        <v>98</v>
      </c>
      <c r="D355" s="2">
        <v>11140</v>
      </c>
      <c r="E355" s="2">
        <f t="shared" si="30"/>
        <v>5492.5</v>
      </c>
      <c r="F355" s="2">
        <v>2380</v>
      </c>
      <c r="G355" s="2">
        <f t="shared" si="31"/>
        <v>991.66666666666674</v>
      </c>
      <c r="H355" s="4">
        <f>VLOOKUP(B355,nodes!A:D,2,0)</f>
        <v>390</v>
      </c>
      <c r="I355" s="4">
        <f>VLOOKUP(B355,nodes!A:D,4,0)</f>
        <v>210</v>
      </c>
      <c r="J355" s="4">
        <f>VLOOKUP(C355,nodes!A:D,2,0)</f>
        <v>390</v>
      </c>
      <c r="K355" s="4">
        <f>VLOOKUP(C355,nodes!A:D,4,0)</f>
        <v>180</v>
      </c>
      <c r="L355" s="4">
        <f t="shared" si="32"/>
        <v>30</v>
      </c>
      <c r="N355" s="12">
        <f t="shared" si="33"/>
        <v>7437500</v>
      </c>
      <c r="O355" s="12">
        <f t="shared" si="34"/>
        <v>42840000</v>
      </c>
      <c r="P355" s="12">
        <f t="shared" si="35"/>
        <v>11900</v>
      </c>
    </row>
    <row r="356" spans="1:16" x14ac:dyDescent="0.25">
      <c r="A356" s="3">
        <v>355</v>
      </c>
      <c r="B356" s="3">
        <v>98</v>
      </c>
      <c r="C356" s="3">
        <v>119</v>
      </c>
      <c r="D356" s="2">
        <v>11140</v>
      </c>
      <c r="E356" s="2">
        <f t="shared" si="30"/>
        <v>5492.5</v>
      </c>
      <c r="F356" s="2">
        <v>2380</v>
      </c>
      <c r="G356" s="2">
        <f t="shared" si="31"/>
        <v>991.66666666666674</v>
      </c>
      <c r="H356" s="4">
        <f>VLOOKUP(B356,nodes!A:D,2,0)</f>
        <v>390</v>
      </c>
      <c r="I356" s="4">
        <f>VLOOKUP(B356,nodes!A:D,4,0)</f>
        <v>180</v>
      </c>
      <c r="J356" s="4">
        <f>VLOOKUP(C356,nodes!A:D,2,0)</f>
        <v>390</v>
      </c>
      <c r="K356" s="4">
        <f>VLOOKUP(C356,nodes!A:D,4,0)</f>
        <v>150</v>
      </c>
      <c r="L356" s="4">
        <f t="shared" si="32"/>
        <v>30</v>
      </c>
      <c r="N356" s="12">
        <f t="shared" si="33"/>
        <v>7437500</v>
      </c>
      <c r="O356" s="12">
        <f t="shared" si="34"/>
        <v>42840000</v>
      </c>
      <c r="P356" s="12">
        <f t="shared" si="35"/>
        <v>11900</v>
      </c>
    </row>
    <row r="357" spans="1:16" x14ac:dyDescent="0.25">
      <c r="A357" s="3">
        <v>356</v>
      </c>
      <c r="B357" s="3">
        <v>119</v>
      </c>
      <c r="C357" s="3">
        <v>140</v>
      </c>
      <c r="D357" s="2">
        <v>11140</v>
      </c>
      <c r="E357" s="2">
        <f t="shared" si="30"/>
        <v>5492.5</v>
      </c>
      <c r="F357" s="2">
        <v>2380</v>
      </c>
      <c r="G357" s="2">
        <f t="shared" si="31"/>
        <v>991.66666666666674</v>
      </c>
      <c r="H357" s="4">
        <f>VLOOKUP(B357,nodes!A:D,2,0)</f>
        <v>390</v>
      </c>
      <c r="I357" s="4">
        <f>VLOOKUP(B357,nodes!A:D,4,0)</f>
        <v>150</v>
      </c>
      <c r="J357" s="4">
        <f>VLOOKUP(C357,nodes!A:D,2,0)</f>
        <v>390</v>
      </c>
      <c r="K357" s="4">
        <f>VLOOKUP(C357,nodes!A:D,4,0)</f>
        <v>120</v>
      </c>
      <c r="L357" s="4">
        <f t="shared" si="32"/>
        <v>30</v>
      </c>
      <c r="N357" s="12">
        <f t="shared" si="33"/>
        <v>7437500</v>
      </c>
      <c r="O357" s="12">
        <f t="shared" si="34"/>
        <v>42840000</v>
      </c>
      <c r="P357" s="12">
        <f t="shared" si="35"/>
        <v>11900</v>
      </c>
    </row>
    <row r="358" spans="1:16" x14ac:dyDescent="0.25">
      <c r="A358" s="3">
        <v>357</v>
      </c>
      <c r="B358" s="3">
        <v>140</v>
      </c>
      <c r="C358" s="3">
        <v>161</v>
      </c>
      <c r="D358" s="2">
        <v>11140</v>
      </c>
      <c r="E358" s="2">
        <f t="shared" si="30"/>
        <v>5492.5</v>
      </c>
      <c r="F358" s="2">
        <v>2380</v>
      </c>
      <c r="G358" s="2">
        <f t="shared" si="31"/>
        <v>991.66666666666674</v>
      </c>
      <c r="H358" s="4">
        <f>VLOOKUP(B358,nodes!A:D,2,0)</f>
        <v>390</v>
      </c>
      <c r="I358" s="4">
        <f>VLOOKUP(B358,nodes!A:D,4,0)</f>
        <v>120</v>
      </c>
      <c r="J358" s="4">
        <f>VLOOKUP(C358,nodes!A:D,2,0)</f>
        <v>390</v>
      </c>
      <c r="K358" s="4">
        <f>VLOOKUP(C358,nodes!A:D,4,0)</f>
        <v>90</v>
      </c>
      <c r="L358" s="4">
        <f t="shared" si="32"/>
        <v>30</v>
      </c>
      <c r="N358" s="12">
        <f t="shared" si="33"/>
        <v>7437500</v>
      </c>
      <c r="O358" s="12">
        <f t="shared" si="34"/>
        <v>42840000</v>
      </c>
      <c r="P358" s="12">
        <f t="shared" si="35"/>
        <v>11900</v>
      </c>
    </row>
    <row r="359" spans="1:16" x14ac:dyDescent="0.25">
      <c r="A359" s="3">
        <v>358</v>
      </c>
      <c r="B359" s="3">
        <v>161</v>
      </c>
      <c r="C359" s="3">
        <v>182</v>
      </c>
      <c r="D359" s="2">
        <v>11140</v>
      </c>
      <c r="E359" s="2">
        <f t="shared" si="30"/>
        <v>5492.5</v>
      </c>
      <c r="F359" s="2">
        <v>2380</v>
      </c>
      <c r="G359" s="2">
        <f t="shared" si="31"/>
        <v>991.66666666666674</v>
      </c>
      <c r="H359" s="4">
        <f>VLOOKUP(B359,nodes!A:D,2,0)</f>
        <v>390</v>
      </c>
      <c r="I359" s="4">
        <f>VLOOKUP(B359,nodes!A:D,4,0)</f>
        <v>90</v>
      </c>
      <c r="J359" s="4">
        <f>VLOOKUP(C359,nodes!A:D,2,0)</f>
        <v>390</v>
      </c>
      <c r="K359" s="4">
        <f>VLOOKUP(C359,nodes!A:D,4,0)</f>
        <v>60</v>
      </c>
      <c r="L359" s="4">
        <f t="shared" si="32"/>
        <v>30</v>
      </c>
      <c r="N359" s="12">
        <f t="shared" si="33"/>
        <v>7437500</v>
      </c>
      <c r="O359" s="12">
        <f t="shared" si="34"/>
        <v>42840000</v>
      </c>
      <c r="P359" s="12">
        <f t="shared" si="35"/>
        <v>11900</v>
      </c>
    </row>
    <row r="360" spans="1:16" x14ac:dyDescent="0.25">
      <c r="A360" s="3">
        <v>359</v>
      </c>
      <c r="B360" s="3">
        <v>182</v>
      </c>
      <c r="C360" s="3">
        <v>203</v>
      </c>
      <c r="D360" s="2">
        <v>11140</v>
      </c>
      <c r="E360" s="2">
        <f t="shared" si="30"/>
        <v>5492.5</v>
      </c>
      <c r="F360" s="2">
        <v>2380</v>
      </c>
      <c r="G360" s="2">
        <f t="shared" si="31"/>
        <v>991.66666666666674</v>
      </c>
      <c r="H360" s="4">
        <f>VLOOKUP(B360,nodes!A:D,2,0)</f>
        <v>390</v>
      </c>
      <c r="I360" s="4">
        <f>VLOOKUP(B360,nodes!A:D,4,0)</f>
        <v>60</v>
      </c>
      <c r="J360" s="4">
        <f>VLOOKUP(C360,nodes!A:D,2,0)</f>
        <v>390</v>
      </c>
      <c r="K360" s="4">
        <f>VLOOKUP(C360,nodes!A:D,4,0)</f>
        <v>30</v>
      </c>
      <c r="L360" s="4">
        <f t="shared" si="32"/>
        <v>30</v>
      </c>
      <c r="N360" s="12">
        <f t="shared" si="33"/>
        <v>7437500</v>
      </c>
      <c r="O360" s="12">
        <f t="shared" si="34"/>
        <v>42840000</v>
      </c>
      <c r="P360" s="12">
        <f t="shared" si="35"/>
        <v>11900</v>
      </c>
    </row>
    <row r="361" spans="1:16" x14ac:dyDescent="0.25">
      <c r="A361" s="3">
        <v>360</v>
      </c>
      <c r="B361" s="3">
        <v>203</v>
      </c>
      <c r="C361" s="3">
        <v>224</v>
      </c>
      <c r="D361" s="2">
        <v>11140</v>
      </c>
      <c r="E361" s="2">
        <f t="shared" si="30"/>
        <v>5492.5</v>
      </c>
      <c r="F361" s="2">
        <v>2380</v>
      </c>
      <c r="G361" s="2">
        <f t="shared" si="31"/>
        <v>991.66666666666674</v>
      </c>
      <c r="H361" s="4">
        <f>VLOOKUP(B361,nodes!A:D,2,0)</f>
        <v>390</v>
      </c>
      <c r="I361" s="4">
        <f>VLOOKUP(B361,nodes!A:D,4,0)</f>
        <v>30</v>
      </c>
      <c r="J361" s="4">
        <f>VLOOKUP(C361,nodes!A:D,2,0)</f>
        <v>390</v>
      </c>
      <c r="K361" s="4">
        <f>VLOOKUP(C361,nodes!A:D,4,0)</f>
        <v>0</v>
      </c>
      <c r="L361" s="4">
        <f t="shared" si="32"/>
        <v>30</v>
      </c>
      <c r="N361" s="12">
        <f t="shared" si="33"/>
        <v>7437500</v>
      </c>
      <c r="O361" s="12">
        <f t="shared" si="34"/>
        <v>42840000</v>
      </c>
      <c r="P361" s="12">
        <f t="shared" si="35"/>
        <v>11900</v>
      </c>
    </row>
    <row r="362" spans="1:16" x14ac:dyDescent="0.25">
      <c r="A362" s="3">
        <v>361</v>
      </c>
      <c r="B362" s="3">
        <v>15</v>
      </c>
      <c r="C362" s="3">
        <v>36</v>
      </c>
      <c r="D362" s="2">
        <v>11140</v>
      </c>
      <c r="E362" s="2">
        <f t="shared" si="30"/>
        <v>5492.5</v>
      </c>
      <c r="F362" s="2">
        <v>2380</v>
      </c>
      <c r="G362" s="2">
        <f t="shared" si="31"/>
        <v>991.66666666666674</v>
      </c>
      <c r="H362" s="4">
        <f>VLOOKUP(B362,nodes!A:D,2,0)</f>
        <v>420</v>
      </c>
      <c r="I362" s="4">
        <f>VLOOKUP(B362,nodes!A:D,4,0)</f>
        <v>300</v>
      </c>
      <c r="J362" s="4">
        <f>VLOOKUP(C362,nodes!A:D,2,0)</f>
        <v>420</v>
      </c>
      <c r="K362" s="4">
        <f>VLOOKUP(C362,nodes!A:D,4,0)</f>
        <v>270</v>
      </c>
      <c r="L362" s="4">
        <f t="shared" si="32"/>
        <v>30</v>
      </c>
      <c r="N362" s="12">
        <f t="shared" si="33"/>
        <v>7437500</v>
      </c>
      <c r="O362" s="12">
        <f t="shared" si="34"/>
        <v>42840000</v>
      </c>
      <c r="P362" s="12">
        <f t="shared" si="35"/>
        <v>11900</v>
      </c>
    </row>
    <row r="363" spans="1:16" x14ac:dyDescent="0.25">
      <c r="A363" s="3">
        <v>362</v>
      </c>
      <c r="B363" s="3">
        <v>36</v>
      </c>
      <c r="C363" s="3">
        <v>57</v>
      </c>
      <c r="D363" s="2">
        <v>11140</v>
      </c>
      <c r="E363" s="2">
        <f t="shared" si="30"/>
        <v>5492.5</v>
      </c>
      <c r="F363" s="2">
        <v>2380</v>
      </c>
      <c r="G363" s="2">
        <f t="shared" si="31"/>
        <v>991.66666666666674</v>
      </c>
      <c r="H363" s="4">
        <f>VLOOKUP(B363,nodes!A:D,2,0)</f>
        <v>420</v>
      </c>
      <c r="I363" s="4">
        <f>VLOOKUP(B363,nodes!A:D,4,0)</f>
        <v>270</v>
      </c>
      <c r="J363" s="4">
        <f>VLOOKUP(C363,nodes!A:D,2,0)</f>
        <v>420</v>
      </c>
      <c r="K363" s="4">
        <f>VLOOKUP(C363,nodes!A:D,4,0)</f>
        <v>240</v>
      </c>
      <c r="L363" s="4">
        <f t="shared" si="32"/>
        <v>30</v>
      </c>
      <c r="N363" s="12">
        <f t="shared" si="33"/>
        <v>7437500</v>
      </c>
      <c r="O363" s="12">
        <f t="shared" si="34"/>
        <v>42840000</v>
      </c>
      <c r="P363" s="12">
        <f t="shared" si="35"/>
        <v>11900</v>
      </c>
    </row>
    <row r="364" spans="1:16" x14ac:dyDescent="0.25">
      <c r="A364" s="3">
        <v>363</v>
      </c>
      <c r="B364" s="3">
        <v>57</v>
      </c>
      <c r="C364" s="3">
        <v>78</v>
      </c>
      <c r="D364" s="2">
        <v>11140</v>
      </c>
      <c r="E364" s="2">
        <f t="shared" si="30"/>
        <v>5492.5</v>
      </c>
      <c r="F364" s="2">
        <v>2380</v>
      </c>
      <c r="G364" s="2">
        <f t="shared" si="31"/>
        <v>991.66666666666674</v>
      </c>
      <c r="H364" s="4">
        <f>VLOOKUP(B364,nodes!A:D,2,0)</f>
        <v>420</v>
      </c>
      <c r="I364" s="4">
        <f>VLOOKUP(B364,nodes!A:D,4,0)</f>
        <v>240</v>
      </c>
      <c r="J364" s="4">
        <f>VLOOKUP(C364,nodes!A:D,2,0)</f>
        <v>420</v>
      </c>
      <c r="K364" s="4">
        <f>VLOOKUP(C364,nodes!A:D,4,0)</f>
        <v>210</v>
      </c>
      <c r="L364" s="4">
        <f t="shared" si="32"/>
        <v>30</v>
      </c>
      <c r="N364" s="12">
        <f t="shared" si="33"/>
        <v>7437500</v>
      </c>
      <c r="O364" s="12">
        <f t="shared" si="34"/>
        <v>42840000</v>
      </c>
      <c r="P364" s="12">
        <f t="shared" si="35"/>
        <v>11900</v>
      </c>
    </row>
    <row r="365" spans="1:16" x14ac:dyDescent="0.25">
      <c r="A365" s="3">
        <v>364</v>
      </c>
      <c r="B365" s="3">
        <v>78</v>
      </c>
      <c r="C365" s="3">
        <v>99</v>
      </c>
      <c r="D365" s="2">
        <v>11140</v>
      </c>
      <c r="E365" s="2">
        <f t="shared" si="30"/>
        <v>5492.5</v>
      </c>
      <c r="F365" s="2">
        <v>2380</v>
      </c>
      <c r="G365" s="2">
        <f t="shared" si="31"/>
        <v>991.66666666666674</v>
      </c>
      <c r="H365" s="4">
        <f>VLOOKUP(B365,nodes!A:D,2,0)</f>
        <v>420</v>
      </c>
      <c r="I365" s="4">
        <f>VLOOKUP(B365,nodes!A:D,4,0)</f>
        <v>210</v>
      </c>
      <c r="J365" s="4">
        <f>VLOOKUP(C365,nodes!A:D,2,0)</f>
        <v>420</v>
      </c>
      <c r="K365" s="4">
        <f>VLOOKUP(C365,nodes!A:D,4,0)</f>
        <v>180</v>
      </c>
      <c r="L365" s="4">
        <f t="shared" si="32"/>
        <v>30</v>
      </c>
      <c r="N365" s="12">
        <f t="shared" si="33"/>
        <v>7437500</v>
      </c>
      <c r="O365" s="12">
        <f t="shared" si="34"/>
        <v>42840000</v>
      </c>
      <c r="P365" s="12">
        <f t="shared" si="35"/>
        <v>11900</v>
      </c>
    </row>
    <row r="366" spans="1:16" x14ac:dyDescent="0.25">
      <c r="A366" s="3">
        <v>365</v>
      </c>
      <c r="B366" s="3">
        <v>99</v>
      </c>
      <c r="C366" s="3">
        <v>120</v>
      </c>
      <c r="D366" s="2">
        <v>11140</v>
      </c>
      <c r="E366" s="2">
        <f t="shared" si="30"/>
        <v>5492.5</v>
      </c>
      <c r="F366" s="2">
        <v>2380</v>
      </c>
      <c r="G366" s="2">
        <f t="shared" si="31"/>
        <v>991.66666666666674</v>
      </c>
      <c r="H366" s="4">
        <f>VLOOKUP(B366,nodes!A:D,2,0)</f>
        <v>420</v>
      </c>
      <c r="I366" s="4">
        <f>VLOOKUP(B366,nodes!A:D,4,0)</f>
        <v>180</v>
      </c>
      <c r="J366" s="4">
        <f>VLOOKUP(C366,nodes!A:D,2,0)</f>
        <v>420</v>
      </c>
      <c r="K366" s="4">
        <f>VLOOKUP(C366,nodes!A:D,4,0)</f>
        <v>150</v>
      </c>
      <c r="L366" s="4">
        <f t="shared" si="32"/>
        <v>30</v>
      </c>
      <c r="N366" s="12">
        <f t="shared" si="33"/>
        <v>7437500</v>
      </c>
      <c r="O366" s="12">
        <f t="shared" si="34"/>
        <v>42840000</v>
      </c>
      <c r="P366" s="12">
        <f t="shared" si="35"/>
        <v>11900</v>
      </c>
    </row>
    <row r="367" spans="1:16" x14ac:dyDescent="0.25">
      <c r="A367" s="3">
        <v>366</v>
      </c>
      <c r="B367" s="3">
        <v>120</v>
      </c>
      <c r="C367" s="3">
        <v>141</v>
      </c>
      <c r="D367" s="2">
        <v>11140</v>
      </c>
      <c r="E367" s="2">
        <f t="shared" si="30"/>
        <v>5492.5</v>
      </c>
      <c r="F367" s="2">
        <v>2380</v>
      </c>
      <c r="G367" s="2">
        <f t="shared" si="31"/>
        <v>991.66666666666674</v>
      </c>
      <c r="H367" s="4">
        <f>VLOOKUP(B367,nodes!A:D,2,0)</f>
        <v>420</v>
      </c>
      <c r="I367" s="4">
        <f>VLOOKUP(B367,nodes!A:D,4,0)</f>
        <v>150</v>
      </c>
      <c r="J367" s="4">
        <f>VLOOKUP(C367,nodes!A:D,2,0)</f>
        <v>420</v>
      </c>
      <c r="K367" s="4">
        <f>VLOOKUP(C367,nodes!A:D,4,0)</f>
        <v>120</v>
      </c>
      <c r="L367" s="4">
        <f t="shared" si="32"/>
        <v>30</v>
      </c>
      <c r="N367" s="12">
        <f t="shared" si="33"/>
        <v>7437500</v>
      </c>
      <c r="O367" s="12">
        <f t="shared" si="34"/>
        <v>42840000</v>
      </c>
      <c r="P367" s="12">
        <f t="shared" si="35"/>
        <v>11900</v>
      </c>
    </row>
    <row r="368" spans="1:16" x14ac:dyDescent="0.25">
      <c r="A368" s="3">
        <v>367</v>
      </c>
      <c r="B368" s="3">
        <v>141</v>
      </c>
      <c r="C368" s="3">
        <v>162</v>
      </c>
      <c r="D368" s="2">
        <v>11140</v>
      </c>
      <c r="E368" s="2">
        <f t="shared" si="30"/>
        <v>5492.5</v>
      </c>
      <c r="F368" s="2">
        <v>2380</v>
      </c>
      <c r="G368" s="2">
        <f t="shared" si="31"/>
        <v>991.66666666666674</v>
      </c>
      <c r="H368" s="4">
        <f>VLOOKUP(B368,nodes!A:D,2,0)</f>
        <v>420</v>
      </c>
      <c r="I368" s="4">
        <f>VLOOKUP(B368,nodes!A:D,4,0)</f>
        <v>120</v>
      </c>
      <c r="J368" s="4">
        <f>VLOOKUP(C368,nodes!A:D,2,0)</f>
        <v>420</v>
      </c>
      <c r="K368" s="4">
        <f>VLOOKUP(C368,nodes!A:D,4,0)</f>
        <v>90</v>
      </c>
      <c r="L368" s="4">
        <f t="shared" si="32"/>
        <v>30</v>
      </c>
      <c r="N368" s="12">
        <f t="shared" si="33"/>
        <v>7437500</v>
      </c>
      <c r="O368" s="12">
        <f t="shared" si="34"/>
        <v>42840000</v>
      </c>
      <c r="P368" s="12">
        <f t="shared" si="35"/>
        <v>11900</v>
      </c>
    </row>
    <row r="369" spans="1:16" x14ac:dyDescent="0.25">
      <c r="A369" s="3">
        <v>368</v>
      </c>
      <c r="B369" s="3">
        <v>162</v>
      </c>
      <c r="C369" s="3">
        <v>183</v>
      </c>
      <c r="D369" s="2">
        <v>11140</v>
      </c>
      <c r="E369" s="2">
        <f t="shared" si="30"/>
        <v>5492.5</v>
      </c>
      <c r="F369" s="2">
        <v>2380</v>
      </c>
      <c r="G369" s="2">
        <f t="shared" si="31"/>
        <v>991.66666666666674</v>
      </c>
      <c r="H369" s="4">
        <f>VLOOKUP(B369,nodes!A:D,2,0)</f>
        <v>420</v>
      </c>
      <c r="I369" s="4">
        <f>VLOOKUP(B369,nodes!A:D,4,0)</f>
        <v>90</v>
      </c>
      <c r="J369" s="4">
        <f>VLOOKUP(C369,nodes!A:D,2,0)</f>
        <v>420</v>
      </c>
      <c r="K369" s="4">
        <f>VLOOKUP(C369,nodes!A:D,4,0)</f>
        <v>60</v>
      </c>
      <c r="L369" s="4">
        <f t="shared" si="32"/>
        <v>30</v>
      </c>
      <c r="N369" s="12">
        <f t="shared" si="33"/>
        <v>7437500</v>
      </c>
      <c r="O369" s="12">
        <f t="shared" si="34"/>
        <v>42840000</v>
      </c>
      <c r="P369" s="12">
        <f t="shared" si="35"/>
        <v>11900</v>
      </c>
    </row>
    <row r="370" spans="1:16" x14ac:dyDescent="0.25">
      <c r="A370" s="3">
        <v>369</v>
      </c>
      <c r="B370" s="3">
        <v>183</v>
      </c>
      <c r="C370" s="3">
        <v>204</v>
      </c>
      <c r="D370" s="2">
        <v>11140</v>
      </c>
      <c r="E370" s="2">
        <f t="shared" si="30"/>
        <v>5492.5</v>
      </c>
      <c r="F370" s="2">
        <v>2380</v>
      </c>
      <c r="G370" s="2">
        <f t="shared" si="31"/>
        <v>991.66666666666674</v>
      </c>
      <c r="H370" s="4">
        <f>VLOOKUP(B370,nodes!A:D,2,0)</f>
        <v>420</v>
      </c>
      <c r="I370" s="4">
        <f>VLOOKUP(B370,nodes!A:D,4,0)</f>
        <v>60</v>
      </c>
      <c r="J370" s="4">
        <f>VLOOKUP(C370,nodes!A:D,2,0)</f>
        <v>420</v>
      </c>
      <c r="K370" s="4">
        <f>VLOOKUP(C370,nodes!A:D,4,0)</f>
        <v>30</v>
      </c>
      <c r="L370" s="4">
        <f t="shared" si="32"/>
        <v>30</v>
      </c>
      <c r="N370" s="12">
        <f t="shared" si="33"/>
        <v>7437500</v>
      </c>
      <c r="O370" s="12">
        <f t="shared" si="34"/>
        <v>42840000</v>
      </c>
      <c r="P370" s="12">
        <f t="shared" si="35"/>
        <v>11900</v>
      </c>
    </row>
    <row r="371" spans="1:16" x14ac:dyDescent="0.25">
      <c r="A371" s="3">
        <v>370</v>
      </c>
      <c r="B371" s="3">
        <v>204</v>
      </c>
      <c r="C371" s="3">
        <v>225</v>
      </c>
      <c r="D371" s="2">
        <v>11140</v>
      </c>
      <c r="E371" s="2">
        <f t="shared" si="30"/>
        <v>5492.5</v>
      </c>
      <c r="F371" s="2">
        <v>2380</v>
      </c>
      <c r="G371" s="2">
        <f t="shared" si="31"/>
        <v>991.66666666666674</v>
      </c>
      <c r="H371" s="4">
        <f>VLOOKUP(B371,nodes!A:D,2,0)</f>
        <v>420</v>
      </c>
      <c r="I371" s="4">
        <f>VLOOKUP(B371,nodes!A:D,4,0)</f>
        <v>30</v>
      </c>
      <c r="J371" s="4">
        <f>VLOOKUP(C371,nodes!A:D,2,0)</f>
        <v>420</v>
      </c>
      <c r="K371" s="4">
        <f>VLOOKUP(C371,nodes!A:D,4,0)</f>
        <v>0</v>
      </c>
      <c r="L371" s="4">
        <f t="shared" si="32"/>
        <v>30</v>
      </c>
      <c r="N371" s="12">
        <f t="shared" si="33"/>
        <v>7437500</v>
      </c>
      <c r="O371" s="12">
        <f t="shared" si="34"/>
        <v>42840000</v>
      </c>
      <c r="P371" s="12">
        <f t="shared" si="35"/>
        <v>11900</v>
      </c>
    </row>
    <row r="372" spans="1:16" x14ac:dyDescent="0.25">
      <c r="A372" s="3">
        <v>371</v>
      </c>
      <c r="B372" s="3">
        <v>16</v>
      </c>
      <c r="C372" s="3">
        <v>37</v>
      </c>
      <c r="D372" s="2">
        <v>11140</v>
      </c>
      <c r="E372" s="2">
        <f t="shared" si="30"/>
        <v>5492.5</v>
      </c>
      <c r="F372" s="2">
        <v>2380</v>
      </c>
      <c r="G372" s="2">
        <f t="shared" si="31"/>
        <v>991.66666666666674</v>
      </c>
      <c r="H372" s="4">
        <f>VLOOKUP(B372,nodes!A:D,2,0)</f>
        <v>450</v>
      </c>
      <c r="I372" s="4">
        <f>VLOOKUP(B372,nodes!A:D,4,0)</f>
        <v>300</v>
      </c>
      <c r="J372" s="4">
        <f>VLOOKUP(C372,nodes!A:D,2,0)</f>
        <v>450</v>
      </c>
      <c r="K372" s="4">
        <f>VLOOKUP(C372,nodes!A:D,4,0)</f>
        <v>270</v>
      </c>
      <c r="L372" s="4">
        <f t="shared" si="32"/>
        <v>30</v>
      </c>
      <c r="N372" s="12">
        <f t="shared" si="33"/>
        <v>7437500</v>
      </c>
      <c r="O372" s="12">
        <f t="shared" si="34"/>
        <v>42840000</v>
      </c>
      <c r="P372" s="12">
        <f t="shared" si="35"/>
        <v>11900</v>
      </c>
    </row>
    <row r="373" spans="1:16" x14ac:dyDescent="0.25">
      <c r="A373" s="3">
        <v>372</v>
      </c>
      <c r="B373" s="3">
        <v>37</v>
      </c>
      <c r="C373" s="3">
        <v>58</v>
      </c>
      <c r="D373" s="2">
        <v>11140</v>
      </c>
      <c r="E373" s="2">
        <f t="shared" si="30"/>
        <v>5492.5</v>
      </c>
      <c r="F373" s="2">
        <v>2380</v>
      </c>
      <c r="G373" s="2">
        <f t="shared" si="31"/>
        <v>991.66666666666674</v>
      </c>
      <c r="H373" s="4">
        <f>VLOOKUP(B373,nodes!A:D,2,0)</f>
        <v>450</v>
      </c>
      <c r="I373" s="4">
        <f>VLOOKUP(B373,nodes!A:D,4,0)</f>
        <v>270</v>
      </c>
      <c r="J373" s="4">
        <f>VLOOKUP(C373,nodes!A:D,2,0)</f>
        <v>450</v>
      </c>
      <c r="K373" s="4">
        <f>VLOOKUP(C373,nodes!A:D,4,0)</f>
        <v>240</v>
      </c>
      <c r="L373" s="4">
        <f t="shared" si="32"/>
        <v>30</v>
      </c>
      <c r="N373" s="12">
        <f t="shared" si="33"/>
        <v>7437500</v>
      </c>
      <c r="O373" s="12">
        <f t="shared" si="34"/>
        <v>42840000</v>
      </c>
      <c r="P373" s="12">
        <f t="shared" si="35"/>
        <v>11900</v>
      </c>
    </row>
    <row r="374" spans="1:16" x14ac:dyDescent="0.25">
      <c r="A374" s="3">
        <v>373</v>
      </c>
      <c r="B374" s="3">
        <v>58</v>
      </c>
      <c r="C374" s="3">
        <v>79</v>
      </c>
      <c r="D374" s="2">
        <v>11140</v>
      </c>
      <c r="E374" s="2">
        <f t="shared" si="30"/>
        <v>5492.5</v>
      </c>
      <c r="F374" s="2">
        <v>2380</v>
      </c>
      <c r="G374" s="2">
        <f t="shared" si="31"/>
        <v>991.66666666666674</v>
      </c>
      <c r="H374" s="4">
        <f>VLOOKUP(B374,nodes!A:D,2,0)</f>
        <v>450</v>
      </c>
      <c r="I374" s="4">
        <f>VLOOKUP(B374,nodes!A:D,4,0)</f>
        <v>240</v>
      </c>
      <c r="J374" s="4">
        <f>VLOOKUP(C374,nodes!A:D,2,0)</f>
        <v>450</v>
      </c>
      <c r="K374" s="4">
        <f>VLOOKUP(C374,nodes!A:D,4,0)</f>
        <v>210</v>
      </c>
      <c r="L374" s="4">
        <f t="shared" si="32"/>
        <v>30</v>
      </c>
      <c r="N374" s="12">
        <f t="shared" si="33"/>
        <v>7437500</v>
      </c>
      <c r="O374" s="12">
        <f t="shared" si="34"/>
        <v>42840000</v>
      </c>
      <c r="P374" s="12">
        <f t="shared" si="35"/>
        <v>11900</v>
      </c>
    </row>
    <row r="375" spans="1:16" x14ac:dyDescent="0.25">
      <c r="A375" s="3">
        <v>374</v>
      </c>
      <c r="B375" s="3">
        <v>79</v>
      </c>
      <c r="C375" s="3">
        <v>100</v>
      </c>
      <c r="D375" s="2">
        <v>11140</v>
      </c>
      <c r="E375" s="2">
        <f t="shared" si="30"/>
        <v>5492.5</v>
      </c>
      <c r="F375" s="2">
        <v>2380</v>
      </c>
      <c r="G375" s="2">
        <f t="shared" si="31"/>
        <v>991.66666666666674</v>
      </c>
      <c r="H375" s="4">
        <f>VLOOKUP(B375,nodes!A:D,2,0)</f>
        <v>450</v>
      </c>
      <c r="I375" s="4">
        <f>VLOOKUP(B375,nodes!A:D,4,0)</f>
        <v>210</v>
      </c>
      <c r="J375" s="4">
        <f>VLOOKUP(C375,nodes!A:D,2,0)</f>
        <v>450</v>
      </c>
      <c r="K375" s="4">
        <f>VLOOKUP(C375,nodes!A:D,4,0)</f>
        <v>180</v>
      </c>
      <c r="L375" s="4">
        <f t="shared" si="32"/>
        <v>30</v>
      </c>
      <c r="N375" s="12">
        <f t="shared" si="33"/>
        <v>7437500</v>
      </c>
      <c r="O375" s="12">
        <f t="shared" si="34"/>
        <v>42840000</v>
      </c>
      <c r="P375" s="12">
        <f t="shared" si="35"/>
        <v>11900</v>
      </c>
    </row>
    <row r="376" spans="1:16" x14ac:dyDescent="0.25">
      <c r="A376" s="3">
        <v>375</v>
      </c>
      <c r="B376" s="3">
        <v>100</v>
      </c>
      <c r="C376" s="3">
        <v>121</v>
      </c>
      <c r="D376" s="2">
        <v>11140</v>
      </c>
      <c r="E376" s="2">
        <f t="shared" si="30"/>
        <v>5492.5</v>
      </c>
      <c r="F376" s="2">
        <v>2380</v>
      </c>
      <c r="G376" s="2">
        <f t="shared" si="31"/>
        <v>991.66666666666674</v>
      </c>
      <c r="H376" s="4">
        <f>VLOOKUP(B376,nodes!A:D,2,0)</f>
        <v>450</v>
      </c>
      <c r="I376" s="4">
        <f>VLOOKUP(B376,nodes!A:D,4,0)</f>
        <v>180</v>
      </c>
      <c r="J376" s="4">
        <f>VLOOKUP(C376,nodes!A:D,2,0)</f>
        <v>450</v>
      </c>
      <c r="K376" s="4">
        <f>VLOOKUP(C376,nodes!A:D,4,0)</f>
        <v>150</v>
      </c>
      <c r="L376" s="4">
        <f t="shared" si="32"/>
        <v>30</v>
      </c>
      <c r="N376" s="12">
        <f t="shared" si="33"/>
        <v>7437500</v>
      </c>
      <c r="O376" s="12">
        <f t="shared" si="34"/>
        <v>42840000</v>
      </c>
      <c r="P376" s="12">
        <f t="shared" si="35"/>
        <v>11900</v>
      </c>
    </row>
    <row r="377" spans="1:16" x14ac:dyDescent="0.25">
      <c r="A377" s="3">
        <v>376</v>
      </c>
      <c r="B377" s="3">
        <v>121</v>
      </c>
      <c r="C377" s="3">
        <v>142</v>
      </c>
      <c r="D377" s="2">
        <v>11140</v>
      </c>
      <c r="E377" s="2">
        <f t="shared" si="30"/>
        <v>5492.5</v>
      </c>
      <c r="F377" s="2">
        <v>2380</v>
      </c>
      <c r="G377" s="2">
        <f t="shared" si="31"/>
        <v>991.66666666666674</v>
      </c>
      <c r="H377" s="4">
        <f>VLOOKUP(B377,nodes!A:D,2,0)</f>
        <v>450</v>
      </c>
      <c r="I377" s="4">
        <f>VLOOKUP(B377,nodes!A:D,4,0)</f>
        <v>150</v>
      </c>
      <c r="J377" s="4">
        <f>VLOOKUP(C377,nodes!A:D,2,0)</f>
        <v>450</v>
      </c>
      <c r="K377" s="4">
        <f>VLOOKUP(C377,nodes!A:D,4,0)</f>
        <v>120</v>
      </c>
      <c r="L377" s="4">
        <f t="shared" si="32"/>
        <v>30</v>
      </c>
      <c r="N377" s="12">
        <f t="shared" si="33"/>
        <v>7437500</v>
      </c>
      <c r="O377" s="12">
        <f t="shared" si="34"/>
        <v>42840000</v>
      </c>
      <c r="P377" s="12">
        <f t="shared" si="35"/>
        <v>11900</v>
      </c>
    </row>
    <row r="378" spans="1:16" x14ac:dyDescent="0.25">
      <c r="A378" s="3">
        <v>377</v>
      </c>
      <c r="B378" s="3">
        <v>142</v>
      </c>
      <c r="C378" s="3">
        <v>163</v>
      </c>
      <c r="D378" s="2">
        <v>11140</v>
      </c>
      <c r="E378" s="2">
        <f t="shared" si="30"/>
        <v>5492.5</v>
      </c>
      <c r="F378" s="2">
        <v>2380</v>
      </c>
      <c r="G378" s="2">
        <f t="shared" si="31"/>
        <v>991.66666666666674</v>
      </c>
      <c r="H378" s="4">
        <f>VLOOKUP(B378,nodes!A:D,2,0)</f>
        <v>450</v>
      </c>
      <c r="I378" s="4">
        <f>VLOOKUP(B378,nodes!A:D,4,0)</f>
        <v>120</v>
      </c>
      <c r="J378" s="4">
        <f>VLOOKUP(C378,nodes!A:D,2,0)</f>
        <v>450</v>
      </c>
      <c r="K378" s="4">
        <f>VLOOKUP(C378,nodes!A:D,4,0)</f>
        <v>90</v>
      </c>
      <c r="L378" s="4">
        <f t="shared" si="32"/>
        <v>30</v>
      </c>
      <c r="N378" s="12">
        <f t="shared" si="33"/>
        <v>7437500</v>
      </c>
      <c r="O378" s="12">
        <f t="shared" si="34"/>
        <v>42840000</v>
      </c>
      <c r="P378" s="12">
        <f t="shared" si="35"/>
        <v>11900</v>
      </c>
    </row>
    <row r="379" spans="1:16" x14ac:dyDescent="0.25">
      <c r="A379" s="3">
        <v>378</v>
      </c>
      <c r="B379" s="3">
        <v>163</v>
      </c>
      <c r="C379" s="3">
        <v>184</v>
      </c>
      <c r="D379" s="2">
        <v>11140</v>
      </c>
      <c r="E379" s="2">
        <f t="shared" si="30"/>
        <v>5492.5</v>
      </c>
      <c r="F379" s="2">
        <v>2380</v>
      </c>
      <c r="G379" s="2">
        <f t="shared" si="31"/>
        <v>991.66666666666674</v>
      </c>
      <c r="H379" s="4">
        <f>VLOOKUP(B379,nodes!A:D,2,0)</f>
        <v>450</v>
      </c>
      <c r="I379" s="4">
        <f>VLOOKUP(B379,nodes!A:D,4,0)</f>
        <v>90</v>
      </c>
      <c r="J379" s="4">
        <f>VLOOKUP(C379,nodes!A:D,2,0)</f>
        <v>450</v>
      </c>
      <c r="K379" s="4">
        <f>VLOOKUP(C379,nodes!A:D,4,0)</f>
        <v>60</v>
      </c>
      <c r="L379" s="4">
        <f t="shared" si="32"/>
        <v>30</v>
      </c>
      <c r="N379" s="12">
        <f t="shared" si="33"/>
        <v>7437500</v>
      </c>
      <c r="O379" s="12">
        <f t="shared" si="34"/>
        <v>42840000</v>
      </c>
      <c r="P379" s="12">
        <f t="shared" si="35"/>
        <v>11900</v>
      </c>
    </row>
    <row r="380" spans="1:16" x14ac:dyDescent="0.25">
      <c r="A380" s="3">
        <v>379</v>
      </c>
      <c r="B380" s="3">
        <v>184</v>
      </c>
      <c r="C380" s="3">
        <v>205</v>
      </c>
      <c r="D380" s="2">
        <v>11140</v>
      </c>
      <c r="E380" s="2">
        <f t="shared" si="30"/>
        <v>5492.5</v>
      </c>
      <c r="F380" s="2">
        <v>2380</v>
      </c>
      <c r="G380" s="2">
        <f t="shared" si="31"/>
        <v>991.66666666666674</v>
      </c>
      <c r="H380" s="4">
        <f>VLOOKUP(B380,nodes!A:D,2,0)</f>
        <v>450</v>
      </c>
      <c r="I380" s="4">
        <f>VLOOKUP(B380,nodes!A:D,4,0)</f>
        <v>60</v>
      </c>
      <c r="J380" s="4">
        <f>VLOOKUP(C380,nodes!A:D,2,0)</f>
        <v>450</v>
      </c>
      <c r="K380" s="4">
        <f>VLOOKUP(C380,nodes!A:D,4,0)</f>
        <v>30</v>
      </c>
      <c r="L380" s="4">
        <f t="shared" si="32"/>
        <v>30</v>
      </c>
      <c r="N380" s="12">
        <f t="shared" si="33"/>
        <v>7437500</v>
      </c>
      <c r="O380" s="12">
        <f t="shared" si="34"/>
        <v>42840000</v>
      </c>
      <c r="P380" s="12">
        <f t="shared" si="35"/>
        <v>11900</v>
      </c>
    </row>
    <row r="381" spans="1:16" x14ac:dyDescent="0.25">
      <c r="A381" s="3">
        <v>380</v>
      </c>
      <c r="B381" s="3">
        <v>205</v>
      </c>
      <c r="C381" s="3">
        <v>226</v>
      </c>
      <c r="D381" s="2">
        <v>11140</v>
      </c>
      <c r="E381" s="2">
        <f t="shared" si="30"/>
        <v>5492.5</v>
      </c>
      <c r="F381" s="2">
        <v>2380</v>
      </c>
      <c r="G381" s="2">
        <f t="shared" si="31"/>
        <v>991.66666666666674</v>
      </c>
      <c r="H381" s="4">
        <f>VLOOKUP(B381,nodes!A:D,2,0)</f>
        <v>450</v>
      </c>
      <c r="I381" s="4">
        <f>VLOOKUP(B381,nodes!A:D,4,0)</f>
        <v>30</v>
      </c>
      <c r="J381" s="4">
        <f>VLOOKUP(C381,nodes!A:D,2,0)</f>
        <v>450</v>
      </c>
      <c r="K381" s="4">
        <f>VLOOKUP(C381,nodes!A:D,4,0)</f>
        <v>0</v>
      </c>
      <c r="L381" s="4">
        <f t="shared" si="32"/>
        <v>30</v>
      </c>
      <c r="N381" s="12">
        <f t="shared" si="33"/>
        <v>7437500</v>
      </c>
      <c r="O381" s="12">
        <f t="shared" si="34"/>
        <v>42840000</v>
      </c>
      <c r="P381" s="12">
        <f t="shared" si="35"/>
        <v>11900</v>
      </c>
    </row>
    <row r="382" spans="1:16" x14ac:dyDescent="0.25">
      <c r="A382" s="3">
        <v>381</v>
      </c>
      <c r="B382" s="3">
        <v>17</v>
      </c>
      <c r="C382" s="3">
        <v>38</v>
      </c>
      <c r="D382" s="2">
        <v>11140</v>
      </c>
      <c r="E382" s="2">
        <f t="shared" si="30"/>
        <v>5492.5</v>
      </c>
      <c r="F382" s="2">
        <v>2380</v>
      </c>
      <c r="G382" s="2">
        <f t="shared" si="31"/>
        <v>991.66666666666674</v>
      </c>
      <c r="H382" s="4">
        <f>VLOOKUP(B382,nodes!A:D,2,0)</f>
        <v>480</v>
      </c>
      <c r="I382" s="4">
        <f>VLOOKUP(B382,nodes!A:D,4,0)</f>
        <v>300</v>
      </c>
      <c r="J382" s="4">
        <f>VLOOKUP(C382,nodes!A:D,2,0)</f>
        <v>480</v>
      </c>
      <c r="K382" s="4">
        <f>VLOOKUP(C382,nodes!A:D,4,0)</f>
        <v>270</v>
      </c>
      <c r="L382" s="4">
        <f t="shared" si="32"/>
        <v>30</v>
      </c>
      <c r="N382" s="12">
        <f t="shared" si="33"/>
        <v>7437500</v>
      </c>
      <c r="O382" s="12">
        <f t="shared" si="34"/>
        <v>42840000</v>
      </c>
      <c r="P382" s="12">
        <f t="shared" si="35"/>
        <v>11900</v>
      </c>
    </row>
    <row r="383" spans="1:16" x14ac:dyDescent="0.25">
      <c r="A383" s="3">
        <v>382</v>
      </c>
      <c r="B383" s="3">
        <v>38</v>
      </c>
      <c r="C383" s="3">
        <v>59</v>
      </c>
      <c r="D383" s="2">
        <v>11140</v>
      </c>
      <c r="E383" s="2">
        <f t="shared" si="30"/>
        <v>5492.5</v>
      </c>
      <c r="F383" s="2">
        <v>2380</v>
      </c>
      <c r="G383" s="2">
        <f t="shared" si="31"/>
        <v>991.66666666666674</v>
      </c>
      <c r="H383" s="4">
        <f>VLOOKUP(B383,nodes!A:D,2,0)</f>
        <v>480</v>
      </c>
      <c r="I383" s="4">
        <f>VLOOKUP(B383,nodes!A:D,4,0)</f>
        <v>270</v>
      </c>
      <c r="J383" s="4">
        <f>VLOOKUP(C383,nodes!A:D,2,0)</f>
        <v>480</v>
      </c>
      <c r="K383" s="4">
        <f>VLOOKUP(C383,nodes!A:D,4,0)</f>
        <v>240</v>
      </c>
      <c r="L383" s="4">
        <f t="shared" si="32"/>
        <v>30</v>
      </c>
      <c r="N383" s="12">
        <f t="shared" si="33"/>
        <v>7437500</v>
      </c>
      <c r="O383" s="12">
        <f t="shared" si="34"/>
        <v>42840000</v>
      </c>
      <c r="P383" s="12">
        <f t="shared" si="35"/>
        <v>11900</v>
      </c>
    </row>
    <row r="384" spans="1:16" x14ac:dyDescent="0.25">
      <c r="A384" s="3">
        <v>383</v>
      </c>
      <c r="B384" s="3">
        <v>59</v>
      </c>
      <c r="C384" s="3">
        <v>80</v>
      </c>
      <c r="D384" s="2">
        <v>11140</v>
      </c>
      <c r="E384" s="2">
        <f t="shared" si="30"/>
        <v>5492.5</v>
      </c>
      <c r="F384" s="2">
        <v>2380</v>
      </c>
      <c r="G384" s="2">
        <f t="shared" si="31"/>
        <v>991.66666666666674</v>
      </c>
      <c r="H384" s="4">
        <f>VLOOKUP(B384,nodes!A:D,2,0)</f>
        <v>480</v>
      </c>
      <c r="I384" s="4">
        <f>VLOOKUP(B384,nodes!A:D,4,0)</f>
        <v>240</v>
      </c>
      <c r="J384" s="4">
        <f>VLOOKUP(C384,nodes!A:D,2,0)</f>
        <v>480</v>
      </c>
      <c r="K384" s="4">
        <f>VLOOKUP(C384,nodes!A:D,4,0)</f>
        <v>210</v>
      </c>
      <c r="L384" s="4">
        <f t="shared" si="32"/>
        <v>30</v>
      </c>
      <c r="N384" s="12">
        <f t="shared" si="33"/>
        <v>7437500</v>
      </c>
      <c r="O384" s="12">
        <f t="shared" si="34"/>
        <v>42840000</v>
      </c>
      <c r="P384" s="12">
        <f t="shared" si="35"/>
        <v>11900</v>
      </c>
    </row>
    <row r="385" spans="1:16" x14ac:dyDescent="0.25">
      <c r="A385" s="3">
        <v>384</v>
      </c>
      <c r="B385" s="3">
        <v>80</v>
      </c>
      <c r="C385" s="3">
        <v>101</v>
      </c>
      <c r="D385" s="2">
        <v>11140</v>
      </c>
      <c r="E385" s="2">
        <f t="shared" si="30"/>
        <v>5492.5</v>
      </c>
      <c r="F385" s="2">
        <v>2380</v>
      </c>
      <c r="G385" s="2">
        <f t="shared" si="31"/>
        <v>991.66666666666674</v>
      </c>
      <c r="H385" s="4">
        <f>VLOOKUP(B385,nodes!A:D,2,0)</f>
        <v>480</v>
      </c>
      <c r="I385" s="4">
        <f>VLOOKUP(B385,nodes!A:D,4,0)</f>
        <v>210</v>
      </c>
      <c r="J385" s="4">
        <f>VLOOKUP(C385,nodes!A:D,2,0)</f>
        <v>480</v>
      </c>
      <c r="K385" s="4">
        <f>VLOOKUP(C385,nodes!A:D,4,0)</f>
        <v>180</v>
      </c>
      <c r="L385" s="4">
        <f t="shared" si="32"/>
        <v>30</v>
      </c>
      <c r="N385" s="12">
        <f t="shared" si="33"/>
        <v>7437500</v>
      </c>
      <c r="O385" s="12">
        <f t="shared" si="34"/>
        <v>42840000</v>
      </c>
      <c r="P385" s="12">
        <f t="shared" si="35"/>
        <v>11900</v>
      </c>
    </row>
    <row r="386" spans="1:16" x14ac:dyDescent="0.25">
      <c r="A386" s="3">
        <v>385</v>
      </c>
      <c r="B386" s="3">
        <v>101</v>
      </c>
      <c r="C386" s="3">
        <v>122</v>
      </c>
      <c r="D386" s="2">
        <v>11140</v>
      </c>
      <c r="E386" s="2">
        <f t="shared" si="30"/>
        <v>5492.5</v>
      </c>
      <c r="F386" s="2">
        <v>2380</v>
      </c>
      <c r="G386" s="2">
        <f t="shared" si="31"/>
        <v>991.66666666666674</v>
      </c>
      <c r="H386" s="4">
        <f>VLOOKUP(B386,nodes!A:D,2,0)</f>
        <v>480</v>
      </c>
      <c r="I386" s="4">
        <f>VLOOKUP(B386,nodes!A:D,4,0)</f>
        <v>180</v>
      </c>
      <c r="J386" s="4">
        <f>VLOOKUP(C386,nodes!A:D,2,0)</f>
        <v>480</v>
      </c>
      <c r="K386" s="4">
        <f>VLOOKUP(C386,nodes!A:D,4,0)</f>
        <v>150</v>
      </c>
      <c r="L386" s="4">
        <f t="shared" si="32"/>
        <v>30</v>
      </c>
      <c r="N386" s="12">
        <f t="shared" si="33"/>
        <v>7437500</v>
      </c>
      <c r="O386" s="12">
        <f t="shared" si="34"/>
        <v>42840000</v>
      </c>
      <c r="P386" s="12">
        <f t="shared" si="35"/>
        <v>11900</v>
      </c>
    </row>
    <row r="387" spans="1:16" x14ac:dyDescent="0.25">
      <c r="A387" s="3">
        <v>386</v>
      </c>
      <c r="B387" s="3">
        <v>122</v>
      </c>
      <c r="C387" s="3">
        <v>143</v>
      </c>
      <c r="D387" s="2">
        <v>11140</v>
      </c>
      <c r="E387" s="2">
        <f t="shared" ref="E387:E431" si="36">(30*13^3)/12</f>
        <v>5492.5</v>
      </c>
      <c r="F387" s="2">
        <v>2380</v>
      </c>
      <c r="G387" s="2">
        <f t="shared" ref="G387:G431" si="37">F387/(2*(1+0.2))</f>
        <v>991.66666666666674</v>
      </c>
      <c r="H387" s="4">
        <f>VLOOKUP(B387,nodes!A:D,2,0)</f>
        <v>480</v>
      </c>
      <c r="I387" s="4">
        <f>VLOOKUP(B387,nodes!A:D,4,0)</f>
        <v>150</v>
      </c>
      <c r="J387" s="4">
        <f>VLOOKUP(C387,nodes!A:D,2,0)</f>
        <v>480</v>
      </c>
      <c r="K387" s="4">
        <f>VLOOKUP(C387,nodes!A:D,4,0)</f>
        <v>120</v>
      </c>
      <c r="L387" s="4">
        <f t="shared" ref="L387:L431" si="38">((J387-H387)^2+(K387-I387)^2)^0.5</f>
        <v>30</v>
      </c>
      <c r="N387" s="12">
        <f t="shared" ref="N387:N431" si="39">12*2380*60*(25^3)/(300*12)</f>
        <v>7437500</v>
      </c>
      <c r="O387" s="12">
        <f t="shared" ref="O387:O431" si="40">12*2380*25*(60^3)/(300*12)</f>
        <v>42840000</v>
      </c>
      <c r="P387" s="12">
        <f t="shared" ref="P387:P431" si="41">2380*25*60/300</f>
        <v>11900</v>
      </c>
    </row>
    <row r="388" spans="1:16" x14ac:dyDescent="0.25">
      <c r="A388" s="3">
        <v>387</v>
      </c>
      <c r="B388" s="3">
        <v>143</v>
      </c>
      <c r="C388" s="3">
        <v>164</v>
      </c>
      <c r="D388" s="2">
        <v>11140</v>
      </c>
      <c r="E388" s="2">
        <f t="shared" si="36"/>
        <v>5492.5</v>
      </c>
      <c r="F388" s="2">
        <v>2380</v>
      </c>
      <c r="G388" s="2">
        <f t="shared" si="37"/>
        <v>991.66666666666674</v>
      </c>
      <c r="H388" s="4">
        <f>VLOOKUP(B388,nodes!A:D,2,0)</f>
        <v>480</v>
      </c>
      <c r="I388" s="4">
        <f>VLOOKUP(B388,nodes!A:D,4,0)</f>
        <v>120</v>
      </c>
      <c r="J388" s="4">
        <f>VLOOKUP(C388,nodes!A:D,2,0)</f>
        <v>480</v>
      </c>
      <c r="K388" s="4">
        <f>VLOOKUP(C388,nodes!A:D,4,0)</f>
        <v>90</v>
      </c>
      <c r="L388" s="4">
        <f t="shared" si="38"/>
        <v>30</v>
      </c>
      <c r="N388" s="12">
        <f t="shared" si="39"/>
        <v>7437500</v>
      </c>
      <c r="O388" s="12">
        <f t="shared" si="40"/>
        <v>42840000</v>
      </c>
      <c r="P388" s="12">
        <f t="shared" si="41"/>
        <v>11900</v>
      </c>
    </row>
    <row r="389" spans="1:16" x14ac:dyDescent="0.25">
      <c r="A389" s="3">
        <v>388</v>
      </c>
      <c r="B389" s="3">
        <v>164</v>
      </c>
      <c r="C389" s="3">
        <v>185</v>
      </c>
      <c r="D389" s="2">
        <v>11140</v>
      </c>
      <c r="E389" s="2">
        <f t="shared" si="36"/>
        <v>5492.5</v>
      </c>
      <c r="F389" s="2">
        <v>2380</v>
      </c>
      <c r="G389" s="2">
        <f t="shared" si="37"/>
        <v>991.66666666666674</v>
      </c>
      <c r="H389" s="4">
        <f>VLOOKUP(B389,nodes!A:D,2,0)</f>
        <v>480</v>
      </c>
      <c r="I389" s="4">
        <f>VLOOKUP(B389,nodes!A:D,4,0)</f>
        <v>90</v>
      </c>
      <c r="J389" s="4">
        <f>VLOOKUP(C389,nodes!A:D,2,0)</f>
        <v>480</v>
      </c>
      <c r="K389" s="4">
        <f>VLOOKUP(C389,nodes!A:D,4,0)</f>
        <v>60</v>
      </c>
      <c r="L389" s="4">
        <f t="shared" si="38"/>
        <v>30</v>
      </c>
      <c r="N389" s="12">
        <f t="shared" si="39"/>
        <v>7437500</v>
      </c>
      <c r="O389" s="12">
        <f t="shared" si="40"/>
        <v>42840000</v>
      </c>
      <c r="P389" s="12">
        <f t="shared" si="41"/>
        <v>11900</v>
      </c>
    </row>
    <row r="390" spans="1:16" x14ac:dyDescent="0.25">
      <c r="A390" s="3">
        <v>389</v>
      </c>
      <c r="B390" s="3">
        <v>185</v>
      </c>
      <c r="C390" s="3">
        <v>206</v>
      </c>
      <c r="D390" s="2">
        <v>11140</v>
      </c>
      <c r="E390" s="2">
        <f t="shared" si="36"/>
        <v>5492.5</v>
      </c>
      <c r="F390" s="2">
        <v>2380</v>
      </c>
      <c r="G390" s="2">
        <f t="shared" si="37"/>
        <v>991.66666666666674</v>
      </c>
      <c r="H390" s="4">
        <f>VLOOKUP(B390,nodes!A:D,2,0)</f>
        <v>480</v>
      </c>
      <c r="I390" s="4">
        <f>VLOOKUP(B390,nodes!A:D,4,0)</f>
        <v>60</v>
      </c>
      <c r="J390" s="4">
        <f>VLOOKUP(C390,nodes!A:D,2,0)</f>
        <v>480</v>
      </c>
      <c r="K390" s="4">
        <f>VLOOKUP(C390,nodes!A:D,4,0)</f>
        <v>30</v>
      </c>
      <c r="L390" s="4">
        <f t="shared" si="38"/>
        <v>30</v>
      </c>
      <c r="N390" s="12">
        <f t="shared" si="39"/>
        <v>7437500</v>
      </c>
      <c r="O390" s="12">
        <f t="shared" si="40"/>
        <v>42840000</v>
      </c>
      <c r="P390" s="12">
        <f t="shared" si="41"/>
        <v>11900</v>
      </c>
    </row>
    <row r="391" spans="1:16" x14ac:dyDescent="0.25">
      <c r="A391" s="3">
        <v>390</v>
      </c>
      <c r="B391" s="3">
        <v>206</v>
      </c>
      <c r="C391" s="3">
        <v>227</v>
      </c>
      <c r="D391" s="2">
        <v>11140</v>
      </c>
      <c r="E391" s="2">
        <f t="shared" si="36"/>
        <v>5492.5</v>
      </c>
      <c r="F391" s="2">
        <v>2380</v>
      </c>
      <c r="G391" s="2">
        <f t="shared" si="37"/>
        <v>991.66666666666674</v>
      </c>
      <c r="H391" s="4">
        <f>VLOOKUP(B391,nodes!A:D,2,0)</f>
        <v>480</v>
      </c>
      <c r="I391" s="4">
        <f>VLOOKUP(B391,nodes!A:D,4,0)</f>
        <v>30</v>
      </c>
      <c r="J391" s="4">
        <f>VLOOKUP(C391,nodes!A:D,2,0)</f>
        <v>480</v>
      </c>
      <c r="K391" s="4">
        <f>VLOOKUP(C391,nodes!A:D,4,0)</f>
        <v>0</v>
      </c>
      <c r="L391" s="4">
        <f t="shared" si="38"/>
        <v>30</v>
      </c>
      <c r="N391" s="12">
        <f t="shared" si="39"/>
        <v>7437500</v>
      </c>
      <c r="O391" s="12">
        <f t="shared" si="40"/>
        <v>42840000</v>
      </c>
      <c r="P391" s="12">
        <f t="shared" si="41"/>
        <v>11900</v>
      </c>
    </row>
    <row r="392" spans="1:16" x14ac:dyDescent="0.25">
      <c r="A392" s="3">
        <v>391</v>
      </c>
      <c r="B392" s="3">
        <v>18</v>
      </c>
      <c r="C392" s="3">
        <v>39</v>
      </c>
      <c r="D392" s="2">
        <v>11140</v>
      </c>
      <c r="E392" s="2">
        <f t="shared" si="36"/>
        <v>5492.5</v>
      </c>
      <c r="F392" s="2">
        <v>2380</v>
      </c>
      <c r="G392" s="2">
        <f t="shared" si="37"/>
        <v>991.66666666666674</v>
      </c>
      <c r="H392" s="4">
        <f>VLOOKUP(B392,nodes!A:D,2,0)</f>
        <v>509.99999999999994</v>
      </c>
      <c r="I392" s="4">
        <f>VLOOKUP(B392,nodes!A:D,4,0)</f>
        <v>300</v>
      </c>
      <c r="J392" s="4">
        <f>VLOOKUP(C392,nodes!A:D,2,0)</f>
        <v>509.99999999999994</v>
      </c>
      <c r="K392" s="4">
        <f>VLOOKUP(C392,nodes!A:D,4,0)</f>
        <v>270</v>
      </c>
      <c r="L392" s="4">
        <f t="shared" si="38"/>
        <v>30</v>
      </c>
      <c r="N392" s="12">
        <f t="shared" si="39"/>
        <v>7437500</v>
      </c>
      <c r="O392" s="12">
        <f t="shared" si="40"/>
        <v>42840000</v>
      </c>
      <c r="P392" s="12">
        <f t="shared" si="41"/>
        <v>11900</v>
      </c>
    </row>
    <row r="393" spans="1:16" x14ac:dyDescent="0.25">
      <c r="A393" s="3">
        <v>392</v>
      </c>
      <c r="B393" s="3">
        <v>39</v>
      </c>
      <c r="C393" s="3">
        <v>60</v>
      </c>
      <c r="D393" s="2">
        <v>11140</v>
      </c>
      <c r="E393" s="2">
        <f t="shared" si="36"/>
        <v>5492.5</v>
      </c>
      <c r="F393" s="2">
        <v>2380</v>
      </c>
      <c r="G393" s="2">
        <f t="shared" si="37"/>
        <v>991.66666666666674</v>
      </c>
      <c r="H393" s="4">
        <f>VLOOKUP(B393,nodes!A:D,2,0)</f>
        <v>509.99999999999994</v>
      </c>
      <c r="I393" s="4">
        <f>VLOOKUP(B393,nodes!A:D,4,0)</f>
        <v>270</v>
      </c>
      <c r="J393" s="4">
        <f>VLOOKUP(C393,nodes!A:D,2,0)</f>
        <v>509.99999999999994</v>
      </c>
      <c r="K393" s="4">
        <f>VLOOKUP(C393,nodes!A:D,4,0)</f>
        <v>240</v>
      </c>
      <c r="L393" s="4">
        <f t="shared" si="38"/>
        <v>30</v>
      </c>
      <c r="N393" s="12">
        <f t="shared" si="39"/>
        <v>7437500</v>
      </c>
      <c r="O393" s="12">
        <f t="shared" si="40"/>
        <v>42840000</v>
      </c>
      <c r="P393" s="12">
        <f t="shared" si="41"/>
        <v>11900</v>
      </c>
    </row>
    <row r="394" spans="1:16" x14ac:dyDescent="0.25">
      <c r="A394" s="3">
        <v>393</v>
      </c>
      <c r="B394" s="3">
        <v>60</v>
      </c>
      <c r="C394" s="3">
        <v>81</v>
      </c>
      <c r="D394" s="2">
        <v>11140</v>
      </c>
      <c r="E394" s="2">
        <f t="shared" si="36"/>
        <v>5492.5</v>
      </c>
      <c r="F394" s="2">
        <v>2380</v>
      </c>
      <c r="G394" s="2">
        <f t="shared" si="37"/>
        <v>991.66666666666674</v>
      </c>
      <c r="H394" s="4">
        <f>VLOOKUP(B394,nodes!A:D,2,0)</f>
        <v>509.99999999999994</v>
      </c>
      <c r="I394" s="4">
        <f>VLOOKUP(B394,nodes!A:D,4,0)</f>
        <v>240</v>
      </c>
      <c r="J394" s="4">
        <f>VLOOKUP(C394,nodes!A:D,2,0)</f>
        <v>509.99999999999994</v>
      </c>
      <c r="K394" s="4">
        <f>VLOOKUP(C394,nodes!A:D,4,0)</f>
        <v>210</v>
      </c>
      <c r="L394" s="4">
        <f t="shared" si="38"/>
        <v>30</v>
      </c>
      <c r="N394" s="12">
        <f t="shared" si="39"/>
        <v>7437500</v>
      </c>
      <c r="O394" s="12">
        <f t="shared" si="40"/>
        <v>42840000</v>
      </c>
      <c r="P394" s="12">
        <f t="shared" si="41"/>
        <v>11900</v>
      </c>
    </row>
    <row r="395" spans="1:16" x14ac:dyDescent="0.25">
      <c r="A395" s="3">
        <v>394</v>
      </c>
      <c r="B395" s="3">
        <v>81</v>
      </c>
      <c r="C395" s="3">
        <v>102</v>
      </c>
      <c r="D395" s="2">
        <v>11140</v>
      </c>
      <c r="E395" s="2">
        <f t="shared" si="36"/>
        <v>5492.5</v>
      </c>
      <c r="F395" s="2">
        <v>2380</v>
      </c>
      <c r="G395" s="2">
        <f t="shared" si="37"/>
        <v>991.66666666666674</v>
      </c>
      <c r="H395" s="4">
        <f>VLOOKUP(B395,nodes!A:D,2,0)</f>
        <v>509.99999999999994</v>
      </c>
      <c r="I395" s="4">
        <f>VLOOKUP(B395,nodes!A:D,4,0)</f>
        <v>210</v>
      </c>
      <c r="J395" s="4">
        <f>VLOOKUP(C395,nodes!A:D,2,0)</f>
        <v>509.99999999999994</v>
      </c>
      <c r="K395" s="4">
        <f>VLOOKUP(C395,nodes!A:D,4,0)</f>
        <v>180</v>
      </c>
      <c r="L395" s="4">
        <f t="shared" si="38"/>
        <v>30</v>
      </c>
      <c r="N395" s="12">
        <f t="shared" si="39"/>
        <v>7437500</v>
      </c>
      <c r="O395" s="12">
        <f t="shared" si="40"/>
        <v>42840000</v>
      </c>
      <c r="P395" s="12">
        <f t="shared" si="41"/>
        <v>11900</v>
      </c>
    </row>
    <row r="396" spans="1:16" x14ac:dyDescent="0.25">
      <c r="A396" s="3">
        <v>395</v>
      </c>
      <c r="B396" s="3">
        <v>102</v>
      </c>
      <c r="C396" s="3">
        <v>123</v>
      </c>
      <c r="D396" s="2">
        <v>11140</v>
      </c>
      <c r="E396" s="2">
        <f t="shared" si="36"/>
        <v>5492.5</v>
      </c>
      <c r="F396" s="2">
        <v>2380</v>
      </c>
      <c r="G396" s="2">
        <f t="shared" si="37"/>
        <v>991.66666666666674</v>
      </c>
      <c r="H396" s="4">
        <f>VLOOKUP(B396,nodes!A:D,2,0)</f>
        <v>509.99999999999994</v>
      </c>
      <c r="I396" s="4">
        <f>VLOOKUP(B396,nodes!A:D,4,0)</f>
        <v>180</v>
      </c>
      <c r="J396" s="4">
        <f>VLOOKUP(C396,nodes!A:D,2,0)</f>
        <v>509.99999999999994</v>
      </c>
      <c r="K396" s="4">
        <f>VLOOKUP(C396,nodes!A:D,4,0)</f>
        <v>150</v>
      </c>
      <c r="L396" s="4">
        <f t="shared" si="38"/>
        <v>30</v>
      </c>
      <c r="N396" s="12">
        <f t="shared" si="39"/>
        <v>7437500</v>
      </c>
      <c r="O396" s="12">
        <f t="shared" si="40"/>
        <v>42840000</v>
      </c>
      <c r="P396" s="12">
        <f t="shared" si="41"/>
        <v>11900</v>
      </c>
    </row>
    <row r="397" spans="1:16" x14ac:dyDescent="0.25">
      <c r="A397" s="3">
        <v>396</v>
      </c>
      <c r="B397" s="3">
        <v>123</v>
      </c>
      <c r="C397" s="3">
        <v>144</v>
      </c>
      <c r="D397" s="2">
        <v>11140</v>
      </c>
      <c r="E397" s="2">
        <f t="shared" si="36"/>
        <v>5492.5</v>
      </c>
      <c r="F397" s="2">
        <v>2380</v>
      </c>
      <c r="G397" s="2">
        <f t="shared" si="37"/>
        <v>991.66666666666674</v>
      </c>
      <c r="H397" s="4">
        <f>VLOOKUP(B397,nodes!A:D,2,0)</f>
        <v>509.99999999999994</v>
      </c>
      <c r="I397" s="4">
        <f>VLOOKUP(B397,nodes!A:D,4,0)</f>
        <v>150</v>
      </c>
      <c r="J397" s="4">
        <f>VLOOKUP(C397,nodes!A:D,2,0)</f>
        <v>509.99999999999994</v>
      </c>
      <c r="K397" s="4">
        <f>VLOOKUP(C397,nodes!A:D,4,0)</f>
        <v>120</v>
      </c>
      <c r="L397" s="4">
        <f t="shared" si="38"/>
        <v>30</v>
      </c>
      <c r="N397" s="12">
        <f t="shared" si="39"/>
        <v>7437500</v>
      </c>
      <c r="O397" s="12">
        <f t="shared" si="40"/>
        <v>42840000</v>
      </c>
      <c r="P397" s="12">
        <f t="shared" si="41"/>
        <v>11900</v>
      </c>
    </row>
    <row r="398" spans="1:16" x14ac:dyDescent="0.25">
      <c r="A398" s="3">
        <v>397</v>
      </c>
      <c r="B398" s="3">
        <v>144</v>
      </c>
      <c r="C398" s="3">
        <v>165</v>
      </c>
      <c r="D398" s="2">
        <v>11140</v>
      </c>
      <c r="E398" s="2">
        <f t="shared" si="36"/>
        <v>5492.5</v>
      </c>
      <c r="F398" s="2">
        <v>2380</v>
      </c>
      <c r="G398" s="2">
        <f t="shared" si="37"/>
        <v>991.66666666666674</v>
      </c>
      <c r="H398" s="4">
        <f>VLOOKUP(B398,nodes!A:D,2,0)</f>
        <v>509.99999999999994</v>
      </c>
      <c r="I398" s="4">
        <f>VLOOKUP(B398,nodes!A:D,4,0)</f>
        <v>120</v>
      </c>
      <c r="J398" s="4">
        <f>VLOOKUP(C398,nodes!A:D,2,0)</f>
        <v>509.99999999999994</v>
      </c>
      <c r="K398" s="4">
        <f>VLOOKUP(C398,nodes!A:D,4,0)</f>
        <v>90</v>
      </c>
      <c r="L398" s="4">
        <f t="shared" si="38"/>
        <v>30</v>
      </c>
      <c r="N398" s="12">
        <f t="shared" si="39"/>
        <v>7437500</v>
      </c>
      <c r="O398" s="12">
        <f t="shared" si="40"/>
        <v>42840000</v>
      </c>
      <c r="P398" s="12">
        <f t="shared" si="41"/>
        <v>11900</v>
      </c>
    </row>
    <row r="399" spans="1:16" x14ac:dyDescent="0.25">
      <c r="A399" s="3">
        <v>398</v>
      </c>
      <c r="B399" s="3">
        <v>165</v>
      </c>
      <c r="C399" s="3">
        <v>186</v>
      </c>
      <c r="D399" s="2">
        <v>11140</v>
      </c>
      <c r="E399" s="2">
        <f t="shared" si="36"/>
        <v>5492.5</v>
      </c>
      <c r="F399" s="2">
        <v>2380</v>
      </c>
      <c r="G399" s="2">
        <f t="shared" si="37"/>
        <v>991.66666666666674</v>
      </c>
      <c r="H399" s="4">
        <f>VLOOKUP(B399,nodes!A:D,2,0)</f>
        <v>509.99999999999994</v>
      </c>
      <c r="I399" s="4">
        <f>VLOOKUP(B399,nodes!A:D,4,0)</f>
        <v>90</v>
      </c>
      <c r="J399" s="4">
        <f>VLOOKUP(C399,nodes!A:D,2,0)</f>
        <v>509.99999999999994</v>
      </c>
      <c r="K399" s="4">
        <f>VLOOKUP(C399,nodes!A:D,4,0)</f>
        <v>60</v>
      </c>
      <c r="L399" s="4">
        <f t="shared" si="38"/>
        <v>30</v>
      </c>
      <c r="N399" s="12">
        <f t="shared" si="39"/>
        <v>7437500</v>
      </c>
      <c r="O399" s="12">
        <f t="shared" si="40"/>
        <v>42840000</v>
      </c>
      <c r="P399" s="12">
        <f t="shared" si="41"/>
        <v>11900</v>
      </c>
    </row>
    <row r="400" spans="1:16" x14ac:dyDescent="0.25">
      <c r="A400" s="3">
        <v>399</v>
      </c>
      <c r="B400" s="3">
        <v>186</v>
      </c>
      <c r="C400" s="3">
        <v>207</v>
      </c>
      <c r="D400" s="2">
        <v>11140</v>
      </c>
      <c r="E400" s="2">
        <f t="shared" si="36"/>
        <v>5492.5</v>
      </c>
      <c r="F400" s="2">
        <v>2380</v>
      </c>
      <c r="G400" s="2">
        <f t="shared" si="37"/>
        <v>991.66666666666674</v>
      </c>
      <c r="H400" s="4">
        <f>VLOOKUP(B400,nodes!A:D,2,0)</f>
        <v>509.99999999999994</v>
      </c>
      <c r="I400" s="4">
        <f>VLOOKUP(B400,nodes!A:D,4,0)</f>
        <v>60</v>
      </c>
      <c r="J400" s="4">
        <f>VLOOKUP(C400,nodes!A:D,2,0)</f>
        <v>509.99999999999994</v>
      </c>
      <c r="K400" s="4">
        <f>VLOOKUP(C400,nodes!A:D,4,0)</f>
        <v>30</v>
      </c>
      <c r="L400" s="4">
        <f t="shared" si="38"/>
        <v>30</v>
      </c>
      <c r="N400" s="12">
        <f t="shared" si="39"/>
        <v>7437500</v>
      </c>
      <c r="O400" s="12">
        <f t="shared" si="40"/>
        <v>42840000</v>
      </c>
      <c r="P400" s="12">
        <f t="shared" si="41"/>
        <v>11900</v>
      </c>
    </row>
    <row r="401" spans="1:16" x14ac:dyDescent="0.25">
      <c r="A401" s="3">
        <v>400</v>
      </c>
      <c r="B401" s="3">
        <v>207</v>
      </c>
      <c r="C401" s="3">
        <v>228</v>
      </c>
      <c r="D401" s="2">
        <v>11140</v>
      </c>
      <c r="E401" s="2">
        <f t="shared" si="36"/>
        <v>5492.5</v>
      </c>
      <c r="F401" s="2">
        <v>2380</v>
      </c>
      <c r="G401" s="2">
        <f t="shared" si="37"/>
        <v>991.66666666666674</v>
      </c>
      <c r="H401" s="4">
        <f>VLOOKUP(B401,nodes!A:D,2,0)</f>
        <v>509.99999999999994</v>
      </c>
      <c r="I401" s="4">
        <f>VLOOKUP(B401,nodes!A:D,4,0)</f>
        <v>30</v>
      </c>
      <c r="J401" s="4">
        <f>VLOOKUP(C401,nodes!A:D,2,0)</f>
        <v>509.99999999999994</v>
      </c>
      <c r="K401" s="4">
        <f>VLOOKUP(C401,nodes!A:D,4,0)</f>
        <v>0</v>
      </c>
      <c r="L401" s="4">
        <f t="shared" si="38"/>
        <v>30</v>
      </c>
      <c r="N401" s="12">
        <f t="shared" si="39"/>
        <v>7437500</v>
      </c>
      <c r="O401" s="12">
        <f t="shared" si="40"/>
        <v>42840000</v>
      </c>
      <c r="P401" s="12">
        <f t="shared" si="41"/>
        <v>11900</v>
      </c>
    </row>
    <row r="402" spans="1:16" x14ac:dyDescent="0.25">
      <c r="A402" s="3">
        <v>401</v>
      </c>
      <c r="B402" s="3">
        <v>19</v>
      </c>
      <c r="C402" s="3">
        <v>40</v>
      </c>
      <c r="D402" s="2">
        <v>11140</v>
      </c>
      <c r="E402" s="2">
        <f t="shared" si="36"/>
        <v>5492.5</v>
      </c>
      <c r="F402" s="2">
        <v>2380</v>
      </c>
      <c r="G402" s="2">
        <f t="shared" si="37"/>
        <v>991.66666666666674</v>
      </c>
      <c r="H402" s="4">
        <f>VLOOKUP(B402,nodes!A:D,2,0)</f>
        <v>540</v>
      </c>
      <c r="I402" s="4">
        <f>VLOOKUP(B402,nodes!A:D,4,0)</f>
        <v>300</v>
      </c>
      <c r="J402" s="4">
        <f>VLOOKUP(C402,nodes!A:D,2,0)</f>
        <v>540</v>
      </c>
      <c r="K402" s="4">
        <f>VLOOKUP(C402,nodes!A:D,4,0)</f>
        <v>270</v>
      </c>
      <c r="L402" s="4">
        <f t="shared" si="38"/>
        <v>30</v>
      </c>
      <c r="N402" s="12">
        <f t="shared" si="39"/>
        <v>7437500</v>
      </c>
      <c r="O402" s="12">
        <f t="shared" si="40"/>
        <v>42840000</v>
      </c>
      <c r="P402" s="12">
        <f t="shared" si="41"/>
        <v>11900</v>
      </c>
    </row>
    <row r="403" spans="1:16" x14ac:dyDescent="0.25">
      <c r="A403" s="3">
        <v>402</v>
      </c>
      <c r="B403" s="3">
        <v>40</v>
      </c>
      <c r="C403" s="3">
        <v>61</v>
      </c>
      <c r="D403" s="2">
        <v>11140</v>
      </c>
      <c r="E403" s="2">
        <f t="shared" si="36"/>
        <v>5492.5</v>
      </c>
      <c r="F403" s="2">
        <v>2380</v>
      </c>
      <c r="G403" s="2">
        <f t="shared" si="37"/>
        <v>991.66666666666674</v>
      </c>
      <c r="H403" s="4">
        <f>VLOOKUP(B403,nodes!A:D,2,0)</f>
        <v>540</v>
      </c>
      <c r="I403" s="4">
        <f>VLOOKUP(B403,nodes!A:D,4,0)</f>
        <v>270</v>
      </c>
      <c r="J403" s="4">
        <f>VLOOKUP(C403,nodes!A:D,2,0)</f>
        <v>540</v>
      </c>
      <c r="K403" s="4">
        <f>VLOOKUP(C403,nodes!A:D,4,0)</f>
        <v>240</v>
      </c>
      <c r="L403" s="4">
        <f t="shared" si="38"/>
        <v>30</v>
      </c>
      <c r="N403" s="12">
        <f t="shared" si="39"/>
        <v>7437500</v>
      </c>
      <c r="O403" s="12">
        <f t="shared" si="40"/>
        <v>42840000</v>
      </c>
      <c r="P403" s="12">
        <f t="shared" si="41"/>
        <v>11900</v>
      </c>
    </row>
    <row r="404" spans="1:16" x14ac:dyDescent="0.25">
      <c r="A404" s="3">
        <v>403</v>
      </c>
      <c r="B404" s="3">
        <v>61</v>
      </c>
      <c r="C404" s="3">
        <v>82</v>
      </c>
      <c r="D404" s="2">
        <v>11140</v>
      </c>
      <c r="E404" s="2">
        <f t="shared" si="36"/>
        <v>5492.5</v>
      </c>
      <c r="F404" s="2">
        <v>2380</v>
      </c>
      <c r="G404" s="2">
        <f t="shared" si="37"/>
        <v>991.66666666666674</v>
      </c>
      <c r="H404" s="4">
        <f>VLOOKUP(B404,nodes!A:D,2,0)</f>
        <v>540</v>
      </c>
      <c r="I404" s="4">
        <f>VLOOKUP(B404,nodes!A:D,4,0)</f>
        <v>240</v>
      </c>
      <c r="J404" s="4">
        <f>VLOOKUP(C404,nodes!A:D,2,0)</f>
        <v>540</v>
      </c>
      <c r="K404" s="4">
        <f>VLOOKUP(C404,nodes!A:D,4,0)</f>
        <v>210</v>
      </c>
      <c r="L404" s="4">
        <f t="shared" si="38"/>
        <v>30</v>
      </c>
      <c r="N404" s="12">
        <f t="shared" si="39"/>
        <v>7437500</v>
      </c>
      <c r="O404" s="12">
        <f t="shared" si="40"/>
        <v>42840000</v>
      </c>
      <c r="P404" s="12">
        <f t="shared" si="41"/>
        <v>11900</v>
      </c>
    </row>
    <row r="405" spans="1:16" x14ac:dyDescent="0.25">
      <c r="A405" s="3">
        <v>404</v>
      </c>
      <c r="B405" s="3">
        <v>82</v>
      </c>
      <c r="C405" s="3">
        <v>103</v>
      </c>
      <c r="D405" s="2">
        <v>11140</v>
      </c>
      <c r="E405" s="2">
        <f t="shared" si="36"/>
        <v>5492.5</v>
      </c>
      <c r="F405" s="2">
        <v>2380</v>
      </c>
      <c r="G405" s="2">
        <f t="shared" si="37"/>
        <v>991.66666666666674</v>
      </c>
      <c r="H405" s="4">
        <f>VLOOKUP(B405,nodes!A:D,2,0)</f>
        <v>540</v>
      </c>
      <c r="I405" s="4">
        <f>VLOOKUP(B405,nodes!A:D,4,0)</f>
        <v>210</v>
      </c>
      <c r="J405" s="4">
        <f>VLOOKUP(C405,nodes!A:D,2,0)</f>
        <v>540</v>
      </c>
      <c r="K405" s="4">
        <f>VLOOKUP(C405,nodes!A:D,4,0)</f>
        <v>180</v>
      </c>
      <c r="L405" s="4">
        <f t="shared" si="38"/>
        <v>30</v>
      </c>
      <c r="N405" s="12">
        <f t="shared" si="39"/>
        <v>7437500</v>
      </c>
      <c r="O405" s="12">
        <f t="shared" si="40"/>
        <v>42840000</v>
      </c>
      <c r="P405" s="12">
        <f t="shared" si="41"/>
        <v>11900</v>
      </c>
    </row>
    <row r="406" spans="1:16" x14ac:dyDescent="0.25">
      <c r="A406" s="3">
        <v>405</v>
      </c>
      <c r="B406" s="3">
        <v>103</v>
      </c>
      <c r="C406" s="3">
        <v>124</v>
      </c>
      <c r="D406" s="2">
        <v>11140</v>
      </c>
      <c r="E406" s="2">
        <f t="shared" si="36"/>
        <v>5492.5</v>
      </c>
      <c r="F406" s="2">
        <v>2380</v>
      </c>
      <c r="G406" s="2">
        <f t="shared" si="37"/>
        <v>991.66666666666674</v>
      </c>
      <c r="H406" s="4">
        <f>VLOOKUP(B406,nodes!A:D,2,0)</f>
        <v>540</v>
      </c>
      <c r="I406" s="4">
        <f>VLOOKUP(B406,nodes!A:D,4,0)</f>
        <v>180</v>
      </c>
      <c r="J406" s="4">
        <f>VLOOKUP(C406,nodes!A:D,2,0)</f>
        <v>540</v>
      </c>
      <c r="K406" s="4">
        <f>VLOOKUP(C406,nodes!A:D,4,0)</f>
        <v>150</v>
      </c>
      <c r="L406" s="4">
        <f t="shared" si="38"/>
        <v>30</v>
      </c>
      <c r="N406" s="12">
        <f t="shared" si="39"/>
        <v>7437500</v>
      </c>
      <c r="O406" s="12">
        <f t="shared" si="40"/>
        <v>42840000</v>
      </c>
      <c r="P406" s="12">
        <f t="shared" si="41"/>
        <v>11900</v>
      </c>
    </row>
    <row r="407" spans="1:16" x14ac:dyDescent="0.25">
      <c r="A407" s="3">
        <v>406</v>
      </c>
      <c r="B407" s="3">
        <v>124</v>
      </c>
      <c r="C407" s="3">
        <v>145</v>
      </c>
      <c r="D407" s="2">
        <v>11140</v>
      </c>
      <c r="E407" s="2">
        <f t="shared" si="36"/>
        <v>5492.5</v>
      </c>
      <c r="F407" s="2">
        <v>2380</v>
      </c>
      <c r="G407" s="2">
        <f t="shared" si="37"/>
        <v>991.66666666666674</v>
      </c>
      <c r="H407" s="4">
        <f>VLOOKUP(B407,nodes!A:D,2,0)</f>
        <v>540</v>
      </c>
      <c r="I407" s="4">
        <f>VLOOKUP(B407,nodes!A:D,4,0)</f>
        <v>150</v>
      </c>
      <c r="J407" s="4">
        <f>VLOOKUP(C407,nodes!A:D,2,0)</f>
        <v>540</v>
      </c>
      <c r="K407" s="4">
        <f>VLOOKUP(C407,nodes!A:D,4,0)</f>
        <v>120</v>
      </c>
      <c r="L407" s="4">
        <f t="shared" si="38"/>
        <v>30</v>
      </c>
      <c r="N407" s="12">
        <f t="shared" si="39"/>
        <v>7437500</v>
      </c>
      <c r="O407" s="12">
        <f t="shared" si="40"/>
        <v>42840000</v>
      </c>
      <c r="P407" s="12">
        <f t="shared" si="41"/>
        <v>11900</v>
      </c>
    </row>
    <row r="408" spans="1:16" x14ac:dyDescent="0.25">
      <c r="A408" s="3">
        <v>407</v>
      </c>
      <c r="B408" s="3">
        <v>145</v>
      </c>
      <c r="C408" s="3">
        <v>166</v>
      </c>
      <c r="D408" s="2">
        <v>11140</v>
      </c>
      <c r="E408" s="2">
        <f t="shared" si="36"/>
        <v>5492.5</v>
      </c>
      <c r="F408" s="2">
        <v>2380</v>
      </c>
      <c r="G408" s="2">
        <f t="shared" si="37"/>
        <v>991.66666666666674</v>
      </c>
      <c r="H408" s="4">
        <f>VLOOKUP(B408,nodes!A:D,2,0)</f>
        <v>540</v>
      </c>
      <c r="I408" s="4">
        <f>VLOOKUP(B408,nodes!A:D,4,0)</f>
        <v>120</v>
      </c>
      <c r="J408" s="4">
        <f>VLOOKUP(C408,nodes!A:D,2,0)</f>
        <v>540</v>
      </c>
      <c r="K408" s="4">
        <f>VLOOKUP(C408,nodes!A:D,4,0)</f>
        <v>90</v>
      </c>
      <c r="L408" s="4">
        <f t="shared" si="38"/>
        <v>30</v>
      </c>
      <c r="N408" s="12">
        <f t="shared" si="39"/>
        <v>7437500</v>
      </c>
      <c r="O408" s="12">
        <f t="shared" si="40"/>
        <v>42840000</v>
      </c>
      <c r="P408" s="12">
        <f t="shared" si="41"/>
        <v>11900</v>
      </c>
    </row>
    <row r="409" spans="1:16" x14ac:dyDescent="0.25">
      <c r="A409" s="3">
        <v>408</v>
      </c>
      <c r="B409" s="3">
        <v>166</v>
      </c>
      <c r="C409" s="3">
        <v>187</v>
      </c>
      <c r="D409" s="2">
        <v>11140</v>
      </c>
      <c r="E409" s="2">
        <f t="shared" si="36"/>
        <v>5492.5</v>
      </c>
      <c r="F409" s="2">
        <v>2380</v>
      </c>
      <c r="G409" s="2">
        <f t="shared" si="37"/>
        <v>991.66666666666674</v>
      </c>
      <c r="H409" s="4">
        <f>VLOOKUP(B409,nodes!A:D,2,0)</f>
        <v>540</v>
      </c>
      <c r="I409" s="4">
        <f>VLOOKUP(B409,nodes!A:D,4,0)</f>
        <v>90</v>
      </c>
      <c r="J409" s="4">
        <f>VLOOKUP(C409,nodes!A:D,2,0)</f>
        <v>540</v>
      </c>
      <c r="K409" s="4">
        <f>VLOOKUP(C409,nodes!A:D,4,0)</f>
        <v>60</v>
      </c>
      <c r="L409" s="4">
        <f t="shared" si="38"/>
        <v>30</v>
      </c>
      <c r="N409" s="12">
        <f t="shared" si="39"/>
        <v>7437500</v>
      </c>
      <c r="O409" s="12">
        <f t="shared" si="40"/>
        <v>42840000</v>
      </c>
      <c r="P409" s="12">
        <f t="shared" si="41"/>
        <v>11900</v>
      </c>
    </row>
    <row r="410" spans="1:16" x14ac:dyDescent="0.25">
      <c r="A410" s="3">
        <v>409</v>
      </c>
      <c r="B410" s="3">
        <v>187</v>
      </c>
      <c r="C410" s="3">
        <v>208</v>
      </c>
      <c r="D410" s="2">
        <v>11140</v>
      </c>
      <c r="E410" s="2">
        <f t="shared" si="36"/>
        <v>5492.5</v>
      </c>
      <c r="F410" s="2">
        <v>2380</v>
      </c>
      <c r="G410" s="2">
        <f t="shared" si="37"/>
        <v>991.66666666666674</v>
      </c>
      <c r="H410" s="4">
        <f>VLOOKUP(B410,nodes!A:D,2,0)</f>
        <v>540</v>
      </c>
      <c r="I410" s="4">
        <f>VLOOKUP(B410,nodes!A:D,4,0)</f>
        <v>60</v>
      </c>
      <c r="J410" s="4">
        <f>VLOOKUP(C410,nodes!A:D,2,0)</f>
        <v>540</v>
      </c>
      <c r="K410" s="4">
        <f>VLOOKUP(C410,nodes!A:D,4,0)</f>
        <v>30</v>
      </c>
      <c r="L410" s="4">
        <f t="shared" si="38"/>
        <v>30</v>
      </c>
      <c r="N410" s="12">
        <f t="shared" si="39"/>
        <v>7437500</v>
      </c>
      <c r="O410" s="12">
        <f t="shared" si="40"/>
        <v>42840000</v>
      </c>
      <c r="P410" s="12">
        <f t="shared" si="41"/>
        <v>11900</v>
      </c>
    </row>
    <row r="411" spans="1:16" x14ac:dyDescent="0.25">
      <c r="A411" s="3">
        <v>410</v>
      </c>
      <c r="B411" s="3">
        <v>208</v>
      </c>
      <c r="C411" s="3">
        <v>229</v>
      </c>
      <c r="D411" s="2">
        <v>11140</v>
      </c>
      <c r="E411" s="2">
        <f t="shared" si="36"/>
        <v>5492.5</v>
      </c>
      <c r="F411" s="2">
        <v>2380</v>
      </c>
      <c r="G411" s="2">
        <f t="shared" si="37"/>
        <v>991.66666666666674</v>
      </c>
      <c r="H411" s="4">
        <f>VLOOKUP(B411,nodes!A:D,2,0)</f>
        <v>540</v>
      </c>
      <c r="I411" s="4">
        <f>VLOOKUP(B411,nodes!A:D,4,0)</f>
        <v>30</v>
      </c>
      <c r="J411" s="4">
        <f>VLOOKUP(C411,nodes!A:D,2,0)</f>
        <v>540</v>
      </c>
      <c r="K411" s="4">
        <f>VLOOKUP(C411,nodes!A:D,4,0)</f>
        <v>0</v>
      </c>
      <c r="L411" s="4">
        <f t="shared" si="38"/>
        <v>30</v>
      </c>
      <c r="N411" s="12">
        <f t="shared" si="39"/>
        <v>7437500</v>
      </c>
      <c r="O411" s="12">
        <f t="shared" si="40"/>
        <v>42840000</v>
      </c>
      <c r="P411" s="12">
        <f t="shared" si="41"/>
        <v>11900</v>
      </c>
    </row>
    <row r="412" spans="1:16" x14ac:dyDescent="0.25">
      <c r="A412" s="3">
        <v>411</v>
      </c>
      <c r="B412" s="3">
        <v>20</v>
      </c>
      <c r="C412" s="3">
        <v>41</v>
      </c>
      <c r="D412" s="2">
        <v>11140</v>
      </c>
      <c r="E412" s="2">
        <f t="shared" si="36"/>
        <v>5492.5</v>
      </c>
      <c r="F412" s="2">
        <v>2380</v>
      </c>
      <c r="G412" s="2">
        <f t="shared" si="37"/>
        <v>991.66666666666674</v>
      </c>
      <c r="H412" s="4">
        <f>VLOOKUP(B412,nodes!A:D,2,0)</f>
        <v>570</v>
      </c>
      <c r="I412" s="4">
        <f>VLOOKUP(B412,nodes!A:D,4,0)</f>
        <v>300</v>
      </c>
      <c r="J412" s="4">
        <f>VLOOKUP(C412,nodes!A:D,2,0)</f>
        <v>570</v>
      </c>
      <c r="K412" s="4">
        <f>VLOOKUP(C412,nodes!A:D,4,0)</f>
        <v>270</v>
      </c>
      <c r="L412" s="4">
        <f t="shared" si="38"/>
        <v>30</v>
      </c>
      <c r="N412" s="12">
        <f t="shared" si="39"/>
        <v>7437500</v>
      </c>
      <c r="O412" s="12">
        <f t="shared" si="40"/>
        <v>42840000</v>
      </c>
      <c r="P412" s="12">
        <f t="shared" si="41"/>
        <v>11900</v>
      </c>
    </row>
    <row r="413" spans="1:16" x14ac:dyDescent="0.25">
      <c r="A413" s="3">
        <v>412</v>
      </c>
      <c r="B413" s="3">
        <v>41</v>
      </c>
      <c r="C413" s="3">
        <v>62</v>
      </c>
      <c r="D413" s="2">
        <v>11140</v>
      </c>
      <c r="E413" s="2">
        <f t="shared" si="36"/>
        <v>5492.5</v>
      </c>
      <c r="F413" s="2">
        <v>2380</v>
      </c>
      <c r="G413" s="2">
        <f t="shared" si="37"/>
        <v>991.66666666666674</v>
      </c>
      <c r="H413" s="4">
        <f>VLOOKUP(B413,nodes!A:D,2,0)</f>
        <v>570</v>
      </c>
      <c r="I413" s="4">
        <f>VLOOKUP(B413,nodes!A:D,4,0)</f>
        <v>270</v>
      </c>
      <c r="J413" s="4">
        <f>VLOOKUP(C413,nodes!A:D,2,0)</f>
        <v>570</v>
      </c>
      <c r="K413" s="4">
        <f>VLOOKUP(C413,nodes!A:D,4,0)</f>
        <v>240</v>
      </c>
      <c r="L413" s="4">
        <f t="shared" si="38"/>
        <v>30</v>
      </c>
      <c r="N413" s="12">
        <f t="shared" si="39"/>
        <v>7437500</v>
      </c>
      <c r="O413" s="12">
        <f t="shared" si="40"/>
        <v>42840000</v>
      </c>
      <c r="P413" s="12">
        <f t="shared" si="41"/>
        <v>11900</v>
      </c>
    </row>
    <row r="414" spans="1:16" x14ac:dyDescent="0.25">
      <c r="A414" s="3">
        <v>413</v>
      </c>
      <c r="B414" s="3">
        <v>62</v>
      </c>
      <c r="C414" s="3">
        <v>83</v>
      </c>
      <c r="D414" s="2">
        <v>11140</v>
      </c>
      <c r="E414" s="2">
        <f t="shared" si="36"/>
        <v>5492.5</v>
      </c>
      <c r="F414" s="2">
        <v>2380</v>
      </c>
      <c r="G414" s="2">
        <f t="shared" si="37"/>
        <v>991.66666666666674</v>
      </c>
      <c r="H414" s="4">
        <f>VLOOKUP(B414,nodes!A:D,2,0)</f>
        <v>570</v>
      </c>
      <c r="I414" s="4">
        <f>VLOOKUP(B414,nodes!A:D,4,0)</f>
        <v>240</v>
      </c>
      <c r="J414" s="4">
        <f>VLOOKUP(C414,nodes!A:D,2,0)</f>
        <v>570</v>
      </c>
      <c r="K414" s="4">
        <f>VLOOKUP(C414,nodes!A:D,4,0)</f>
        <v>210</v>
      </c>
      <c r="L414" s="4">
        <f t="shared" si="38"/>
        <v>30</v>
      </c>
      <c r="N414" s="12">
        <f t="shared" si="39"/>
        <v>7437500</v>
      </c>
      <c r="O414" s="12">
        <f t="shared" si="40"/>
        <v>42840000</v>
      </c>
      <c r="P414" s="12">
        <f t="shared" si="41"/>
        <v>11900</v>
      </c>
    </row>
    <row r="415" spans="1:16" x14ac:dyDescent="0.25">
      <c r="A415" s="3">
        <v>414</v>
      </c>
      <c r="B415" s="3">
        <v>83</v>
      </c>
      <c r="C415" s="3">
        <v>104</v>
      </c>
      <c r="D415" s="2">
        <v>11140</v>
      </c>
      <c r="E415" s="2">
        <f t="shared" si="36"/>
        <v>5492.5</v>
      </c>
      <c r="F415" s="2">
        <v>2380</v>
      </c>
      <c r="G415" s="2">
        <f t="shared" si="37"/>
        <v>991.66666666666674</v>
      </c>
      <c r="H415" s="4">
        <f>VLOOKUP(B415,nodes!A:D,2,0)</f>
        <v>570</v>
      </c>
      <c r="I415" s="4">
        <f>VLOOKUP(B415,nodes!A:D,4,0)</f>
        <v>210</v>
      </c>
      <c r="J415" s="4">
        <f>VLOOKUP(C415,nodes!A:D,2,0)</f>
        <v>570</v>
      </c>
      <c r="K415" s="4">
        <f>VLOOKUP(C415,nodes!A:D,4,0)</f>
        <v>180</v>
      </c>
      <c r="L415" s="4">
        <f t="shared" si="38"/>
        <v>30</v>
      </c>
      <c r="N415" s="12">
        <f t="shared" si="39"/>
        <v>7437500</v>
      </c>
      <c r="O415" s="12">
        <f t="shared" si="40"/>
        <v>42840000</v>
      </c>
      <c r="P415" s="12">
        <f t="shared" si="41"/>
        <v>11900</v>
      </c>
    </row>
    <row r="416" spans="1:16" x14ac:dyDescent="0.25">
      <c r="A416" s="3">
        <v>415</v>
      </c>
      <c r="B416" s="3">
        <v>104</v>
      </c>
      <c r="C416" s="3">
        <v>125</v>
      </c>
      <c r="D416" s="2">
        <v>11140</v>
      </c>
      <c r="E416" s="2">
        <f t="shared" si="36"/>
        <v>5492.5</v>
      </c>
      <c r="F416" s="2">
        <v>2380</v>
      </c>
      <c r="G416" s="2">
        <f t="shared" si="37"/>
        <v>991.66666666666674</v>
      </c>
      <c r="H416" s="4">
        <f>VLOOKUP(B416,nodes!A:D,2,0)</f>
        <v>570</v>
      </c>
      <c r="I416" s="4">
        <f>VLOOKUP(B416,nodes!A:D,4,0)</f>
        <v>180</v>
      </c>
      <c r="J416" s="4">
        <f>VLOOKUP(C416,nodes!A:D,2,0)</f>
        <v>570</v>
      </c>
      <c r="K416" s="4">
        <f>VLOOKUP(C416,nodes!A:D,4,0)</f>
        <v>150</v>
      </c>
      <c r="L416" s="4">
        <f t="shared" si="38"/>
        <v>30</v>
      </c>
      <c r="N416" s="12">
        <f t="shared" si="39"/>
        <v>7437500</v>
      </c>
      <c r="O416" s="12">
        <f t="shared" si="40"/>
        <v>42840000</v>
      </c>
      <c r="P416" s="12">
        <f t="shared" si="41"/>
        <v>11900</v>
      </c>
    </row>
    <row r="417" spans="1:16" x14ac:dyDescent="0.25">
      <c r="A417" s="3">
        <v>416</v>
      </c>
      <c r="B417" s="3">
        <v>125</v>
      </c>
      <c r="C417" s="3">
        <v>146</v>
      </c>
      <c r="D417" s="2">
        <v>11140</v>
      </c>
      <c r="E417" s="2">
        <f t="shared" si="36"/>
        <v>5492.5</v>
      </c>
      <c r="F417" s="2">
        <v>2380</v>
      </c>
      <c r="G417" s="2">
        <f t="shared" si="37"/>
        <v>991.66666666666674</v>
      </c>
      <c r="H417" s="4">
        <f>VLOOKUP(B417,nodes!A:D,2,0)</f>
        <v>570</v>
      </c>
      <c r="I417" s="4">
        <f>VLOOKUP(B417,nodes!A:D,4,0)</f>
        <v>150</v>
      </c>
      <c r="J417" s="4">
        <f>VLOOKUP(C417,nodes!A:D,2,0)</f>
        <v>570</v>
      </c>
      <c r="K417" s="4">
        <f>VLOOKUP(C417,nodes!A:D,4,0)</f>
        <v>120</v>
      </c>
      <c r="L417" s="4">
        <f t="shared" si="38"/>
        <v>30</v>
      </c>
      <c r="N417" s="12">
        <f t="shared" si="39"/>
        <v>7437500</v>
      </c>
      <c r="O417" s="12">
        <f t="shared" si="40"/>
        <v>42840000</v>
      </c>
      <c r="P417" s="12">
        <f t="shared" si="41"/>
        <v>11900</v>
      </c>
    </row>
    <row r="418" spans="1:16" x14ac:dyDescent="0.25">
      <c r="A418" s="3">
        <v>417</v>
      </c>
      <c r="B418" s="3">
        <v>146</v>
      </c>
      <c r="C418" s="3">
        <v>167</v>
      </c>
      <c r="D418" s="2">
        <v>11140</v>
      </c>
      <c r="E418" s="2">
        <f t="shared" si="36"/>
        <v>5492.5</v>
      </c>
      <c r="F418" s="2">
        <v>2380</v>
      </c>
      <c r="G418" s="2">
        <f t="shared" si="37"/>
        <v>991.66666666666674</v>
      </c>
      <c r="H418" s="4">
        <f>VLOOKUP(B418,nodes!A:D,2,0)</f>
        <v>570</v>
      </c>
      <c r="I418" s="4">
        <f>VLOOKUP(B418,nodes!A:D,4,0)</f>
        <v>120</v>
      </c>
      <c r="J418" s="4">
        <f>VLOOKUP(C418,nodes!A:D,2,0)</f>
        <v>570</v>
      </c>
      <c r="K418" s="4">
        <f>VLOOKUP(C418,nodes!A:D,4,0)</f>
        <v>90</v>
      </c>
      <c r="L418" s="4">
        <f t="shared" si="38"/>
        <v>30</v>
      </c>
      <c r="N418" s="12">
        <f t="shared" si="39"/>
        <v>7437500</v>
      </c>
      <c r="O418" s="12">
        <f t="shared" si="40"/>
        <v>42840000</v>
      </c>
      <c r="P418" s="12">
        <f t="shared" si="41"/>
        <v>11900</v>
      </c>
    </row>
    <row r="419" spans="1:16" x14ac:dyDescent="0.25">
      <c r="A419" s="3">
        <v>418</v>
      </c>
      <c r="B419" s="3">
        <v>167</v>
      </c>
      <c r="C419" s="3">
        <v>188</v>
      </c>
      <c r="D419" s="2">
        <v>11140</v>
      </c>
      <c r="E419" s="2">
        <f t="shared" si="36"/>
        <v>5492.5</v>
      </c>
      <c r="F419" s="2">
        <v>2380</v>
      </c>
      <c r="G419" s="2">
        <f t="shared" si="37"/>
        <v>991.66666666666674</v>
      </c>
      <c r="H419" s="4">
        <f>VLOOKUP(B419,nodes!A:D,2,0)</f>
        <v>570</v>
      </c>
      <c r="I419" s="4">
        <f>VLOOKUP(B419,nodes!A:D,4,0)</f>
        <v>90</v>
      </c>
      <c r="J419" s="4">
        <f>VLOOKUP(C419,nodes!A:D,2,0)</f>
        <v>570</v>
      </c>
      <c r="K419" s="4">
        <f>VLOOKUP(C419,nodes!A:D,4,0)</f>
        <v>60</v>
      </c>
      <c r="L419" s="4">
        <f t="shared" si="38"/>
        <v>30</v>
      </c>
      <c r="N419" s="12">
        <f t="shared" si="39"/>
        <v>7437500</v>
      </c>
      <c r="O419" s="12">
        <f t="shared" si="40"/>
        <v>42840000</v>
      </c>
      <c r="P419" s="12">
        <f t="shared" si="41"/>
        <v>11900</v>
      </c>
    </row>
    <row r="420" spans="1:16" x14ac:dyDescent="0.25">
      <c r="A420" s="3">
        <v>419</v>
      </c>
      <c r="B420" s="3">
        <v>188</v>
      </c>
      <c r="C420" s="3">
        <v>209</v>
      </c>
      <c r="D420" s="2">
        <v>11140</v>
      </c>
      <c r="E420" s="2">
        <f t="shared" si="36"/>
        <v>5492.5</v>
      </c>
      <c r="F420" s="2">
        <v>2380</v>
      </c>
      <c r="G420" s="2">
        <f t="shared" si="37"/>
        <v>991.66666666666674</v>
      </c>
      <c r="H420" s="4">
        <f>VLOOKUP(B420,nodes!A:D,2,0)</f>
        <v>570</v>
      </c>
      <c r="I420" s="4">
        <f>VLOOKUP(B420,nodes!A:D,4,0)</f>
        <v>60</v>
      </c>
      <c r="J420" s="4">
        <f>VLOOKUP(C420,nodes!A:D,2,0)</f>
        <v>570</v>
      </c>
      <c r="K420" s="4">
        <f>VLOOKUP(C420,nodes!A:D,4,0)</f>
        <v>30</v>
      </c>
      <c r="L420" s="4">
        <f t="shared" si="38"/>
        <v>30</v>
      </c>
      <c r="N420" s="12">
        <f t="shared" si="39"/>
        <v>7437500</v>
      </c>
      <c r="O420" s="12">
        <f t="shared" si="40"/>
        <v>42840000</v>
      </c>
      <c r="P420" s="12">
        <f t="shared" si="41"/>
        <v>11900</v>
      </c>
    </row>
    <row r="421" spans="1:16" x14ac:dyDescent="0.25">
      <c r="A421" s="3">
        <v>420</v>
      </c>
      <c r="B421" s="3">
        <v>209</v>
      </c>
      <c r="C421" s="3">
        <v>230</v>
      </c>
      <c r="D421" s="2">
        <v>11140</v>
      </c>
      <c r="E421" s="2">
        <f t="shared" si="36"/>
        <v>5492.5</v>
      </c>
      <c r="F421" s="2">
        <v>2380</v>
      </c>
      <c r="G421" s="2">
        <f t="shared" si="37"/>
        <v>991.66666666666674</v>
      </c>
      <c r="H421" s="4">
        <f>VLOOKUP(B421,nodes!A:D,2,0)</f>
        <v>570</v>
      </c>
      <c r="I421" s="4">
        <f>VLOOKUP(B421,nodes!A:D,4,0)</f>
        <v>30</v>
      </c>
      <c r="J421" s="4">
        <f>VLOOKUP(C421,nodes!A:D,2,0)</f>
        <v>570</v>
      </c>
      <c r="K421" s="4">
        <f>VLOOKUP(C421,nodes!A:D,4,0)</f>
        <v>0</v>
      </c>
      <c r="L421" s="4">
        <f t="shared" si="38"/>
        <v>30</v>
      </c>
      <c r="N421" s="12">
        <f t="shared" si="39"/>
        <v>7437500</v>
      </c>
      <c r="O421" s="12">
        <f t="shared" si="40"/>
        <v>42840000</v>
      </c>
      <c r="P421" s="12">
        <f t="shared" si="41"/>
        <v>11900</v>
      </c>
    </row>
    <row r="422" spans="1:16" x14ac:dyDescent="0.25">
      <c r="A422" s="3">
        <v>421</v>
      </c>
      <c r="B422" s="3">
        <v>21</v>
      </c>
      <c r="C422" s="3">
        <v>42</v>
      </c>
      <c r="D422" s="2">
        <v>11140</v>
      </c>
      <c r="E422" s="2">
        <f t="shared" si="36"/>
        <v>5492.5</v>
      </c>
      <c r="F422" s="2">
        <v>2380</v>
      </c>
      <c r="G422" s="2">
        <f t="shared" si="37"/>
        <v>991.66666666666674</v>
      </c>
      <c r="H422" s="4">
        <f>VLOOKUP(B422,nodes!A:D,2,0)</f>
        <v>600</v>
      </c>
      <c r="I422" s="4">
        <f>VLOOKUP(B422,nodes!A:D,4,0)</f>
        <v>300</v>
      </c>
      <c r="J422" s="4">
        <f>VLOOKUP(C422,nodes!A:D,2,0)</f>
        <v>600</v>
      </c>
      <c r="K422" s="4">
        <f>VLOOKUP(C422,nodes!A:D,4,0)</f>
        <v>270</v>
      </c>
      <c r="L422" s="4">
        <f t="shared" si="38"/>
        <v>30</v>
      </c>
      <c r="N422" s="12">
        <f t="shared" si="39"/>
        <v>7437500</v>
      </c>
      <c r="O422" s="12">
        <f t="shared" si="40"/>
        <v>42840000</v>
      </c>
      <c r="P422" s="12">
        <f t="shared" si="41"/>
        <v>11900</v>
      </c>
    </row>
    <row r="423" spans="1:16" x14ac:dyDescent="0.25">
      <c r="A423" s="3">
        <v>422</v>
      </c>
      <c r="B423" s="3">
        <v>42</v>
      </c>
      <c r="C423" s="3">
        <v>63</v>
      </c>
      <c r="D423" s="2">
        <v>11140</v>
      </c>
      <c r="E423" s="2">
        <f t="shared" si="36"/>
        <v>5492.5</v>
      </c>
      <c r="F423" s="2">
        <v>2380</v>
      </c>
      <c r="G423" s="2">
        <f t="shared" si="37"/>
        <v>991.66666666666674</v>
      </c>
      <c r="H423" s="4">
        <f>VLOOKUP(B423,nodes!A:D,2,0)</f>
        <v>600</v>
      </c>
      <c r="I423" s="4">
        <f>VLOOKUP(B423,nodes!A:D,4,0)</f>
        <v>270</v>
      </c>
      <c r="J423" s="4">
        <f>VLOOKUP(C423,nodes!A:D,2,0)</f>
        <v>600</v>
      </c>
      <c r="K423" s="4">
        <f>VLOOKUP(C423,nodes!A:D,4,0)</f>
        <v>240</v>
      </c>
      <c r="L423" s="4">
        <f t="shared" si="38"/>
        <v>30</v>
      </c>
      <c r="N423" s="12">
        <f t="shared" si="39"/>
        <v>7437500</v>
      </c>
      <c r="O423" s="12">
        <f t="shared" si="40"/>
        <v>42840000</v>
      </c>
      <c r="P423" s="12">
        <f t="shared" si="41"/>
        <v>11900</v>
      </c>
    </row>
    <row r="424" spans="1:16" x14ac:dyDescent="0.25">
      <c r="A424" s="3">
        <v>423</v>
      </c>
      <c r="B424" s="3">
        <v>63</v>
      </c>
      <c r="C424" s="3">
        <v>84</v>
      </c>
      <c r="D424" s="2">
        <v>11140</v>
      </c>
      <c r="E424" s="2">
        <f t="shared" si="36"/>
        <v>5492.5</v>
      </c>
      <c r="F424" s="2">
        <v>2380</v>
      </c>
      <c r="G424" s="2">
        <f t="shared" si="37"/>
        <v>991.66666666666674</v>
      </c>
      <c r="H424" s="4">
        <f>VLOOKUP(B424,nodes!A:D,2,0)</f>
        <v>600</v>
      </c>
      <c r="I424" s="4">
        <f>VLOOKUP(B424,nodes!A:D,4,0)</f>
        <v>240</v>
      </c>
      <c r="J424" s="4">
        <f>VLOOKUP(C424,nodes!A:D,2,0)</f>
        <v>600</v>
      </c>
      <c r="K424" s="4">
        <f>VLOOKUP(C424,nodes!A:D,4,0)</f>
        <v>210</v>
      </c>
      <c r="L424" s="4">
        <f t="shared" si="38"/>
        <v>30</v>
      </c>
      <c r="N424" s="12">
        <f t="shared" si="39"/>
        <v>7437500</v>
      </c>
      <c r="O424" s="12">
        <f t="shared" si="40"/>
        <v>42840000</v>
      </c>
      <c r="P424" s="12">
        <f t="shared" si="41"/>
        <v>11900</v>
      </c>
    </row>
    <row r="425" spans="1:16" x14ac:dyDescent="0.25">
      <c r="A425" s="3">
        <v>424</v>
      </c>
      <c r="B425" s="3">
        <v>84</v>
      </c>
      <c r="C425" s="3">
        <v>105</v>
      </c>
      <c r="D425" s="2">
        <v>11140</v>
      </c>
      <c r="E425" s="2">
        <f t="shared" si="36"/>
        <v>5492.5</v>
      </c>
      <c r="F425" s="2">
        <v>2380</v>
      </c>
      <c r="G425" s="2">
        <f t="shared" si="37"/>
        <v>991.66666666666674</v>
      </c>
      <c r="H425" s="4">
        <f>VLOOKUP(B425,nodes!A:D,2,0)</f>
        <v>600</v>
      </c>
      <c r="I425" s="4">
        <f>VLOOKUP(B425,nodes!A:D,4,0)</f>
        <v>210</v>
      </c>
      <c r="J425" s="4">
        <f>VLOOKUP(C425,nodes!A:D,2,0)</f>
        <v>600</v>
      </c>
      <c r="K425" s="4">
        <f>VLOOKUP(C425,nodes!A:D,4,0)</f>
        <v>180</v>
      </c>
      <c r="L425" s="4">
        <f t="shared" si="38"/>
        <v>30</v>
      </c>
      <c r="N425" s="12">
        <f t="shared" si="39"/>
        <v>7437500</v>
      </c>
      <c r="O425" s="12">
        <f t="shared" si="40"/>
        <v>42840000</v>
      </c>
      <c r="P425" s="12">
        <f t="shared" si="41"/>
        <v>11900</v>
      </c>
    </row>
    <row r="426" spans="1:16" x14ac:dyDescent="0.25">
      <c r="A426" s="3">
        <v>425</v>
      </c>
      <c r="B426" s="3">
        <v>105</v>
      </c>
      <c r="C426" s="3">
        <v>126</v>
      </c>
      <c r="D426" s="2">
        <v>11140</v>
      </c>
      <c r="E426" s="2">
        <f t="shared" si="36"/>
        <v>5492.5</v>
      </c>
      <c r="F426" s="2">
        <v>2380</v>
      </c>
      <c r="G426" s="2">
        <f t="shared" si="37"/>
        <v>991.66666666666674</v>
      </c>
      <c r="H426" s="4">
        <f>VLOOKUP(B426,nodes!A:D,2,0)</f>
        <v>600</v>
      </c>
      <c r="I426" s="4">
        <f>VLOOKUP(B426,nodes!A:D,4,0)</f>
        <v>180</v>
      </c>
      <c r="J426" s="4">
        <f>VLOOKUP(C426,nodes!A:D,2,0)</f>
        <v>600</v>
      </c>
      <c r="K426" s="4">
        <f>VLOOKUP(C426,nodes!A:D,4,0)</f>
        <v>150</v>
      </c>
      <c r="L426" s="4">
        <f t="shared" si="38"/>
        <v>30</v>
      </c>
      <c r="N426" s="12">
        <f t="shared" si="39"/>
        <v>7437500</v>
      </c>
      <c r="O426" s="12">
        <f t="shared" si="40"/>
        <v>42840000</v>
      </c>
      <c r="P426" s="12">
        <f t="shared" si="41"/>
        <v>11900</v>
      </c>
    </row>
    <row r="427" spans="1:16" x14ac:dyDescent="0.25">
      <c r="A427" s="3">
        <v>426</v>
      </c>
      <c r="B427" s="3">
        <v>126</v>
      </c>
      <c r="C427" s="3">
        <v>147</v>
      </c>
      <c r="D427" s="2">
        <v>11140</v>
      </c>
      <c r="E427" s="2">
        <f t="shared" si="36"/>
        <v>5492.5</v>
      </c>
      <c r="F427" s="2">
        <v>2380</v>
      </c>
      <c r="G427" s="2">
        <f t="shared" si="37"/>
        <v>991.66666666666674</v>
      </c>
      <c r="H427" s="4">
        <f>VLOOKUP(B427,nodes!A:D,2,0)</f>
        <v>600</v>
      </c>
      <c r="I427" s="4">
        <f>VLOOKUP(B427,nodes!A:D,4,0)</f>
        <v>150</v>
      </c>
      <c r="J427" s="4">
        <f>VLOOKUP(C427,nodes!A:D,2,0)</f>
        <v>600</v>
      </c>
      <c r="K427" s="4">
        <f>VLOOKUP(C427,nodes!A:D,4,0)</f>
        <v>120</v>
      </c>
      <c r="L427" s="4">
        <f t="shared" si="38"/>
        <v>30</v>
      </c>
      <c r="N427" s="12">
        <f t="shared" si="39"/>
        <v>7437500</v>
      </c>
      <c r="O427" s="12">
        <f t="shared" si="40"/>
        <v>42840000</v>
      </c>
      <c r="P427" s="12">
        <f t="shared" si="41"/>
        <v>11900</v>
      </c>
    </row>
    <row r="428" spans="1:16" x14ac:dyDescent="0.25">
      <c r="A428" s="3">
        <v>427</v>
      </c>
      <c r="B428" s="3">
        <v>147</v>
      </c>
      <c r="C428" s="3">
        <v>168</v>
      </c>
      <c r="D428" s="2">
        <v>11140</v>
      </c>
      <c r="E428" s="2">
        <f t="shared" si="36"/>
        <v>5492.5</v>
      </c>
      <c r="F428" s="2">
        <v>2380</v>
      </c>
      <c r="G428" s="2">
        <f t="shared" si="37"/>
        <v>991.66666666666674</v>
      </c>
      <c r="H428" s="4">
        <f>VLOOKUP(B428,nodes!A:D,2,0)</f>
        <v>600</v>
      </c>
      <c r="I428" s="4">
        <f>VLOOKUP(B428,nodes!A:D,4,0)</f>
        <v>120</v>
      </c>
      <c r="J428" s="4">
        <f>VLOOKUP(C428,nodes!A:D,2,0)</f>
        <v>600</v>
      </c>
      <c r="K428" s="4">
        <f>VLOOKUP(C428,nodes!A:D,4,0)</f>
        <v>90</v>
      </c>
      <c r="L428" s="4">
        <f t="shared" si="38"/>
        <v>30</v>
      </c>
      <c r="N428" s="12">
        <f t="shared" si="39"/>
        <v>7437500</v>
      </c>
      <c r="O428" s="12">
        <f t="shared" si="40"/>
        <v>42840000</v>
      </c>
      <c r="P428" s="12">
        <f t="shared" si="41"/>
        <v>11900</v>
      </c>
    </row>
    <row r="429" spans="1:16" x14ac:dyDescent="0.25">
      <c r="A429" s="3">
        <v>428</v>
      </c>
      <c r="B429" s="3">
        <v>168</v>
      </c>
      <c r="C429" s="3">
        <v>189</v>
      </c>
      <c r="D429" s="2">
        <v>11140</v>
      </c>
      <c r="E429" s="2">
        <f t="shared" si="36"/>
        <v>5492.5</v>
      </c>
      <c r="F429" s="2">
        <v>2380</v>
      </c>
      <c r="G429" s="2">
        <f t="shared" si="37"/>
        <v>991.66666666666674</v>
      </c>
      <c r="H429" s="4">
        <f>VLOOKUP(B429,nodes!A:D,2,0)</f>
        <v>600</v>
      </c>
      <c r="I429" s="4">
        <f>VLOOKUP(B429,nodes!A:D,4,0)</f>
        <v>90</v>
      </c>
      <c r="J429" s="4">
        <f>VLOOKUP(C429,nodes!A:D,2,0)</f>
        <v>600</v>
      </c>
      <c r="K429" s="4">
        <f>VLOOKUP(C429,nodes!A:D,4,0)</f>
        <v>60</v>
      </c>
      <c r="L429" s="4">
        <f t="shared" si="38"/>
        <v>30</v>
      </c>
      <c r="N429" s="12">
        <f t="shared" si="39"/>
        <v>7437500</v>
      </c>
      <c r="O429" s="12">
        <f t="shared" si="40"/>
        <v>42840000</v>
      </c>
      <c r="P429" s="12">
        <f t="shared" si="41"/>
        <v>11900</v>
      </c>
    </row>
    <row r="430" spans="1:16" x14ac:dyDescent="0.25">
      <c r="A430" s="3">
        <v>429</v>
      </c>
      <c r="B430" s="3">
        <v>189</v>
      </c>
      <c r="C430" s="3">
        <v>210</v>
      </c>
      <c r="D430" s="2">
        <v>11140</v>
      </c>
      <c r="E430" s="2">
        <f t="shared" si="36"/>
        <v>5492.5</v>
      </c>
      <c r="F430" s="2">
        <v>2380</v>
      </c>
      <c r="G430" s="2">
        <f t="shared" si="37"/>
        <v>991.66666666666674</v>
      </c>
      <c r="H430" s="4">
        <f>VLOOKUP(B430,nodes!A:D,2,0)</f>
        <v>600</v>
      </c>
      <c r="I430" s="4">
        <f>VLOOKUP(B430,nodes!A:D,4,0)</f>
        <v>60</v>
      </c>
      <c r="J430" s="4">
        <f>VLOOKUP(C430,nodes!A:D,2,0)</f>
        <v>600</v>
      </c>
      <c r="K430" s="4">
        <f>VLOOKUP(C430,nodes!A:D,4,0)</f>
        <v>30</v>
      </c>
      <c r="L430" s="4">
        <f t="shared" si="38"/>
        <v>30</v>
      </c>
      <c r="N430" s="12">
        <f t="shared" si="39"/>
        <v>7437500</v>
      </c>
      <c r="O430" s="12">
        <f t="shared" si="40"/>
        <v>42840000</v>
      </c>
      <c r="P430" s="12">
        <f t="shared" si="41"/>
        <v>11900</v>
      </c>
    </row>
    <row r="431" spans="1:16" x14ac:dyDescent="0.25">
      <c r="A431" s="3">
        <v>430</v>
      </c>
      <c r="B431" s="3">
        <v>210</v>
      </c>
      <c r="C431" s="3">
        <v>231</v>
      </c>
      <c r="D431" s="2">
        <v>11140</v>
      </c>
      <c r="E431" s="2">
        <f t="shared" si="36"/>
        <v>5492.5</v>
      </c>
      <c r="F431" s="2">
        <v>2380</v>
      </c>
      <c r="G431" s="2">
        <f t="shared" si="37"/>
        <v>991.66666666666674</v>
      </c>
      <c r="H431" s="4">
        <f>VLOOKUP(B431,nodes!A:D,2,0)</f>
        <v>600</v>
      </c>
      <c r="I431" s="4">
        <f>VLOOKUP(B431,nodes!A:D,4,0)</f>
        <v>30</v>
      </c>
      <c r="J431" s="4">
        <f>VLOOKUP(C431,nodes!A:D,2,0)</f>
        <v>600</v>
      </c>
      <c r="K431" s="4">
        <f>VLOOKUP(C431,nodes!A:D,4,0)</f>
        <v>0</v>
      </c>
      <c r="L431" s="4">
        <f t="shared" si="38"/>
        <v>30</v>
      </c>
      <c r="N431" s="12">
        <f t="shared" si="39"/>
        <v>7437500</v>
      </c>
      <c r="O431" s="12">
        <f t="shared" si="40"/>
        <v>42840000</v>
      </c>
      <c r="P431" s="12">
        <f t="shared" si="41"/>
        <v>11900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nodes</vt:lpstr>
      <vt:lpstr>elements</vt:lpstr>
      <vt:lpstr>It_corrD</vt:lpstr>
      <vt:lpstr>It_corrM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Machado</dc:creator>
  <cp:lastModifiedBy>Kelvin Machado</cp:lastModifiedBy>
  <dcterms:created xsi:type="dcterms:W3CDTF">2025-07-13T01:15:42Z</dcterms:created>
  <dcterms:modified xsi:type="dcterms:W3CDTF">2025-07-23T22:22:53Z</dcterms:modified>
</cp:coreProperties>
</file>